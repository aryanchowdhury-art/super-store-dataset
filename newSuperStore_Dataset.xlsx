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oks\data science course notes\HOME WORK\"/>
    </mc:Choice>
  </mc:AlternateContent>
  <xr:revisionPtr revIDLastSave="0" documentId="13_ncr:1_{F2958C25-0A46-42CD-91C7-485AA08E0FA4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aw_Data" sheetId="1" r:id="rId1"/>
    <sheet name="data tab" sheetId="5" r:id="rId2"/>
    <sheet name="pivot 1" sheetId="6" r:id="rId3"/>
    <sheet name="pivot 2" sheetId="7" r:id="rId4"/>
    <sheet name="pivot 3" sheetId="8" r:id="rId5"/>
    <sheet name="pivot 4" sheetId="9" r:id="rId6"/>
    <sheet name="customtable pivot" sheetId="10" r:id="rId7"/>
    <sheet name="Customer_Table" sheetId="2" r:id="rId8"/>
    <sheet name="Data_Dictionary" sheetId="3" r:id="rId9"/>
    <sheet name="Dirty_Data_Log" sheetId="4" r:id="rId10"/>
  </sheets>
  <definedNames>
    <definedName name="_xlnm._FilterDatabase" localSheetId="7" hidden="1">Customer_Table!$A$1:$F$1</definedName>
    <definedName name="_xlnm._FilterDatabase" localSheetId="0" hidden="1">Raw_Data!$A$1:$Q$1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2" l="1" a="1"/>
  <c r="J1" i="2" s="1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T2" i="5"/>
  <c r="I1" i="2" s="1" a="1"/>
  <c r="I1" i="2" s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R1002" i="5"/>
  <c r="R1003" i="5"/>
  <c r="R1004" i="5"/>
  <c r="R1005" i="5"/>
  <c r="R1006" i="5"/>
  <c r="R1001" i="5"/>
  <c r="R999" i="5"/>
  <c r="R1000" i="5"/>
  <c r="R997" i="5"/>
  <c r="R998" i="5"/>
  <c r="R995" i="5"/>
  <c r="R996" i="5"/>
  <c r="R992" i="5"/>
  <c r="R993" i="5"/>
  <c r="R994" i="5"/>
  <c r="R991" i="5"/>
  <c r="R989" i="5"/>
  <c r="R990" i="5"/>
  <c r="R988" i="5"/>
  <c r="R987" i="5"/>
  <c r="R985" i="5"/>
  <c r="R986" i="5"/>
  <c r="R984" i="5"/>
  <c r="R983" i="5"/>
  <c r="R981" i="5"/>
  <c r="R982" i="5"/>
  <c r="R979" i="5"/>
  <c r="R980" i="5"/>
  <c r="R978" i="5"/>
  <c r="R977" i="5"/>
  <c r="R975" i="5"/>
  <c r="R976" i="5"/>
  <c r="R973" i="5"/>
  <c r="R974" i="5"/>
  <c r="R972" i="5"/>
  <c r="R970" i="5"/>
  <c r="R971" i="5"/>
  <c r="R968" i="5"/>
  <c r="R969" i="5"/>
  <c r="R967" i="5"/>
  <c r="R966" i="5"/>
  <c r="R965" i="5"/>
  <c r="R961" i="5"/>
  <c r="R962" i="5"/>
  <c r="R963" i="5"/>
  <c r="R964" i="5"/>
  <c r="R960" i="5"/>
  <c r="R959" i="5"/>
  <c r="R958" i="5"/>
  <c r="R957" i="5"/>
  <c r="R955" i="5"/>
  <c r="R956" i="5"/>
  <c r="R953" i="5"/>
  <c r="R954" i="5"/>
  <c r="R950" i="5"/>
  <c r="R951" i="5"/>
  <c r="R952" i="5"/>
  <c r="R948" i="5"/>
  <c r="R949" i="5"/>
  <c r="R947" i="5"/>
  <c r="R946" i="5"/>
  <c r="R945" i="5"/>
  <c r="R944" i="5"/>
  <c r="R943" i="5"/>
  <c r="R942" i="5"/>
  <c r="R941" i="5"/>
  <c r="R940" i="5"/>
  <c r="R939" i="5"/>
  <c r="R936" i="5"/>
  <c r="R937" i="5"/>
  <c r="R938" i="5"/>
  <c r="R934" i="5"/>
  <c r="R935" i="5"/>
  <c r="R933" i="5"/>
  <c r="R931" i="5"/>
  <c r="R932" i="5"/>
  <c r="R930" i="5"/>
  <c r="R929" i="5"/>
  <c r="R928" i="5"/>
  <c r="R926" i="5"/>
  <c r="R927" i="5"/>
  <c r="R925" i="5"/>
  <c r="R924" i="5"/>
  <c r="R922" i="5"/>
  <c r="R923" i="5"/>
  <c r="R921" i="5"/>
  <c r="R919" i="5"/>
  <c r="R920" i="5"/>
  <c r="R918" i="5"/>
  <c r="R917" i="5"/>
  <c r="R916" i="5"/>
  <c r="R915" i="5"/>
  <c r="R914" i="5"/>
  <c r="R913" i="5"/>
  <c r="R912" i="5"/>
  <c r="R911" i="5"/>
  <c r="R910" i="5"/>
  <c r="R909" i="5"/>
  <c r="R908" i="5"/>
  <c r="R906" i="5"/>
  <c r="R907" i="5"/>
  <c r="R905" i="5"/>
  <c r="R903" i="5"/>
  <c r="R904" i="5"/>
  <c r="R901" i="5"/>
  <c r="R902" i="5"/>
  <c r="R899" i="5"/>
  <c r="R900" i="5"/>
  <c r="R898" i="5"/>
  <c r="R897" i="5"/>
  <c r="R896" i="5"/>
  <c r="R895" i="5"/>
  <c r="R894" i="5"/>
  <c r="R891" i="5"/>
  <c r="R892" i="5"/>
  <c r="R893" i="5"/>
  <c r="R890" i="5"/>
  <c r="R889" i="5"/>
  <c r="R888" i="5"/>
  <c r="R886" i="5"/>
  <c r="R887" i="5"/>
  <c r="R885" i="5"/>
  <c r="R884" i="5"/>
  <c r="R883" i="5"/>
  <c r="R881" i="5"/>
  <c r="R882" i="5"/>
  <c r="R880" i="5"/>
  <c r="R879" i="5"/>
  <c r="R878" i="5"/>
  <c r="R874" i="5"/>
  <c r="R875" i="5"/>
  <c r="R876" i="5"/>
  <c r="R877" i="5"/>
  <c r="R872" i="5"/>
  <c r="R873" i="5"/>
  <c r="R871" i="5"/>
  <c r="R870" i="5"/>
  <c r="R868" i="5"/>
  <c r="R869" i="5"/>
  <c r="R867" i="5"/>
  <c r="R865" i="5"/>
  <c r="R866" i="5"/>
  <c r="R864" i="5"/>
  <c r="R863" i="5"/>
  <c r="R862" i="5"/>
  <c r="R860" i="5"/>
  <c r="R861" i="5"/>
  <c r="R859" i="5"/>
  <c r="R858" i="5"/>
  <c r="R855" i="5"/>
  <c r="R856" i="5"/>
  <c r="R857" i="5"/>
  <c r="R854" i="5"/>
  <c r="R852" i="5"/>
  <c r="R853" i="5"/>
  <c r="R851" i="5"/>
  <c r="R849" i="5"/>
  <c r="R850" i="5"/>
  <c r="R848" i="5"/>
  <c r="R847" i="5"/>
  <c r="R846" i="5"/>
  <c r="R845" i="5"/>
  <c r="R844" i="5"/>
  <c r="R841" i="5"/>
  <c r="R842" i="5"/>
  <c r="R843" i="5"/>
  <c r="R840" i="5"/>
  <c r="R839" i="5"/>
  <c r="R838" i="5"/>
  <c r="R837" i="5"/>
  <c r="R836" i="5"/>
  <c r="R835" i="5"/>
  <c r="R834" i="5"/>
  <c r="R833" i="5"/>
  <c r="R832" i="5"/>
  <c r="R830" i="5"/>
  <c r="R831" i="5"/>
  <c r="R828" i="5"/>
  <c r="R829" i="5"/>
  <c r="R826" i="5"/>
  <c r="R827" i="5"/>
  <c r="R825" i="5"/>
  <c r="R824" i="5"/>
  <c r="R823" i="5"/>
  <c r="R821" i="5"/>
  <c r="R822" i="5"/>
  <c r="R819" i="5"/>
  <c r="R820" i="5"/>
  <c r="R817" i="5"/>
  <c r="R818" i="5"/>
  <c r="R815" i="5"/>
  <c r="R816" i="5"/>
  <c r="R814" i="5"/>
  <c r="R812" i="5"/>
  <c r="R813" i="5"/>
  <c r="R809" i="5"/>
  <c r="R810" i="5"/>
  <c r="R811" i="5"/>
  <c r="R807" i="5"/>
  <c r="R808" i="5"/>
  <c r="R806" i="5"/>
  <c r="R805" i="5"/>
  <c r="R804" i="5"/>
  <c r="R803" i="5"/>
  <c r="R802" i="5"/>
  <c r="R798" i="5"/>
  <c r="R799" i="5"/>
  <c r="R800" i="5"/>
  <c r="R801" i="5"/>
  <c r="R796" i="5"/>
  <c r="R797" i="5"/>
  <c r="R795" i="5"/>
  <c r="R794" i="5"/>
  <c r="R792" i="5"/>
  <c r="R793" i="5"/>
  <c r="R790" i="5"/>
  <c r="R791" i="5"/>
  <c r="R789" i="5"/>
  <c r="R788" i="5"/>
  <c r="R786" i="5"/>
  <c r="R787" i="5"/>
  <c r="R785" i="5"/>
  <c r="R784" i="5"/>
  <c r="R783" i="5"/>
  <c r="R782" i="5"/>
  <c r="R781" i="5"/>
  <c r="R780" i="5"/>
  <c r="R778" i="5"/>
  <c r="R779" i="5"/>
  <c r="R777" i="5"/>
  <c r="R776" i="5"/>
  <c r="R774" i="5"/>
  <c r="R775" i="5"/>
  <c r="R773" i="5"/>
  <c r="R771" i="5"/>
  <c r="R772" i="5"/>
  <c r="R768" i="5"/>
  <c r="R769" i="5"/>
  <c r="R770" i="5"/>
  <c r="R767" i="5"/>
  <c r="R765" i="5"/>
  <c r="R766" i="5"/>
  <c r="R764" i="5"/>
  <c r="R763" i="5"/>
  <c r="R762" i="5"/>
  <c r="R761" i="5"/>
  <c r="R760" i="5"/>
  <c r="R759" i="5"/>
  <c r="R758" i="5"/>
  <c r="R756" i="5"/>
  <c r="R757" i="5"/>
  <c r="R755" i="5"/>
  <c r="R754" i="5"/>
  <c r="R753" i="5"/>
  <c r="R752" i="5"/>
  <c r="R751" i="5"/>
  <c r="R750" i="5"/>
  <c r="R749" i="5"/>
  <c r="R748" i="5"/>
  <c r="R747" i="5"/>
  <c r="R745" i="5"/>
  <c r="R746" i="5"/>
  <c r="R744" i="5"/>
  <c r="R743" i="5"/>
  <c r="R740" i="5"/>
  <c r="R741" i="5"/>
  <c r="R742" i="5"/>
  <c r="R739" i="5"/>
  <c r="R738" i="5"/>
  <c r="R737" i="5"/>
  <c r="R735" i="5"/>
  <c r="R736" i="5"/>
  <c r="R734" i="5"/>
  <c r="R731" i="5"/>
  <c r="R732" i="5"/>
  <c r="R733" i="5"/>
  <c r="R730" i="5"/>
  <c r="R729" i="5"/>
  <c r="R728" i="5"/>
  <c r="R727" i="5"/>
  <c r="R724" i="5"/>
  <c r="R725" i="5"/>
  <c r="R726" i="5"/>
  <c r="R723" i="5"/>
  <c r="R722" i="5"/>
  <c r="R721" i="5"/>
  <c r="R720" i="5"/>
  <c r="R718" i="5"/>
  <c r="R719" i="5"/>
  <c r="R717" i="5"/>
  <c r="R716" i="5"/>
  <c r="R715" i="5"/>
  <c r="R714" i="5"/>
  <c r="R711" i="5"/>
  <c r="R712" i="5"/>
  <c r="R713" i="5"/>
  <c r="R708" i="5"/>
  <c r="R709" i="5"/>
  <c r="R710" i="5"/>
  <c r="R706" i="5"/>
  <c r="R707" i="5"/>
  <c r="R704" i="5"/>
  <c r="R705" i="5"/>
  <c r="R702" i="5"/>
  <c r="R703" i="5"/>
  <c r="R701" i="5"/>
  <c r="R700" i="5"/>
  <c r="R698" i="5"/>
  <c r="R699" i="5"/>
  <c r="R697" i="5"/>
  <c r="R696" i="5"/>
  <c r="R695" i="5"/>
  <c r="R694" i="5"/>
  <c r="R692" i="5"/>
  <c r="R693" i="5"/>
  <c r="R691" i="5"/>
  <c r="R690" i="5"/>
  <c r="R688" i="5"/>
  <c r="R689" i="5"/>
  <c r="R687" i="5"/>
  <c r="R686" i="5"/>
  <c r="R685" i="5"/>
  <c r="R684" i="5"/>
  <c r="R683" i="5"/>
  <c r="R680" i="5"/>
  <c r="R681" i="5"/>
  <c r="R682" i="5"/>
  <c r="R679" i="5"/>
  <c r="R677" i="5"/>
  <c r="R678" i="5"/>
  <c r="R676" i="5"/>
  <c r="R673" i="5"/>
  <c r="R674" i="5"/>
  <c r="R675" i="5"/>
  <c r="R672" i="5"/>
  <c r="R671" i="5"/>
  <c r="R670" i="5"/>
  <c r="R669" i="5"/>
  <c r="R667" i="5"/>
  <c r="R668" i="5"/>
  <c r="R666" i="5"/>
  <c r="R665" i="5"/>
  <c r="R664" i="5"/>
  <c r="R663" i="5"/>
  <c r="R662" i="5"/>
  <c r="R661" i="5"/>
  <c r="R660" i="5"/>
  <c r="R658" i="5"/>
  <c r="R659" i="5"/>
  <c r="R656" i="5"/>
  <c r="R657" i="5"/>
  <c r="R655" i="5"/>
  <c r="R654" i="5"/>
  <c r="R652" i="5"/>
  <c r="R653" i="5"/>
  <c r="R651" i="5"/>
  <c r="R650" i="5"/>
  <c r="R647" i="5"/>
  <c r="R648" i="5"/>
  <c r="R649" i="5"/>
  <c r="R645" i="5"/>
  <c r="R646" i="5"/>
  <c r="R644" i="5"/>
  <c r="R643" i="5"/>
  <c r="R641" i="5"/>
  <c r="R642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6" i="5"/>
  <c r="R627" i="5"/>
  <c r="R628" i="5"/>
  <c r="R625" i="5"/>
  <c r="R624" i="5"/>
  <c r="R623" i="5"/>
  <c r="R620" i="5"/>
  <c r="R621" i="5"/>
  <c r="R622" i="5"/>
  <c r="R619" i="5"/>
  <c r="R618" i="5"/>
  <c r="R617" i="5"/>
  <c r="R616" i="5"/>
  <c r="R615" i="5"/>
  <c r="R613" i="5"/>
  <c r="R614" i="5"/>
  <c r="R612" i="5"/>
  <c r="R610" i="5"/>
  <c r="R611" i="5"/>
  <c r="R609" i="5"/>
  <c r="R607" i="5"/>
  <c r="R608" i="5"/>
  <c r="R606" i="5"/>
  <c r="R605" i="5"/>
  <c r="R602" i="5"/>
  <c r="R603" i="5"/>
  <c r="R604" i="5"/>
  <c r="R601" i="5"/>
  <c r="R600" i="5"/>
  <c r="R599" i="5"/>
  <c r="R598" i="5"/>
  <c r="R596" i="5"/>
  <c r="R597" i="5"/>
  <c r="R595" i="5"/>
  <c r="R593" i="5"/>
  <c r="R594" i="5"/>
  <c r="R592" i="5"/>
  <c r="R590" i="5"/>
  <c r="R591" i="5"/>
  <c r="R588" i="5"/>
  <c r="R589" i="5"/>
  <c r="R586" i="5"/>
  <c r="R587" i="5"/>
  <c r="R585" i="5"/>
  <c r="R584" i="5"/>
  <c r="R582" i="5"/>
  <c r="R583" i="5"/>
  <c r="R581" i="5"/>
  <c r="R580" i="5"/>
  <c r="R578" i="5"/>
  <c r="R579" i="5"/>
  <c r="R576" i="5"/>
  <c r="R577" i="5"/>
  <c r="R575" i="5"/>
  <c r="R573" i="5"/>
  <c r="R574" i="5"/>
  <c r="R572" i="5"/>
  <c r="R570" i="5"/>
  <c r="R571" i="5"/>
  <c r="R569" i="5"/>
  <c r="R567" i="5"/>
  <c r="R568" i="5"/>
  <c r="R565" i="5"/>
  <c r="R566" i="5"/>
  <c r="R564" i="5"/>
  <c r="R561" i="5"/>
  <c r="R562" i="5"/>
  <c r="R563" i="5"/>
  <c r="R560" i="5"/>
  <c r="R559" i="5"/>
  <c r="R557" i="5"/>
  <c r="R558" i="5"/>
  <c r="R556" i="5"/>
  <c r="R555" i="5"/>
  <c r="R554" i="5"/>
  <c r="R552" i="5"/>
  <c r="R553" i="5"/>
  <c r="R551" i="5"/>
  <c r="R549" i="5"/>
  <c r="R550" i="5"/>
  <c r="R547" i="5"/>
  <c r="R548" i="5"/>
  <c r="R546" i="5"/>
  <c r="R545" i="5"/>
  <c r="R543" i="5"/>
  <c r="R544" i="5"/>
  <c r="R541" i="5"/>
  <c r="R542" i="5"/>
  <c r="R540" i="5"/>
  <c r="R539" i="5"/>
  <c r="R538" i="5"/>
  <c r="R537" i="5"/>
  <c r="R533" i="5"/>
  <c r="R534" i="5"/>
  <c r="R535" i="5"/>
  <c r="R536" i="5"/>
  <c r="R532" i="5"/>
  <c r="R530" i="5"/>
  <c r="R531" i="5"/>
  <c r="R529" i="5"/>
  <c r="R528" i="5"/>
  <c r="R527" i="5"/>
  <c r="R525" i="5"/>
  <c r="R526" i="5"/>
  <c r="R524" i="5"/>
  <c r="R522" i="5"/>
  <c r="R523" i="5"/>
  <c r="R521" i="5"/>
  <c r="R519" i="5"/>
  <c r="R520" i="5"/>
  <c r="R517" i="5"/>
  <c r="R518" i="5"/>
  <c r="R515" i="5"/>
  <c r="R516" i="5"/>
  <c r="R514" i="5"/>
  <c r="R513" i="5"/>
  <c r="R512" i="5"/>
  <c r="R510" i="5"/>
  <c r="R511" i="5"/>
  <c r="R508" i="5"/>
  <c r="R509" i="5"/>
  <c r="R507" i="5"/>
  <c r="R506" i="5"/>
  <c r="R504" i="5"/>
  <c r="R505" i="5"/>
  <c r="R503" i="5"/>
  <c r="R502" i="5"/>
  <c r="R501" i="5"/>
  <c r="R500" i="5"/>
  <c r="R499" i="5"/>
  <c r="R498" i="5"/>
  <c r="R497" i="5"/>
  <c r="R496" i="5"/>
  <c r="R492" i="5"/>
  <c r="R493" i="5"/>
  <c r="R494" i="5"/>
  <c r="R495" i="5"/>
  <c r="R491" i="5"/>
  <c r="R490" i="5"/>
  <c r="R488" i="5"/>
  <c r="R489" i="5"/>
  <c r="R487" i="5"/>
  <c r="R486" i="5"/>
  <c r="R485" i="5"/>
  <c r="R484" i="5"/>
  <c r="R483" i="5"/>
  <c r="R482" i="5"/>
  <c r="R481" i="5"/>
  <c r="R480" i="5"/>
  <c r="R478" i="5"/>
  <c r="R479" i="5"/>
  <c r="R476" i="5"/>
  <c r="R477" i="5"/>
  <c r="R475" i="5"/>
  <c r="R474" i="5"/>
  <c r="R472" i="5"/>
  <c r="R473" i="5"/>
  <c r="R471" i="5"/>
  <c r="R470" i="5"/>
  <c r="R469" i="5"/>
  <c r="R467" i="5"/>
  <c r="R468" i="5"/>
  <c r="R466" i="5"/>
  <c r="R464" i="5"/>
  <c r="R465" i="5"/>
  <c r="R459" i="5"/>
  <c r="R460" i="5"/>
  <c r="R461" i="5"/>
  <c r="R462" i="5"/>
  <c r="R463" i="5"/>
  <c r="R458" i="5"/>
  <c r="R453" i="5"/>
  <c r="R454" i="5"/>
  <c r="R455" i="5"/>
  <c r="R456" i="5"/>
  <c r="R457" i="5"/>
  <c r="R452" i="5"/>
  <c r="R451" i="5"/>
  <c r="R450" i="5"/>
  <c r="R449" i="5"/>
  <c r="R448" i="5"/>
  <c r="R447" i="5"/>
  <c r="R446" i="5"/>
  <c r="R443" i="5"/>
  <c r="R444" i="5"/>
  <c r="R445" i="5"/>
  <c r="R442" i="5"/>
  <c r="R441" i="5"/>
  <c r="R440" i="5"/>
  <c r="R439" i="5"/>
  <c r="R438" i="5"/>
  <c r="R437" i="5"/>
  <c r="R435" i="5"/>
  <c r="R436" i="5"/>
  <c r="R434" i="5"/>
  <c r="R433" i="5"/>
  <c r="R432" i="5"/>
  <c r="R431" i="5"/>
  <c r="R430" i="5"/>
  <c r="R429" i="5"/>
  <c r="R427" i="5"/>
  <c r="R428" i="5"/>
  <c r="R425" i="5"/>
  <c r="R426" i="5"/>
  <c r="R424" i="5"/>
  <c r="R420" i="5"/>
  <c r="R421" i="5"/>
  <c r="R422" i="5"/>
  <c r="R423" i="5"/>
  <c r="R419" i="5"/>
  <c r="R418" i="5"/>
  <c r="R416" i="5"/>
  <c r="R417" i="5"/>
  <c r="R414" i="5"/>
  <c r="R415" i="5"/>
  <c r="R412" i="5"/>
  <c r="R413" i="5"/>
  <c r="R410" i="5"/>
  <c r="R411" i="5"/>
  <c r="R409" i="5"/>
  <c r="R408" i="5"/>
  <c r="R407" i="5"/>
  <c r="R406" i="5"/>
  <c r="R405" i="5"/>
  <c r="R403" i="5"/>
  <c r="R404" i="5"/>
  <c r="R402" i="5"/>
  <c r="R401" i="5"/>
  <c r="R399" i="5"/>
  <c r="R400" i="5"/>
  <c r="R397" i="5"/>
  <c r="R398" i="5"/>
  <c r="R396" i="5"/>
  <c r="R395" i="5"/>
  <c r="R393" i="5"/>
  <c r="R394" i="5"/>
  <c r="R392" i="5"/>
  <c r="R391" i="5"/>
  <c r="R390" i="5"/>
  <c r="R389" i="5"/>
  <c r="R388" i="5"/>
  <c r="R385" i="5"/>
  <c r="R386" i="5"/>
  <c r="R387" i="5"/>
  <c r="R383" i="5"/>
  <c r="R384" i="5"/>
  <c r="R382" i="5"/>
  <c r="R380" i="5"/>
  <c r="R381" i="5"/>
  <c r="R379" i="5"/>
  <c r="R378" i="5"/>
  <c r="R377" i="5"/>
  <c r="R376" i="5"/>
  <c r="R374" i="5"/>
  <c r="R375" i="5"/>
  <c r="R373" i="5"/>
  <c r="R372" i="5"/>
  <c r="R371" i="5"/>
  <c r="R369" i="5"/>
  <c r="R370" i="5"/>
  <c r="R368" i="5"/>
  <c r="R367" i="5"/>
  <c r="R366" i="5"/>
  <c r="R365" i="5"/>
  <c r="R364" i="5"/>
  <c r="R363" i="5"/>
  <c r="R361" i="5"/>
  <c r="R362" i="5"/>
  <c r="R360" i="5"/>
  <c r="R357" i="5"/>
  <c r="R358" i="5"/>
  <c r="R359" i="5"/>
  <c r="R355" i="5"/>
  <c r="R356" i="5"/>
  <c r="R353" i="5"/>
  <c r="R354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39" i="5"/>
  <c r="R340" i="5"/>
  <c r="R337" i="5"/>
  <c r="R338" i="5"/>
  <c r="R336" i="5"/>
  <c r="R335" i="5"/>
  <c r="R334" i="5"/>
  <c r="R333" i="5"/>
  <c r="R332" i="5"/>
  <c r="R331" i="5"/>
  <c r="R329" i="5"/>
  <c r="R330" i="5"/>
  <c r="R327" i="5"/>
  <c r="R328" i="5"/>
  <c r="R325" i="5"/>
  <c r="R326" i="5"/>
  <c r="R324" i="5"/>
  <c r="R323" i="5"/>
  <c r="R322" i="5"/>
  <c r="R321" i="5"/>
  <c r="R319" i="5"/>
  <c r="R320" i="5"/>
  <c r="R318" i="5"/>
  <c r="R317" i="5"/>
  <c r="R315" i="5"/>
  <c r="R316" i="5"/>
  <c r="R313" i="5"/>
  <c r="R314" i="5"/>
  <c r="R312" i="5"/>
  <c r="R311" i="5"/>
  <c r="R310" i="5"/>
  <c r="R308" i="5"/>
  <c r="R309" i="5"/>
  <c r="R307" i="5"/>
  <c r="R305" i="5"/>
  <c r="R306" i="5"/>
  <c r="R304" i="5"/>
  <c r="R303" i="5"/>
  <c r="R302" i="5"/>
  <c r="R301" i="5"/>
  <c r="R300" i="5"/>
  <c r="R299" i="5"/>
  <c r="R298" i="5"/>
  <c r="R296" i="5"/>
  <c r="R297" i="5"/>
  <c r="R294" i="5"/>
  <c r="R295" i="5"/>
  <c r="R293" i="5"/>
  <c r="R291" i="5"/>
  <c r="R292" i="5"/>
  <c r="R290" i="5"/>
  <c r="R289" i="5"/>
  <c r="R288" i="5"/>
  <c r="R287" i="5"/>
  <c r="R286" i="5"/>
  <c r="R285" i="5"/>
  <c r="R283" i="5"/>
  <c r="R284" i="5"/>
  <c r="R282" i="5"/>
  <c r="R280" i="5"/>
  <c r="R281" i="5"/>
  <c r="R279" i="5"/>
  <c r="R278" i="5"/>
  <c r="R276" i="5"/>
  <c r="R277" i="5"/>
  <c r="R275" i="5"/>
  <c r="R274" i="5"/>
  <c r="R273" i="5"/>
  <c r="R272" i="5"/>
  <c r="R270" i="5"/>
  <c r="R271" i="5"/>
  <c r="R269" i="5"/>
  <c r="R268" i="5"/>
  <c r="R267" i="5"/>
  <c r="R266" i="5"/>
  <c r="R265" i="5"/>
  <c r="R264" i="5"/>
  <c r="R263" i="5"/>
  <c r="R262" i="5"/>
  <c r="R261" i="5"/>
  <c r="R258" i="5"/>
  <c r="R259" i="5"/>
  <c r="R260" i="5"/>
  <c r="R256" i="5"/>
  <c r="R257" i="5"/>
  <c r="R255" i="5"/>
  <c r="R254" i="5"/>
  <c r="R252" i="5"/>
  <c r="R253" i="5"/>
  <c r="R250" i="5"/>
  <c r="R251" i="5"/>
  <c r="R249" i="5"/>
  <c r="R245" i="5"/>
  <c r="R246" i="5"/>
  <c r="R247" i="5"/>
  <c r="R248" i="5"/>
  <c r="R244" i="5"/>
  <c r="R243" i="5"/>
  <c r="R242" i="5"/>
  <c r="R241" i="5"/>
  <c r="R240" i="5"/>
  <c r="R239" i="5"/>
  <c r="R238" i="5"/>
  <c r="R237" i="5"/>
  <c r="R235" i="5"/>
  <c r="R236" i="5"/>
  <c r="R234" i="5"/>
  <c r="R233" i="5"/>
  <c r="R232" i="5"/>
  <c r="R230" i="5"/>
  <c r="R231" i="5"/>
  <c r="R228" i="5"/>
  <c r="R229" i="5"/>
  <c r="R226" i="5"/>
  <c r="R227" i="5"/>
  <c r="R225" i="5"/>
  <c r="R224" i="5"/>
  <c r="R223" i="5"/>
  <c r="R222" i="5"/>
  <c r="R221" i="5"/>
  <c r="R220" i="5"/>
  <c r="R219" i="5"/>
  <c r="R218" i="5"/>
  <c r="R216" i="5"/>
  <c r="R217" i="5"/>
  <c r="R215" i="5"/>
  <c r="R213" i="5"/>
  <c r="R214" i="5"/>
  <c r="R212" i="5"/>
  <c r="R211" i="5"/>
  <c r="R209" i="5"/>
  <c r="R210" i="5"/>
  <c r="R208" i="5"/>
  <c r="R207" i="5"/>
  <c r="R204" i="5"/>
  <c r="R205" i="5"/>
  <c r="R206" i="5"/>
  <c r="R203" i="5"/>
  <c r="R202" i="5"/>
  <c r="R200" i="5"/>
  <c r="R201" i="5"/>
  <c r="R199" i="5"/>
  <c r="R197" i="5"/>
  <c r="R198" i="5"/>
  <c r="R196" i="5"/>
  <c r="R195" i="5"/>
  <c r="R194" i="5"/>
  <c r="R193" i="5"/>
  <c r="R192" i="5"/>
  <c r="R191" i="5"/>
  <c r="R190" i="5"/>
  <c r="R189" i="5"/>
  <c r="R186" i="5"/>
  <c r="R187" i="5"/>
  <c r="R188" i="5"/>
  <c r="R183" i="5"/>
  <c r="R184" i="5"/>
  <c r="R185" i="5"/>
  <c r="R182" i="5"/>
  <c r="R181" i="5"/>
  <c r="R179" i="5"/>
  <c r="R180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4" i="5"/>
  <c r="R165" i="5"/>
  <c r="R166" i="5"/>
  <c r="R162" i="5"/>
  <c r="R163" i="5"/>
  <c r="R160" i="5"/>
  <c r="R161" i="5"/>
  <c r="R159" i="5"/>
  <c r="R158" i="5"/>
  <c r="R157" i="5"/>
  <c r="R156" i="5"/>
  <c r="R155" i="5"/>
  <c r="R152" i="5"/>
  <c r="R153" i="5"/>
  <c r="R154" i="5"/>
  <c r="R151" i="5"/>
  <c r="R150" i="5"/>
  <c r="R149" i="5"/>
  <c r="R148" i="5"/>
  <c r="R146" i="5"/>
  <c r="R147" i="5"/>
  <c r="R144" i="5"/>
  <c r="R145" i="5"/>
  <c r="R143" i="5"/>
  <c r="R142" i="5"/>
  <c r="R141" i="5"/>
  <c r="R139" i="5"/>
  <c r="R140" i="5"/>
  <c r="R138" i="5"/>
  <c r="R137" i="5"/>
  <c r="R136" i="5"/>
  <c r="R135" i="5"/>
  <c r="R134" i="5"/>
  <c r="R133" i="5"/>
  <c r="R132" i="5"/>
  <c r="R131" i="5"/>
  <c r="R128" i="5"/>
  <c r="R129" i="5"/>
  <c r="R130" i="5"/>
  <c r="R126" i="5"/>
  <c r="R127" i="5"/>
  <c r="R124" i="5"/>
  <c r="R125" i="5"/>
  <c r="R122" i="5"/>
  <c r="R123" i="5"/>
  <c r="R121" i="5"/>
  <c r="R120" i="5"/>
  <c r="R119" i="5"/>
  <c r="R118" i="5"/>
  <c r="R117" i="5"/>
  <c r="R116" i="5"/>
  <c r="R115" i="5"/>
  <c r="R113" i="5"/>
  <c r="R114" i="5"/>
  <c r="R112" i="5"/>
  <c r="R111" i="5"/>
  <c r="R110" i="5"/>
  <c r="R109" i="5"/>
  <c r="R108" i="5"/>
  <c r="R107" i="5"/>
  <c r="R106" i="5"/>
  <c r="R105" i="5"/>
  <c r="R103" i="5"/>
  <c r="R104" i="5"/>
  <c r="R102" i="5"/>
  <c r="R100" i="5"/>
  <c r="R101" i="5"/>
  <c r="R98" i="5"/>
  <c r="R99" i="5"/>
  <c r="R96" i="5"/>
  <c r="R97" i="5"/>
  <c r="R95" i="5"/>
  <c r="R92" i="5"/>
  <c r="R93" i="5"/>
  <c r="R94" i="5"/>
  <c r="R90" i="5"/>
  <c r="R91" i="5"/>
  <c r="R89" i="5"/>
  <c r="R88" i="5"/>
  <c r="R86" i="5"/>
  <c r="R87" i="5"/>
  <c r="R84" i="5"/>
  <c r="R85" i="5"/>
  <c r="R83" i="5"/>
  <c r="R82" i="5"/>
  <c r="R81" i="5"/>
  <c r="R80" i="5"/>
  <c r="R79" i="5"/>
  <c r="R77" i="5"/>
  <c r="R78" i="5"/>
  <c r="R76" i="5"/>
  <c r="R74" i="5"/>
  <c r="R75" i="5"/>
  <c r="R72" i="5"/>
  <c r="R73" i="5"/>
  <c r="R71" i="5"/>
  <c r="R70" i="5"/>
  <c r="R69" i="5"/>
  <c r="R68" i="5"/>
  <c r="R67" i="5"/>
  <c r="R65" i="5"/>
  <c r="R66" i="5"/>
  <c r="R64" i="5"/>
  <c r="R62" i="5"/>
  <c r="R63" i="5"/>
  <c r="R61" i="5"/>
  <c r="R60" i="5"/>
  <c r="R57" i="5"/>
  <c r="R58" i="5"/>
  <c r="R59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2" i="5"/>
  <c r="R43" i="5"/>
  <c r="R41" i="5"/>
  <c r="R40" i="5"/>
  <c r="R38" i="5"/>
  <c r="R39" i="5"/>
  <c r="R37" i="5"/>
  <c r="R36" i="5"/>
  <c r="R35" i="5"/>
  <c r="R34" i="5"/>
  <c r="R33" i="5"/>
  <c r="R32" i="5"/>
  <c r="R31" i="5"/>
  <c r="R30" i="5"/>
  <c r="R29" i="5"/>
  <c r="R28" i="5"/>
  <c r="R27" i="5"/>
  <c r="R26" i="5"/>
  <c r="R23" i="5"/>
  <c r="R24" i="5"/>
  <c r="R25" i="5"/>
  <c r="R22" i="5"/>
  <c r="R21" i="5"/>
  <c r="R20" i="5"/>
  <c r="R19" i="5"/>
  <c r="R18" i="5"/>
  <c r="R17" i="5"/>
  <c r="R16" i="5"/>
  <c r="R14" i="5"/>
  <c r="R15" i="5"/>
  <c r="R12" i="5"/>
  <c r="R13" i="5"/>
  <c r="R11" i="5"/>
  <c r="R10" i="5"/>
  <c r="R9" i="5"/>
  <c r="R8" i="5"/>
  <c r="R7" i="5"/>
  <c r="R6" i="5"/>
  <c r="R5" i="5"/>
  <c r="R4" i="5"/>
  <c r="R2" i="5"/>
  <c r="R3" i="5"/>
  <c r="O1008" i="5"/>
  <c r="O1007" i="5"/>
  <c r="J1007" i="5"/>
  <c r="D1007" i="5"/>
  <c r="E5" i="6"/>
  <c r="E7" i="6"/>
  <c r="E8" i="6"/>
  <c r="E6" i="6"/>
  <c r="E4" i="6"/>
  <c r="E18" i="6"/>
  <c r="E15" i="6"/>
  <c r="E17" i="6"/>
  <c r="E16" i="6"/>
  <c r="E14" i="6"/>
  <c r="E19" i="6" l="1"/>
  <c r="E9" i="6"/>
  <c r="N100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<sst xmlns="http://schemas.openxmlformats.org/spreadsheetml/2006/main" count="23971" uniqueCount="2631">
  <si>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</si>
  <si>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</si>
  <si>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</si>
  <si>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</si>
  <si>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</si>
  <si>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</si>
  <si>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</si>
  <si>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</si>
  <si>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</si>
  <si>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</si>
  <si>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Category</t>
  </si>
  <si>
    <t>Sub-Category</t>
  </si>
  <si>
    <t>Product ID</t>
  </si>
  <si>
    <t>Sales</t>
  </si>
  <si>
    <t>Quantity</t>
  </si>
  <si>
    <t>Discount</t>
  </si>
  <si>
    <t>Profit</t>
  </si>
  <si>
    <t>ORD-1221</t>
  </si>
  <si>
    <t>Same Day</t>
  </si>
  <si>
    <t>CU-1073</t>
  </si>
  <si>
    <t>Linda Robinson</t>
  </si>
  <si>
    <t>Corporate</t>
  </si>
  <si>
    <t>Saint Paul</t>
  </si>
  <si>
    <t>Minnesota</t>
  </si>
  <si>
    <t>Central</t>
  </si>
  <si>
    <t>Technology</t>
  </si>
  <si>
    <t>Machines</t>
  </si>
  <si>
    <t>PROD-3821</t>
  </si>
  <si>
    <t>ORD-1310</t>
  </si>
  <si>
    <t>Standard Class</t>
  </si>
  <si>
    <t>CU-1165</t>
  </si>
  <si>
    <t>Susan Anderson</t>
  </si>
  <si>
    <t>San Diego</t>
  </si>
  <si>
    <t>California</t>
  </si>
  <si>
    <t>West</t>
  </si>
  <si>
    <t>Office Supplies</t>
  </si>
  <si>
    <t>Appliances</t>
  </si>
  <si>
    <t>PROD-3406</t>
  </si>
  <si>
    <t>ORD-1996</t>
  </si>
  <si>
    <t>First Class</t>
  </si>
  <si>
    <t>CU-1072</t>
  </si>
  <si>
    <t>Elena Jones</t>
  </si>
  <si>
    <t>Home Office</t>
  </si>
  <si>
    <t>Fort Wayne</t>
  </si>
  <si>
    <t>Indiana</t>
  </si>
  <si>
    <t>Furniture</t>
  </si>
  <si>
    <t>Bookcases</t>
  </si>
  <si>
    <t>PROD-5817</t>
  </si>
  <si>
    <t>ORD-1018</t>
  </si>
  <si>
    <t>CU-1115</t>
  </si>
  <si>
    <t>Ethan King</t>
  </si>
  <si>
    <t>Consumer</t>
  </si>
  <si>
    <t>Buffalo</t>
  </si>
  <si>
    <t>New York</t>
  </si>
  <si>
    <t>East</t>
  </si>
  <si>
    <t>PROD-1672</t>
  </si>
  <si>
    <t>ORD-1709</t>
  </si>
  <si>
    <t>CU-1080</t>
  </si>
  <si>
    <t>Sarah Lopez</t>
  </si>
  <si>
    <t>Virginia Beach</t>
  </si>
  <si>
    <t>Virginia</t>
  </si>
  <si>
    <t>Tables</t>
  </si>
  <si>
    <t>PROD-3276</t>
  </si>
  <si>
    <t>ORD-1822</t>
  </si>
  <si>
    <t>CU-1161</t>
  </si>
  <si>
    <t>John Jones</t>
  </si>
  <si>
    <t>Tucson</t>
  </si>
  <si>
    <t>Arizona</t>
  </si>
  <si>
    <t>Accessories</t>
  </si>
  <si>
    <t>PROD-6618</t>
  </si>
  <si>
    <t>ORD-1831</t>
  </si>
  <si>
    <t>PROD-1938</t>
  </si>
  <si>
    <t>ORD-1490</t>
  </si>
  <si>
    <t>Second Class</t>
  </si>
  <si>
    <t>Phones</t>
  </si>
  <si>
    <t>PROD-5648</t>
  </si>
  <si>
    <t>ORD-1499</t>
  </si>
  <si>
    <t>CU-1034</t>
  </si>
  <si>
    <t>Richard Miller</t>
  </si>
  <si>
    <t>Bridgeport</t>
  </si>
  <si>
    <t>Connecticut</t>
  </si>
  <si>
    <t>Envelopes</t>
  </si>
  <si>
    <t>PROD-3236</t>
  </si>
  <si>
    <t>ORD-1591</t>
  </si>
  <si>
    <t>CU-1111</t>
  </si>
  <si>
    <t>Sarah Wright</t>
  </si>
  <si>
    <t>Atlanta</t>
  </si>
  <si>
    <t>Georgia</t>
  </si>
  <si>
    <t>South</t>
  </si>
  <si>
    <t>Storage</t>
  </si>
  <si>
    <t>PROD-9096</t>
  </si>
  <si>
    <t>ORD-1272</t>
  </si>
  <si>
    <t>CU-1159</t>
  </si>
  <si>
    <t>Sofia Thompson</t>
  </si>
  <si>
    <t>PROD-2890</t>
  </si>
  <si>
    <t>ORD-1077</t>
  </si>
  <si>
    <t>CU-1054</t>
  </si>
  <si>
    <t>Thomas Davis</t>
  </si>
  <si>
    <t>Hartford</t>
  </si>
  <si>
    <t>Furnishings</t>
  </si>
  <si>
    <t>PROD-1831</t>
  </si>
  <si>
    <t>ORD-1483</t>
  </si>
  <si>
    <t>CU-1127</t>
  </si>
  <si>
    <t>Sarah Davis</t>
  </si>
  <si>
    <t>Nashville</t>
  </si>
  <si>
    <t>Tennessee</t>
  </si>
  <si>
    <t>PROD-2936</t>
  </si>
  <si>
    <t>ORD-1348</t>
  </si>
  <si>
    <t>CU-1069</t>
  </si>
  <si>
    <t>Michael Hernandez</t>
  </si>
  <si>
    <t>Labels</t>
  </si>
  <si>
    <t>PROD-4844</t>
  </si>
  <si>
    <t>ORD-1725</t>
  </si>
  <si>
    <t>CU-1071</t>
  </si>
  <si>
    <t>John Hernandez</t>
  </si>
  <si>
    <t>Boston</t>
  </si>
  <si>
    <t>Massachusetts</t>
  </si>
  <si>
    <t>Chairs</t>
  </si>
  <si>
    <t>PROD-2271</t>
  </si>
  <si>
    <t>ORD-1094</t>
  </si>
  <si>
    <t>CU-1020</t>
  </si>
  <si>
    <t>Linda Moore</t>
  </si>
  <si>
    <t>Springfield</t>
  </si>
  <si>
    <t>Illinois</t>
  </si>
  <si>
    <t>Copiers</t>
  </si>
  <si>
    <t>PROD-3086</t>
  </si>
  <si>
    <t>ORD-1210</t>
  </si>
  <si>
    <t>CU-1110</t>
  </si>
  <si>
    <t>Karen Clark</t>
  </si>
  <si>
    <t>San Francisco</t>
  </si>
  <si>
    <t>PROD-7705</t>
  </si>
  <si>
    <t>ORD-1512</t>
  </si>
  <si>
    <t>CU-1128</t>
  </si>
  <si>
    <t>Wei King</t>
  </si>
  <si>
    <t>Savannah</t>
  </si>
  <si>
    <t>PROD-2075</t>
  </si>
  <si>
    <t>ORD-1699</t>
  </si>
  <si>
    <t>CU-1042</t>
  </si>
  <si>
    <t>Thomas Wright</t>
  </si>
  <si>
    <t>Madison</t>
  </si>
  <si>
    <t>Wisconsin</t>
  </si>
  <si>
    <t>PROD-7125</t>
  </si>
  <si>
    <t>ORD-1906</t>
  </si>
  <si>
    <t>CU-1075</t>
  </si>
  <si>
    <t>Wei Thomas</t>
  </si>
  <si>
    <t>Milwaukee</t>
  </si>
  <si>
    <t>PROD-5019</t>
  </si>
  <si>
    <t>ORD-1327</t>
  </si>
  <si>
    <t>CU-1103</t>
  </si>
  <si>
    <t>David Davis</t>
  </si>
  <si>
    <t>Portland</t>
  </si>
  <si>
    <t>Oregon</t>
  </si>
  <si>
    <t>PROD-5530</t>
  </si>
  <si>
    <t>ORD-1489</t>
  </si>
  <si>
    <t>CU-1036</t>
  </si>
  <si>
    <t>Michael Brown</t>
  </si>
  <si>
    <t>Montgomery</t>
  </si>
  <si>
    <t>Alabama</t>
  </si>
  <si>
    <t>Binders</t>
  </si>
  <si>
    <t>PROD-2637</t>
  </si>
  <si>
    <t>ORD-1394</t>
  </si>
  <si>
    <t>PROD-1893</t>
  </si>
  <si>
    <t>ORD-1399</t>
  </si>
  <si>
    <t>CU-1059</t>
  </si>
  <si>
    <t>Barbara Williams</t>
  </si>
  <si>
    <t>Indianapolis</t>
  </si>
  <si>
    <t>Supplies</t>
  </si>
  <si>
    <t>PROD-4258</t>
  </si>
  <si>
    <t>ORD-1392</t>
  </si>
  <si>
    <t>CU-1143</t>
  </si>
  <si>
    <t>Jennifer Clark</t>
  </si>
  <si>
    <t>Detroit</t>
  </si>
  <si>
    <t>Michigan</t>
  </si>
  <si>
    <t>PROD-7776</t>
  </si>
  <si>
    <t>ORD-1965</t>
  </si>
  <si>
    <t>CU-1057</t>
  </si>
  <si>
    <t>John Smith</t>
  </si>
  <si>
    <t>Cleveland</t>
  </si>
  <si>
    <t>Ohio</t>
  </si>
  <si>
    <t>PROD-1544</t>
  </si>
  <si>
    <t>ORD-1205</t>
  </si>
  <si>
    <t>CU-1190</t>
  </si>
  <si>
    <t>Susan Davis</t>
  </si>
  <si>
    <t>Philadelphia</t>
  </si>
  <si>
    <t>Pennsylvania</t>
  </si>
  <si>
    <t>PROD-1186</t>
  </si>
  <si>
    <t>ORD-1695</t>
  </si>
  <si>
    <t>CU-1116</t>
  </si>
  <si>
    <t>Aisha Martin</t>
  </si>
  <si>
    <t>PROD-2071</t>
  </si>
  <si>
    <t>ORD-1323</t>
  </si>
  <si>
    <t>CU-1041</t>
  </si>
  <si>
    <t>Aisha Brown</t>
  </si>
  <si>
    <t>Denver</t>
  </si>
  <si>
    <t>Colorado</t>
  </si>
  <si>
    <t>PROD-5310</t>
  </si>
  <si>
    <t>ORD-1509</t>
  </si>
  <si>
    <t>CU-1013</t>
  </si>
  <si>
    <t>Carlos Brown</t>
  </si>
  <si>
    <t>PROD-4354</t>
  </si>
  <si>
    <t>ORD-1283</t>
  </si>
  <si>
    <t>CU-1192</t>
  </si>
  <si>
    <t>William Young</t>
  </si>
  <si>
    <t>PROD-4994</t>
  </si>
  <si>
    <t>ORD-1693</t>
  </si>
  <si>
    <t>CU-1050</t>
  </si>
  <si>
    <t>Carlos Jones</t>
  </si>
  <si>
    <t>Richmond</t>
  </si>
  <si>
    <t>PROD-4211</t>
  </si>
  <si>
    <t>ORD-1971</t>
  </si>
  <si>
    <t>CU-1139</t>
  </si>
  <si>
    <t>Susan Lopez</t>
  </si>
  <si>
    <t>PROD-6481</t>
  </si>
  <si>
    <t>ORD-1324</t>
  </si>
  <si>
    <t>CU-1056</t>
  </si>
  <si>
    <t>Ethan Thompson</t>
  </si>
  <si>
    <t>Art</t>
  </si>
  <si>
    <t>PROD-1941</t>
  </si>
  <si>
    <t>ORD-1372</t>
  </si>
  <si>
    <t>CU-1004</t>
  </si>
  <si>
    <t>David Hernandez</t>
  </si>
  <si>
    <t>PROD-9586</t>
  </si>
  <si>
    <t>ORD-1824</t>
  </si>
  <si>
    <t>CU-1140</t>
  </si>
  <si>
    <t>Elena Scott</t>
  </si>
  <si>
    <t>PROD-2109</t>
  </si>
  <si>
    <t>ORD-1371</t>
  </si>
  <si>
    <t>CU-1039</t>
  </si>
  <si>
    <t>Omar Miller</t>
  </si>
  <si>
    <t>Fasteners</t>
  </si>
  <si>
    <t>PROD-4039</t>
  </si>
  <si>
    <t>ORD-1183</t>
  </si>
  <si>
    <t>CU-1117</t>
  </si>
  <si>
    <t>Noah Lee</t>
  </si>
  <si>
    <t>PROD-2020</t>
  </si>
  <si>
    <t>ORD-1553</t>
  </si>
  <si>
    <t>CU-1170</t>
  </si>
  <si>
    <t>Wei Lee</t>
  </si>
  <si>
    <t>PROD-5107</t>
  </si>
  <si>
    <t>ORD-1957</t>
  </si>
  <si>
    <t>CU-1002</t>
  </si>
  <si>
    <t>Jessica Harris</t>
  </si>
  <si>
    <t>PROD-8509</t>
  </si>
  <si>
    <t>ORD-1764</t>
  </si>
  <si>
    <t>CU-1022</t>
  </si>
  <si>
    <t>Susan Hill</t>
  </si>
  <si>
    <t>PROD-9858</t>
  </si>
  <si>
    <t>ORD-1549</t>
  </si>
  <si>
    <t>CU-1175</t>
  </si>
  <si>
    <t>Charles Clark</t>
  </si>
  <si>
    <t>Miami</t>
  </si>
  <si>
    <t>Florida</t>
  </si>
  <si>
    <t>PROD-7020</t>
  </si>
  <si>
    <t>ORD-1427</t>
  </si>
  <si>
    <t>PROD-9301</t>
  </si>
  <si>
    <t>ORD-1661</t>
  </si>
  <si>
    <t>PROD-8615</t>
  </si>
  <si>
    <t>ORD-1847</t>
  </si>
  <si>
    <t>CU-1032</t>
  </si>
  <si>
    <t>Robert Hill</t>
  </si>
  <si>
    <t>Salem</t>
  </si>
  <si>
    <t>PROD-5028</t>
  </si>
  <si>
    <t>ORD-1767</t>
  </si>
  <si>
    <t>PROD-4662</t>
  </si>
  <si>
    <t>ORD-1789</t>
  </si>
  <si>
    <t>CU-1060</t>
  </si>
  <si>
    <t>William Williams</t>
  </si>
  <si>
    <t>PROD-3105</t>
  </si>
  <si>
    <t>ORD-1850</t>
  </si>
  <si>
    <t>PROD-4452</t>
  </si>
  <si>
    <t>ORD-1997</t>
  </si>
  <si>
    <t>PROD-4464</t>
  </si>
  <si>
    <t>ORD-1601</t>
  </si>
  <si>
    <t>CU-1010</t>
  </si>
  <si>
    <t>Priya Anderson</t>
  </si>
  <si>
    <t>PROD-6727</t>
  </si>
  <si>
    <t>ORD-1692</t>
  </si>
  <si>
    <t>CU-1018</t>
  </si>
  <si>
    <t>Barbara Anderson</t>
  </si>
  <si>
    <t>PROD-1486</t>
  </si>
  <si>
    <t>ORD-1592</t>
  </si>
  <si>
    <t>CU-1097</t>
  </si>
  <si>
    <t>Elena Wilson</t>
  </si>
  <si>
    <t>PROD-3955</t>
  </si>
  <si>
    <t>ORD-1054</t>
  </si>
  <si>
    <t>PROD-9501</t>
  </si>
  <si>
    <t>ORD-1627</t>
  </si>
  <si>
    <t>PROD-4845</t>
  </si>
  <si>
    <t>ORD-1010</t>
  </si>
  <si>
    <t>CU-1083</t>
  </si>
  <si>
    <t>Noah Wright</t>
  </si>
  <si>
    <t>PROD-6802</t>
  </si>
  <si>
    <t>ORD-1657</t>
  </si>
  <si>
    <t>CU-1155</t>
  </si>
  <si>
    <t>Sarah Hall</t>
  </si>
  <si>
    <t>Paper</t>
  </si>
  <si>
    <t>PROD-9649</t>
  </si>
  <si>
    <t>ORD-1216</t>
  </si>
  <si>
    <t>CU-1141</t>
  </si>
  <si>
    <t>Maria Clark</t>
  </si>
  <si>
    <t>Pittsburgh</t>
  </si>
  <si>
    <t>PROD-5896</t>
  </si>
  <si>
    <t>ORD-1551</t>
  </si>
  <si>
    <t>CU-1101</t>
  </si>
  <si>
    <t>John Johnson</t>
  </si>
  <si>
    <t>Seattle</t>
  </si>
  <si>
    <t>Washington</t>
  </si>
  <si>
    <t>PROD-7623</t>
  </si>
  <si>
    <t>ORD-1616</t>
  </si>
  <si>
    <t>CU-1047</t>
  </si>
  <si>
    <t>Linda Martin</t>
  </si>
  <si>
    <t>PROD-1217</t>
  </si>
  <si>
    <t>ORD-1507</t>
  </si>
  <si>
    <t>CU-1180</t>
  </si>
  <si>
    <t>Priya Miller</t>
  </si>
  <si>
    <t>PROD-7977</t>
  </si>
  <si>
    <t>ORD-1848</t>
  </si>
  <si>
    <t>CU-1098</t>
  </si>
  <si>
    <t>Wei Clark</t>
  </si>
  <si>
    <t>Boulder</t>
  </si>
  <si>
    <t>PROD-7911</t>
  </si>
  <si>
    <t>ORD-1811</t>
  </si>
  <si>
    <t>CU-1122</t>
  </si>
  <si>
    <t>Karen Williams</t>
  </si>
  <si>
    <t>Worcester</t>
  </si>
  <si>
    <t>PROD-7551</t>
  </si>
  <si>
    <t>ORD-1124</t>
  </si>
  <si>
    <t>PROD-2524</t>
  </si>
  <si>
    <t>ORD-1563</t>
  </si>
  <si>
    <t>CU-1086</t>
  </si>
  <si>
    <t>Omar Thompson</t>
  </si>
  <si>
    <t>PROD-1334</t>
  </si>
  <si>
    <t>ORD-1633</t>
  </si>
  <si>
    <t>CU-1085</t>
  </si>
  <si>
    <t>Emma Hernandez</t>
  </si>
  <si>
    <t>Tampa</t>
  </si>
  <si>
    <t>PROD-6592</t>
  </si>
  <si>
    <t>ORD-1456</t>
  </si>
  <si>
    <t>PROD-4698</t>
  </si>
  <si>
    <t>ORD-1038</t>
  </si>
  <si>
    <t>CU-1197</t>
  </si>
  <si>
    <t>William Moore</t>
  </si>
  <si>
    <t>PROD-8612</t>
  </si>
  <si>
    <t>ORD-1961</t>
  </si>
  <si>
    <t>CU-1150</t>
  </si>
  <si>
    <t>Emma Moore</t>
  </si>
  <si>
    <t>Raleigh</t>
  </si>
  <si>
    <t>North Carolina</t>
  </si>
  <si>
    <t>PROD-2740</t>
  </si>
  <si>
    <t>ORD-1747</t>
  </si>
  <si>
    <t>CU-1164</t>
  </si>
  <si>
    <t>Priya Hernandez</t>
  </si>
  <si>
    <t>Spokane</t>
  </si>
  <si>
    <t>PROD-8148</t>
  </si>
  <si>
    <t>ORD-1648</t>
  </si>
  <si>
    <t>CU-1033</t>
  </si>
  <si>
    <t>Olivia Wilson</t>
  </si>
  <si>
    <t>Orlando</t>
  </si>
  <si>
    <t>PROD-7694</t>
  </si>
  <si>
    <t>ORD-1884</t>
  </si>
  <si>
    <t>CU-1109</t>
  </si>
  <si>
    <t>Susan Moore</t>
  </si>
  <si>
    <t>PROD-5640</t>
  </si>
  <si>
    <t>ORD-1032</t>
  </si>
  <si>
    <t>CU-1095</t>
  </si>
  <si>
    <t>Maria Allen</t>
  </si>
  <si>
    <t>PROD-8740</t>
  </si>
  <si>
    <t>ORD-1536</t>
  </si>
  <si>
    <t>PROD-9755</t>
  </si>
  <si>
    <t>ORD-1437</t>
  </si>
  <si>
    <t>CU-1011</t>
  </si>
  <si>
    <t>Karen Jones</t>
  </si>
  <si>
    <t>Las Vegas</t>
  </si>
  <si>
    <t>Nevada</t>
  </si>
  <si>
    <t>PROD-9720</t>
  </si>
  <si>
    <t>ORD-1152</t>
  </si>
  <si>
    <t>CU-1152</t>
  </si>
  <si>
    <t>Maria Hill</t>
  </si>
  <si>
    <t>PROD-7743</t>
  </si>
  <si>
    <t>ORD-1175</t>
  </si>
  <si>
    <t>CU-1145</t>
  </si>
  <si>
    <t>Noah Walker</t>
  </si>
  <si>
    <t>PROD-9336</t>
  </si>
  <si>
    <t>ORD-1409</t>
  </si>
  <si>
    <t>CU-1104</t>
  </si>
  <si>
    <t>Mary Robinson</t>
  </si>
  <si>
    <t>Charlotte</t>
  </si>
  <si>
    <t>PROD-9027</t>
  </si>
  <si>
    <t>ORD-1336</t>
  </si>
  <si>
    <t>CU-1125</t>
  </si>
  <si>
    <t>Sofia Davis</t>
  </si>
  <si>
    <t>PROD-1533</t>
  </si>
  <si>
    <t>ORD-1487</t>
  </si>
  <si>
    <t>PROD-2979</t>
  </si>
  <si>
    <t>ORD-1953</t>
  </si>
  <si>
    <t>CU-1031</t>
  </si>
  <si>
    <t>Robert Brown</t>
  </si>
  <si>
    <t>Los Angeles</t>
  </si>
  <si>
    <t>PROD-8194</t>
  </si>
  <si>
    <t>ORD-1056</t>
  </si>
  <si>
    <t>CU-1151</t>
  </si>
  <si>
    <t>Wei Jackson</t>
  </si>
  <si>
    <t>PROD-2330</t>
  </si>
  <si>
    <t>ORD-1730</t>
  </si>
  <si>
    <t>PROD-1245</t>
  </si>
  <si>
    <t>ORD-1800</t>
  </si>
  <si>
    <t>CU-1019</t>
  </si>
  <si>
    <t>Wei Wright</t>
  </si>
  <si>
    <t>PROD-7946</t>
  </si>
  <si>
    <t>ORD-1153</t>
  </si>
  <si>
    <t>CU-1015</t>
  </si>
  <si>
    <t>Lucas Taylor</t>
  </si>
  <si>
    <t>Columbus</t>
  </si>
  <si>
    <t>PROD-7434</t>
  </si>
  <si>
    <t>ORD-1354</t>
  </si>
  <si>
    <t>CU-1078</t>
  </si>
  <si>
    <t>Jennifer Martinez</t>
  </si>
  <si>
    <t>Chicago</t>
  </si>
  <si>
    <t>PROD-8687</t>
  </si>
  <si>
    <t>ORD-1614</t>
  </si>
  <si>
    <t>CU-1149</t>
  </si>
  <si>
    <t>Joseph Davis</t>
  </si>
  <si>
    <t>Austin</t>
  </si>
  <si>
    <t>Texas</t>
  </si>
  <si>
    <t>PROD-7819</t>
  </si>
  <si>
    <t>ORD-1136</t>
  </si>
  <si>
    <t>CU-1100</t>
  </si>
  <si>
    <t>Mary Brown</t>
  </si>
  <si>
    <t>PROD-3321</t>
  </si>
  <si>
    <t>ORD-1174</t>
  </si>
  <si>
    <t>PROD-9185</t>
  </si>
  <si>
    <t>ORD-1252</t>
  </si>
  <si>
    <t>CU-1065</t>
  </si>
  <si>
    <t>Richard Wright</t>
  </si>
  <si>
    <t>PROD-5760</t>
  </si>
  <si>
    <t>ORD-1720</t>
  </si>
  <si>
    <t>CU-1158</t>
  </si>
  <si>
    <t>James Taylor</t>
  </si>
  <si>
    <t>Birmingham</t>
  </si>
  <si>
    <t>PROD-3587</t>
  </si>
  <si>
    <t>ORD-1785</t>
  </si>
  <si>
    <t>CU-1046</t>
  </si>
  <si>
    <t>Susan Jones</t>
  </si>
  <si>
    <t>PROD-3641</t>
  </si>
  <si>
    <t>ORD-1573</t>
  </si>
  <si>
    <t>CU-1029</t>
  </si>
  <si>
    <t>Noah King</t>
  </si>
  <si>
    <t>PROD-1606</t>
  </si>
  <si>
    <t>ORD-1260</t>
  </si>
  <si>
    <t>PROD-4946</t>
  </si>
  <si>
    <t>ORD-1485</t>
  </si>
  <si>
    <t>PROD-3822</t>
  </si>
  <si>
    <t>ORD-1761</t>
  </si>
  <si>
    <t>CU-1094</t>
  </si>
  <si>
    <t>Joseph Moore</t>
  </si>
  <si>
    <t>PROD-6901</t>
  </si>
  <si>
    <t>ORD-1317</t>
  </si>
  <si>
    <t>CU-1196</t>
  </si>
  <si>
    <t>Omar Jones</t>
  </si>
  <si>
    <t>Newark</t>
  </si>
  <si>
    <t>New Jersey</t>
  </si>
  <si>
    <t>PROD-2373</t>
  </si>
  <si>
    <t>ORD-1356</t>
  </si>
  <si>
    <t>CU-1001</t>
  </si>
  <si>
    <t>Michael Garcia</t>
  </si>
  <si>
    <t>Houston</t>
  </si>
  <si>
    <t>PROD-4614</t>
  </si>
  <si>
    <t>ORD-1696</t>
  </si>
  <si>
    <t>CU-1030</t>
  </si>
  <si>
    <t>Maria Johnson</t>
  </si>
  <si>
    <t>PROD-8037</t>
  </si>
  <si>
    <t>ORD-1114</t>
  </si>
  <si>
    <t>CU-1045</t>
  </si>
  <si>
    <t>Sofia Hill</t>
  </si>
  <si>
    <t>PROD-7502</t>
  </si>
  <si>
    <t>ORD-1877</t>
  </si>
  <si>
    <t>CU-1023</t>
  </si>
  <si>
    <t>Emma Jackson</t>
  </si>
  <si>
    <t>PROD-9773</t>
  </si>
  <si>
    <t>ORD-1390</t>
  </si>
  <si>
    <t>CU-1074</t>
  </si>
  <si>
    <t>Aisha Martinez</t>
  </si>
  <si>
    <t>PROD-2393</t>
  </si>
  <si>
    <t>ORD-1846</t>
  </si>
  <si>
    <t>CU-1099</t>
  </si>
  <si>
    <t>Wei Moore</t>
  </si>
  <si>
    <t>PROD-6292</t>
  </si>
  <si>
    <t>ORD-1582</t>
  </si>
  <si>
    <t>PROD-6196</t>
  </si>
  <si>
    <t>ORD-1708</t>
  </si>
  <si>
    <t>CU-1058</t>
  </si>
  <si>
    <t>Omar Hernandez</t>
  </si>
  <si>
    <t>New York City</t>
  </si>
  <si>
    <t>PROD-2406</t>
  </si>
  <si>
    <t>ORD-1415</t>
  </si>
  <si>
    <t>CU-1064</t>
  </si>
  <si>
    <t>David Miller</t>
  </si>
  <si>
    <t>Dallas</t>
  </si>
  <si>
    <t>PROD-9582</t>
  </si>
  <si>
    <t>ORD-1384</t>
  </si>
  <si>
    <t>CU-1142</t>
  </si>
  <si>
    <t>Ethan Martinez</t>
  </si>
  <si>
    <t>PROD-5093</t>
  </si>
  <si>
    <t>ORD-1454</t>
  </si>
  <si>
    <t>CU-1121</t>
  </si>
  <si>
    <t>Joseph Walker</t>
  </si>
  <si>
    <t>PROD-1190</t>
  </si>
  <si>
    <t>ORD-1736</t>
  </si>
  <si>
    <t>PROD-6385</t>
  </si>
  <si>
    <t>ORD-1529</t>
  </si>
  <si>
    <t>PROD-7254</t>
  </si>
  <si>
    <t>ORD-1233</t>
  </si>
  <si>
    <t>CU-1070</t>
  </si>
  <si>
    <t>Emma Davis</t>
  </si>
  <si>
    <t>PROD-7620</t>
  </si>
  <si>
    <t>ORD-1857</t>
  </si>
  <si>
    <t>PROD-6131</t>
  </si>
  <si>
    <t>ORD-1281</t>
  </si>
  <si>
    <t>PROD-3611</t>
  </si>
  <si>
    <t>ORD-1335</t>
  </si>
  <si>
    <t>PROD-5501</t>
  </si>
  <si>
    <t>ORD-1127</t>
  </si>
  <si>
    <t>PROD-4203</t>
  </si>
  <si>
    <t>ORD-1246</t>
  </si>
  <si>
    <t>PROD-1785</t>
  </si>
  <si>
    <t>ORD-1888</t>
  </si>
  <si>
    <t>PROD-7792</t>
  </si>
  <si>
    <t>ORD-1149</t>
  </si>
  <si>
    <t>CU-1068</t>
  </si>
  <si>
    <t>Linda Thompson</t>
  </si>
  <si>
    <t>Reno</t>
  </si>
  <si>
    <t>PROD-5055</t>
  </si>
  <si>
    <t>ORD-1264</t>
  </si>
  <si>
    <t>CU-1087</t>
  </si>
  <si>
    <t>Ethan Martin</t>
  </si>
  <si>
    <t>PROD-6952</t>
  </si>
  <si>
    <t>ORD-1279</t>
  </si>
  <si>
    <t>CU-1188</t>
  </si>
  <si>
    <t>William White</t>
  </si>
  <si>
    <t>PROD-5178</t>
  </si>
  <si>
    <t>ORD-1244</t>
  </si>
  <si>
    <t>PROD-3192</t>
  </si>
  <si>
    <t>ORD-1794</t>
  </si>
  <si>
    <t>CU-1199</t>
  </si>
  <si>
    <t>Raj Lewis</t>
  </si>
  <si>
    <t>PROD-2720</t>
  </si>
  <si>
    <t>ORD-1059</t>
  </si>
  <si>
    <t>CU-1106</t>
  </si>
  <si>
    <t>John Lee</t>
  </si>
  <si>
    <t>PROD-3142</t>
  </si>
  <si>
    <t>ORD-1027</t>
  </si>
  <si>
    <t>PROD-4918</t>
  </si>
  <si>
    <t>ORD-1166</t>
  </si>
  <si>
    <t>CU-1052</t>
  </si>
  <si>
    <t>Sarah Walker</t>
  </si>
  <si>
    <t>PROD-2847</t>
  </si>
  <si>
    <t>ORD-1939</t>
  </si>
  <si>
    <t>PROD-8976</t>
  </si>
  <si>
    <t>ORD-1942</t>
  </si>
  <si>
    <t>PROD-1526</t>
  </si>
  <si>
    <t>ORD-1924</t>
  </si>
  <si>
    <t>CU-1061</t>
  </si>
  <si>
    <t>Jessica Martin</t>
  </si>
  <si>
    <t>Jersey City</t>
  </si>
  <si>
    <t>PROD-2938</t>
  </si>
  <si>
    <t>ORD-1873</t>
  </si>
  <si>
    <t>CU-1102</t>
  </si>
  <si>
    <t>Linda White</t>
  </si>
  <si>
    <t>PROD-8447</t>
  </si>
  <si>
    <t>ORD-1639</t>
  </si>
  <si>
    <t>CU-1114</t>
  </si>
  <si>
    <t>Richard Garcia</t>
  </si>
  <si>
    <t>PROD-7627</t>
  </si>
  <si>
    <t>ORD-1994</t>
  </si>
  <si>
    <t>PROD-8271</t>
  </si>
  <si>
    <t>ORD-1478</t>
  </si>
  <si>
    <t>PROD-7617</t>
  </si>
  <si>
    <t>ORD-1960</t>
  </si>
  <si>
    <t>PROD-6309</t>
  </si>
  <si>
    <t>ORD-1986</t>
  </si>
  <si>
    <t>CU-1067</t>
  </si>
  <si>
    <t>Karen Lee</t>
  </si>
  <si>
    <t>PROD-7358</t>
  </si>
  <si>
    <t>ORD-1879</t>
  </si>
  <si>
    <t>CU-1082</t>
  </si>
  <si>
    <t>James Miller</t>
  </si>
  <si>
    <t>PROD-7658</t>
  </si>
  <si>
    <t>ORD-1545</t>
  </si>
  <si>
    <t>CU-1025</t>
  </si>
  <si>
    <t>Priya Robinson</t>
  </si>
  <si>
    <t>PROD-2616</t>
  </si>
  <si>
    <t>ORD-1694</t>
  </si>
  <si>
    <t>CU-1005</t>
  </si>
  <si>
    <t>Maria Miller</t>
  </si>
  <si>
    <t>PROD-5998</t>
  </si>
  <si>
    <t>ORD-1786</t>
  </si>
  <si>
    <t>PROD-9919</t>
  </si>
  <si>
    <t>ORD-1398</t>
  </si>
  <si>
    <t>PROD-7332</t>
  </si>
  <si>
    <t>ORD-1009</t>
  </si>
  <si>
    <t>PROD-5742</t>
  </si>
  <si>
    <t>ORD-1668</t>
  </si>
  <si>
    <t>PROD-3190</t>
  </si>
  <si>
    <t>ORD-1402</t>
  </si>
  <si>
    <t>PROD-4726</t>
  </si>
  <si>
    <t>ORD-1133</t>
  </si>
  <si>
    <t>CU-1096</t>
  </si>
  <si>
    <t>Olivia Johnson</t>
  </si>
  <si>
    <t>PROD-1602</t>
  </si>
  <si>
    <t>ORD-1367</t>
  </si>
  <si>
    <t>CU-1040</t>
  </si>
  <si>
    <t>Sarah Anderson</t>
  </si>
  <si>
    <t>PROD-9787</t>
  </si>
  <si>
    <t>ORD-1414</t>
  </si>
  <si>
    <t>CU-1028</t>
  </si>
  <si>
    <t>Olivia Jackson</t>
  </si>
  <si>
    <t>PROD-2477</t>
  </si>
  <si>
    <t>ORD-1262</t>
  </si>
  <si>
    <t>CU-1146</t>
  </si>
  <si>
    <t>Jessica Moore</t>
  </si>
  <si>
    <t>PROD-7609</t>
  </si>
  <si>
    <t>ORD-1125</t>
  </si>
  <si>
    <t>PROD-9537</t>
  </si>
  <si>
    <t>ORD-1185</t>
  </si>
  <si>
    <t>PROD-8635</t>
  </si>
  <si>
    <t>ORD-1360</t>
  </si>
  <si>
    <t>PROD-6601</t>
  </si>
  <si>
    <t>ORD-1803</t>
  </si>
  <si>
    <t>CU-1043</t>
  </si>
  <si>
    <t>Richard Martinez</t>
  </si>
  <si>
    <t>PROD-7211</t>
  </si>
  <si>
    <t>ORD-1066</t>
  </si>
  <si>
    <t>PROD-9341</t>
  </si>
  <si>
    <t>ORD-1351</t>
  </si>
  <si>
    <t>PROD-6846</t>
  </si>
  <si>
    <t>ORD-1161</t>
  </si>
  <si>
    <t>PROD-2678</t>
  </si>
  <si>
    <t>ORD-1051</t>
  </si>
  <si>
    <t>PROD-3126</t>
  </si>
  <si>
    <t>ORD-1581</t>
  </si>
  <si>
    <t>PROD-1128</t>
  </si>
  <si>
    <t>ORD-1947</t>
  </si>
  <si>
    <t>CU-1118</t>
  </si>
  <si>
    <t>Lucas Moore</t>
  </si>
  <si>
    <t>PROD-9391</t>
  </si>
  <si>
    <t>ORD-1057</t>
  </si>
  <si>
    <t>PROD-9938</t>
  </si>
  <si>
    <t>ORD-1105</t>
  </si>
  <si>
    <t>PROD-4350</t>
  </si>
  <si>
    <t>ORD-1618</t>
  </si>
  <si>
    <t>CU-1077</t>
  </si>
  <si>
    <t>Jessica Hill</t>
  </si>
  <si>
    <t>PROD-4428</t>
  </si>
  <si>
    <t>ORD-1562</t>
  </si>
  <si>
    <t>CU-1014</t>
  </si>
  <si>
    <t>Jessica Clark</t>
  </si>
  <si>
    <t>PROD-2875</t>
  </si>
  <si>
    <t>ORD-1035</t>
  </si>
  <si>
    <t>PROD-6780</t>
  </si>
  <si>
    <t>ORD-1352</t>
  </si>
  <si>
    <t>PROD-8480</t>
  </si>
  <si>
    <t>ORD-1045</t>
  </si>
  <si>
    <t>CU-1093</t>
  </si>
  <si>
    <t>Lisa Hall</t>
  </si>
  <si>
    <t>PROD-2101</t>
  </si>
  <si>
    <t>ORD-1526</t>
  </si>
  <si>
    <t>CU-1183</t>
  </si>
  <si>
    <t>Linda Miller</t>
  </si>
  <si>
    <t>PROD-2435</t>
  </si>
  <si>
    <t>ORD-1369</t>
  </si>
  <si>
    <t>CU-1091</t>
  </si>
  <si>
    <t>Olivia Wright</t>
  </si>
  <si>
    <t>PROD-9029</t>
  </si>
  <si>
    <t>ORD-1617</t>
  </si>
  <si>
    <t>PROD-7471</t>
  </si>
  <si>
    <t>ORD-1829</t>
  </si>
  <si>
    <t>PROD-3427</t>
  </si>
  <si>
    <t>ORD-1033</t>
  </si>
  <si>
    <t>CU-1178</t>
  </si>
  <si>
    <t>Joseph Allen</t>
  </si>
  <si>
    <t>PROD-9647</t>
  </si>
  <si>
    <t>ORD-1903</t>
  </si>
  <si>
    <t>CU-1049</t>
  </si>
  <si>
    <t>Thomas Allen</t>
  </si>
  <si>
    <t>PROD-4372</t>
  </si>
  <si>
    <t>ORD-1164</t>
  </si>
  <si>
    <t>PROD-5537</t>
  </si>
  <si>
    <t>ORD-1510</t>
  </si>
  <si>
    <t>CU-1035</t>
  </si>
  <si>
    <t>Elena Young</t>
  </si>
  <si>
    <t>PROD-4693</t>
  </si>
  <si>
    <t>ORD-1063</t>
  </si>
  <si>
    <t>CU-1129</t>
  </si>
  <si>
    <t>Patricia Miller</t>
  </si>
  <si>
    <t>Phoenix</t>
  </si>
  <si>
    <t>PROD-9793</t>
  </si>
  <si>
    <t>ORD-1590</t>
  </si>
  <si>
    <t>CU-1153</t>
  </si>
  <si>
    <t>Lisa Scott</t>
  </si>
  <si>
    <t>PROD-9615</t>
  </si>
  <si>
    <t>ORD-1117</t>
  </si>
  <si>
    <t>CU-1135</t>
  </si>
  <si>
    <t>Patricia Anderson</t>
  </si>
  <si>
    <t>PROD-1539</t>
  </si>
  <si>
    <t>ORD-1568</t>
  </si>
  <si>
    <t>PROD-9846</t>
  </si>
  <si>
    <t>ORD-1163</t>
  </si>
  <si>
    <t>CU-1144</t>
  </si>
  <si>
    <t>Emma Smith</t>
  </si>
  <si>
    <t>PROD-2420</t>
  </si>
  <si>
    <t>ORD-1666</t>
  </si>
  <si>
    <t>PROD-3014</t>
  </si>
  <si>
    <t>ORD-1290</t>
  </si>
  <si>
    <t>PROD-3561</t>
  </si>
  <si>
    <t>ORD-1604</t>
  </si>
  <si>
    <t>PROD-8540</t>
  </si>
  <si>
    <t>ORD-1922</t>
  </si>
  <si>
    <t>CU-1167</t>
  </si>
  <si>
    <t>Thomas Smith</t>
  </si>
  <si>
    <t>PROD-4079</t>
  </si>
  <si>
    <t>ORD-1608</t>
  </si>
  <si>
    <t>PROD-2574</t>
  </si>
  <si>
    <t>ORD-1470</t>
  </si>
  <si>
    <t>CU-1173</t>
  </si>
  <si>
    <t>Thomas Wilson</t>
  </si>
  <si>
    <t>PROD-9605</t>
  </si>
  <si>
    <t>ORD-1305</t>
  </si>
  <si>
    <t>PROD-5314</t>
  </si>
  <si>
    <t>ORD-1047</t>
  </si>
  <si>
    <t>CU-1113</t>
  </si>
  <si>
    <t>Maria Moore</t>
  </si>
  <si>
    <t>PROD-4048</t>
  </si>
  <si>
    <t>ORD-1306</t>
  </si>
  <si>
    <t>CU-1148</t>
  </si>
  <si>
    <t>David Robinson</t>
  </si>
  <si>
    <t>PROD-4651</t>
  </si>
  <si>
    <t>ORD-1353</t>
  </si>
  <si>
    <t>PROD-8239</t>
  </si>
  <si>
    <t>ORD-1579</t>
  </si>
  <si>
    <t>PROD-8786</t>
  </si>
  <si>
    <t>ORD-1680</t>
  </si>
  <si>
    <t>CU-1027</t>
  </si>
  <si>
    <t>William Lopez</t>
  </si>
  <si>
    <t>PROD-8184</t>
  </si>
  <si>
    <t>ORD-1923</t>
  </si>
  <si>
    <t>CU-1017</t>
  </si>
  <si>
    <t>Joseph Wilson</t>
  </si>
  <si>
    <t>PROD-2805</t>
  </si>
  <si>
    <t>ORD-1417</t>
  </si>
  <si>
    <t>PROD-3960</t>
  </si>
  <si>
    <t>ORD-1534</t>
  </si>
  <si>
    <t>PROD-6832</t>
  </si>
  <si>
    <t>ORD-1599</t>
  </si>
  <si>
    <t>CU-1132</t>
  </si>
  <si>
    <t>John Harris</t>
  </si>
  <si>
    <t>PROD-4095</t>
  </si>
  <si>
    <t>ORD-1781</t>
  </si>
  <si>
    <t>PROD-8856</t>
  </si>
  <si>
    <t>ORD-1396</t>
  </si>
  <si>
    <t>PROD-3315</t>
  </si>
  <si>
    <t>ORD-1801</t>
  </si>
  <si>
    <t>PROD-4115</t>
  </si>
  <si>
    <t>ORD-1572</t>
  </si>
  <si>
    <t>CU-1016</t>
  </si>
  <si>
    <t>Olivia Thompson</t>
  </si>
  <si>
    <t>Memphis</t>
  </si>
  <si>
    <t>PROD-4907</t>
  </si>
  <si>
    <t>ORD-1030</t>
  </si>
  <si>
    <t>CU-1182</t>
  </si>
  <si>
    <t>Lisa Young</t>
  </si>
  <si>
    <t>PROD-2502</t>
  </si>
  <si>
    <t>ORD-1089</t>
  </si>
  <si>
    <t>PROD-4365</t>
  </si>
  <si>
    <t>ORD-1376</t>
  </si>
  <si>
    <t>PROD-1994</t>
  </si>
  <si>
    <t>ORD-1209</t>
  </si>
  <si>
    <t>PROD-1507</t>
  </si>
  <si>
    <t>ORD-1079</t>
  </si>
  <si>
    <t>PROD-1969</t>
  </si>
  <si>
    <t>ORD-1662</t>
  </si>
  <si>
    <t>PROD-2663</t>
  </si>
  <si>
    <t>ORD-1948</t>
  </si>
  <si>
    <t>ORD-1404</t>
  </si>
  <si>
    <t>PROD-3589</t>
  </si>
  <si>
    <t>ORD-1538</t>
  </si>
  <si>
    <t>CU-1026</t>
  </si>
  <si>
    <t>Jennifer Garcia</t>
  </si>
  <si>
    <t>PROD-8544</t>
  </si>
  <si>
    <t>ORD-1465</t>
  </si>
  <si>
    <t>CU-1126</t>
  </si>
  <si>
    <t>Patricia Taylor</t>
  </si>
  <si>
    <t>PROD-5331</t>
  </si>
  <si>
    <t>ORD-1596</t>
  </si>
  <si>
    <t>PROD-3938</t>
  </si>
  <si>
    <t>ORD-1949</t>
  </si>
  <si>
    <t>PROD-6428</t>
  </si>
  <si>
    <t>ORD-1635</t>
  </si>
  <si>
    <t>CU-1107</t>
  </si>
  <si>
    <t>Emma Lewis</t>
  </si>
  <si>
    <t>PROD-8251</t>
  </si>
  <si>
    <t>ORD-1587</t>
  </si>
  <si>
    <t>PROD-6367</t>
  </si>
  <si>
    <t>ORD-1893</t>
  </si>
  <si>
    <t>PROD-9907</t>
  </si>
  <si>
    <t>ORD-1011</t>
  </si>
  <si>
    <t>PROD-7626</t>
  </si>
  <si>
    <t>ORD-1113</t>
  </si>
  <si>
    <t>PROD-8054</t>
  </si>
  <si>
    <t>ORD-1044</t>
  </si>
  <si>
    <t>CU-1089</t>
  </si>
  <si>
    <t>Jennifer Wilson</t>
  </si>
  <si>
    <t>PROD-7655</t>
  </si>
  <si>
    <t>ORD-1768</t>
  </si>
  <si>
    <t>CU-1066</t>
  </si>
  <si>
    <t>Mary Jackson</t>
  </si>
  <si>
    <t>PROD-7025</t>
  </si>
  <si>
    <t>ORD-1742</t>
  </si>
  <si>
    <t>CU-1147</t>
  </si>
  <si>
    <t>Ethan Davis</t>
  </si>
  <si>
    <t>PROD-3748</t>
  </si>
  <si>
    <t>ORD-1186</t>
  </si>
  <si>
    <t>PROD-3582</t>
  </si>
  <si>
    <t>ORD-1523</t>
  </si>
  <si>
    <t>PROD-4197</t>
  </si>
  <si>
    <t>ORD-1313</t>
  </si>
  <si>
    <t>PROD-7315</t>
  </si>
  <si>
    <t>ORD-1774</t>
  </si>
  <si>
    <t>CU-1198</t>
  </si>
  <si>
    <t>Michael Davis</t>
  </si>
  <si>
    <t>PROD-7921</t>
  </si>
  <si>
    <t>ORD-1652</t>
  </si>
  <si>
    <t>PROD-8357</t>
  </si>
  <si>
    <t>ORD-1248</t>
  </si>
  <si>
    <t>CENTRAL</t>
  </si>
  <si>
    <t>PROD-2718</t>
  </si>
  <si>
    <t>ORD-1016</t>
  </si>
  <si>
    <t>PROD-8205</t>
  </si>
  <si>
    <t>ORD-1273</t>
  </si>
  <si>
    <t>CU-1194</t>
  </si>
  <si>
    <t>John Robinson</t>
  </si>
  <si>
    <t>PROD-1209</t>
  </si>
  <si>
    <t>ORD-1171</t>
  </si>
  <si>
    <t>PROD-8428</t>
  </si>
  <si>
    <t>ORD-1228</t>
  </si>
  <si>
    <t>PROD-4511</t>
  </si>
  <si>
    <t>ORD-1433</t>
  </si>
  <si>
    <t>PROD-1612</t>
  </si>
  <si>
    <t>ORD-1106</t>
  </si>
  <si>
    <t>PROD-6892</t>
  </si>
  <si>
    <t>ORD-1476</t>
  </si>
  <si>
    <t>CU-1138</t>
  </si>
  <si>
    <t>Thomas Johnson</t>
  </si>
  <si>
    <t>PROD-2153</t>
  </si>
  <si>
    <t>ORD-1654</t>
  </si>
  <si>
    <t>PROD-3028</t>
  </si>
  <si>
    <t>ORD-1796</t>
  </si>
  <si>
    <t>PROD-3090</t>
  </si>
  <si>
    <t>ORD-1946</t>
  </si>
  <si>
    <t>CU-1024</t>
  </si>
  <si>
    <t>Noah Smith</t>
  </si>
  <si>
    <t>PROD-7721</t>
  </si>
  <si>
    <t>ORD-1093</t>
  </si>
  <si>
    <t>PROD-7154</t>
  </si>
  <si>
    <t>ORD-1532</t>
  </si>
  <si>
    <t>CU-1176</t>
  </si>
  <si>
    <t>Olivia Walker</t>
  </si>
  <si>
    <t>PROD-8872</t>
  </si>
  <si>
    <t>ORD-1467</t>
  </si>
  <si>
    <t>PROD-6172</t>
  </si>
  <si>
    <t>ORD-1231</t>
  </si>
  <si>
    <t>PROD-9380</t>
  </si>
  <si>
    <t>ORD-1609</t>
  </si>
  <si>
    <t>PROD-7922</t>
  </si>
  <si>
    <t>ORD-1746</t>
  </si>
  <si>
    <t>CU-1186</t>
  </si>
  <si>
    <t>Priya Lee</t>
  </si>
  <si>
    <t>PROD-6043</t>
  </si>
  <si>
    <t>ORD-1644</t>
  </si>
  <si>
    <t>PROD-8443</t>
  </si>
  <si>
    <t>ORD-1081</t>
  </si>
  <si>
    <t>PROD-8444</t>
  </si>
  <si>
    <t>ORD-1230</t>
  </si>
  <si>
    <t>PROD-7168</t>
  </si>
  <si>
    <t>ORD-1364</t>
  </si>
  <si>
    <t>PROD-6905</t>
  </si>
  <si>
    <t>ORD-1836</t>
  </si>
  <si>
    <t>PROD-1193</t>
  </si>
  <si>
    <t>ORD-1259</t>
  </si>
  <si>
    <t>PROD-1894</t>
  </si>
  <si>
    <t>ORD-1954</t>
  </si>
  <si>
    <t>CU-1168</t>
  </si>
  <si>
    <t>Omar Lee</t>
  </si>
  <si>
    <t>ORD-1504</t>
  </si>
  <si>
    <t>PROD-3174</t>
  </si>
  <si>
    <t>ORD-1301</t>
  </si>
  <si>
    <t>PROD-8613</t>
  </si>
  <si>
    <t>ORD-1157</t>
  </si>
  <si>
    <t>PROD-3588</t>
  </si>
  <si>
    <t>ORD-1338</t>
  </si>
  <si>
    <t>CU-1003</t>
  </si>
  <si>
    <t>Olivia Young</t>
  </si>
  <si>
    <t>PROD-5306</t>
  </si>
  <si>
    <t>ORD-1958</t>
  </si>
  <si>
    <t>PROD-2028</t>
  </si>
  <si>
    <t>ORD-1395</t>
  </si>
  <si>
    <t>CU-1062</t>
  </si>
  <si>
    <t>Barbara Martin</t>
  </si>
  <si>
    <t>PROD-8719</t>
  </si>
  <si>
    <t>ORD-1477</t>
  </si>
  <si>
    <t>PROD-7397</t>
  </si>
  <si>
    <t>ORD-1790</t>
  </si>
  <si>
    <t>PROD-2364</t>
  </si>
  <si>
    <t>ORD-1745</t>
  </si>
  <si>
    <t>PROD-9203</t>
  </si>
  <si>
    <t>ORD-1938</t>
  </si>
  <si>
    <t>ORD-1611</t>
  </si>
  <si>
    <t>PROD-8825</t>
  </si>
  <si>
    <t>ORD-1966</t>
  </si>
  <si>
    <t>PROD-9653</t>
  </si>
  <si>
    <t>ORD-1975</t>
  </si>
  <si>
    <t>PROD-7993</t>
  </si>
  <si>
    <t>ORD-1835</t>
  </si>
  <si>
    <t>PROD-4077</t>
  </si>
  <si>
    <t>ORD-1312</t>
  </si>
  <si>
    <t>CU-1021</t>
  </si>
  <si>
    <t>David Wright</t>
  </si>
  <si>
    <t>PROD-3979</t>
  </si>
  <si>
    <t>ORD-1473</t>
  </si>
  <si>
    <t>PROD-6298</t>
  </si>
  <si>
    <t>ORD-1872</t>
  </si>
  <si>
    <t>PROD-4268</t>
  </si>
  <si>
    <t>ORD-1067</t>
  </si>
  <si>
    <t>PROD-9446</t>
  </si>
  <si>
    <t>ORD-1869</t>
  </si>
  <si>
    <t>PROD-2367</t>
  </si>
  <si>
    <t>ORD-1380</t>
  </si>
  <si>
    <t>PROD-6319</t>
  </si>
  <si>
    <t>ORD-1014</t>
  </si>
  <si>
    <t>PROD-3419</t>
  </si>
  <si>
    <t>ORD-1189</t>
  </si>
  <si>
    <t>PROD-2376</t>
  </si>
  <si>
    <t>ORD-1486</t>
  </si>
  <si>
    <t>PROD-2870</t>
  </si>
  <si>
    <t>ORD-1503</t>
  </si>
  <si>
    <t>PROD-9701</t>
  </si>
  <si>
    <t>ORD-1712</t>
  </si>
  <si>
    <t>CU-1084</t>
  </si>
  <si>
    <t>Lucas Wilson</t>
  </si>
  <si>
    <t>PROD-2779</t>
  </si>
  <si>
    <t>ORD-1806</t>
  </si>
  <si>
    <t>PROD-4050</t>
  </si>
  <si>
    <t>ORD-1766</t>
  </si>
  <si>
    <t>PROD-6452</t>
  </si>
  <si>
    <t>ORD-1232</t>
  </si>
  <si>
    <t>CU-1169</t>
  </si>
  <si>
    <t>Lisa Jackson</t>
  </si>
  <si>
    <t>PROD-6509</t>
  </si>
  <si>
    <t>ORD-1622</t>
  </si>
  <si>
    <t>ORD-1991</t>
  </si>
  <si>
    <t>PROD-8216</t>
  </si>
  <si>
    <t>ORD-1683</t>
  </si>
  <si>
    <t>PROD-7290</t>
  </si>
  <si>
    <t>ORD-1474</t>
  </si>
  <si>
    <t>PROD-3915</t>
  </si>
  <si>
    <t>ORD-1311</t>
  </si>
  <si>
    <t>PROD-5644</t>
  </si>
  <si>
    <t>ORD-1022</t>
  </si>
  <si>
    <t>PROD-6082</t>
  </si>
  <si>
    <t>ORD-1863</t>
  </si>
  <si>
    <t>CU-1006</t>
  </si>
  <si>
    <t>Ahmed Thompson</t>
  </si>
  <si>
    <t>PROD-2528</t>
  </si>
  <si>
    <t>ORD-1245</t>
  </si>
  <si>
    <t>PROD-1359</t>
  </si>
  <si>
    <t>ORD-1955</t>
  </si>
  <si>
    <t>CU-1189</t>
  </si>
  <si>
    <t>Maria Taylor</t>
  </si>
  <si>
    <t>PROD-5508</t>
  </si>
  <si>
    <t>ORD-1558</t>
  </si>
  <si>
    <t>PROD-9837</t>
  </si>
  <si>
    <t>ORD-1139</t>
  </si>
  <si>
    <t>PROD-4022</t>
  </si>
  <si>
    <t>ORD-1610</t>
  </si>
  <si>
    <t>PROD-4673</t>
  </si>
  <si>
    <t>ORD-1257</t>
  </si>
  <si>
    <t>PROD-5286</t>
  </si>
  <si>
    <t>ORD-1817</t>
  </si>
  <si>
    <t>PROD-7997</t>
  </si>
  <si>
    <t>ORD-1559</t>
  </si>
  <si>
    <t>PROD-7189</t>
  </si>
  <si>
    <t>ORD-1776</t>
  </si>
  <si>
    <t>CU-1179</t>
  </si>
  <si>
    <t>Lucas Walker</t>
  </si>
  <si>
    <t>PROD-3681</t>
  </si>
  <si>
    <t>ORD-1168</t>
  </si>
  <si>
    <t>PROD-1652</t>
  </si>
  <si>
    <t>ORD-1158</t>
  </si>
  <si>
    <t>CU-1112</t>
  </si>
  <si>
    <t>Carlos Thomas</t>
  </si>
  <si>
    <t>PROD-5489</t>
  </si>
  <si>
    <t>ORD-1422</t>
  </si>
  <si>
    <t>CU-1009</t>
  </si>
  <si>
    <t>Jennifer Harris</t>
  </si>
  <si>
    <t>PROD-8713</t>
  </si>
  <si>
    <t>ORD-1892</t>
  </si>
  <si>
    <t>PROD-3605</t>
  </si>
  <si>
    <t>ORD-1732</t>
  </si>
  <si>
    <t>PROD-2552</t>
  </si>
  <si>
    <t>ORD-1721</t>
  </si>
  <si>
    <t>PROD-2253</t>
  </si>
  <si>
    <t>ORD-1638</t>
  </si>
  <si>
    <t>CU-1184</t>
  </si>
  <si>
    <t>Barbara Young</t>
  </si>
  <si>
    <t>PROD-7618</t>
  </si>
  <si>
    <t>ORD-1100</t>
  </si>
  <si>
    <t>CU-1160</t>
  </si>
  <si>
    <t>Jennifer Lewis</t>
  </si>
  <si>
    <t>PROD-6222</t>
  </si>
  <si>
    <t>ORD-1703</t>
  </si>
  <si>
    <t>PROD-7264</t>
  </si>
  <si>
    <t>ORD-1606</t>
  </si>
  <si>
    <t>PROD-7248</t>
  </si>
  <si>
    <t>ORD-1755</t>
  </si>
  <si>
    <t>PROD-8220</t>
  </si>
  <si>
    <t>ORD-1195</t>
  </si>
  <si>
    <t>CU-1124</t>
  </si>
  <si>
    <t>Sofia King</t>
  </si>
  <si>
    <t>PROD-5602</t>
  </si>
  <si>
    <t>ORD-1540</t>
  </si>
  <si>
    <t>CU-1195</t>
  </si>
  <si>
    <t>Sofia Allen</t>
  </si>
  <si>
    <t>PROD-4712</t>
  </si>
  <si>
    <t>ORD-1316</t>
  </si>
  <si>
    <t>CU-1154</t>
  </si>
  <si>
    <t>Maria Hall</t>
  </si>
  <si>
    <t>PROD-8899</t>
  </si>
  <si>
    <t>ORD-1585</t>
  </si>
  <si>
    <t>PROD-3229</t>
  </si>
  <si>
    <t>ORD-1976</t>
  </si>
  <si>
    <t>PROD-4902</t>
  </si>
  <si>
    <t>ORD-1177</t>
  </si>
  <si>
    <t>PROD-9225</t>
  </si>
  <si>
    <t>ORD-1634</t>
  </si>
  <si>
    <t>PROD-9677</t>
  </si>
  <si>
    <t>ORD-1916</t>
  </si>
  <si>
    <t>PROD-6395</t>
  </si>
  <si>
    <t>ORD-1012</t>
  </si>
  <si>
    <t>CU-1181</t>
  </si>
  <si>
    <t>Carlos Harris</t>
  </si>
  <si>
    <t>PROD-6928</t>
  </si>
  <si>
    <t>ORD-1990</t>
  </si>
  <si>
    <t>ORD-1178</t>
  </si>
  <si>
    <t>CU-1172</t>
  </si>
  <si>
    <t>Joseph Lee</t>
  </si>
  <si>
    <t>PROD-6090</t>
  </si>
  <si>
    <t>ORD-1468</t>
  </si>
  <si>
    <t>PROD-5429</t>
  </si>
  <si>
    <t>ORD-1912</t>
  </si>
  <si>
    <t>PROD-2558</t>
  </si>
  <si>
    <t>ORD-1061</t>
  </si>
  <si>
    <t>PROD-6123</t>
  </si>
  <si>
    <t>ORD-1779</t>
  </si>
  <si>
    <t>PROD-9005</t>
  </si>
  <si>
    <t>ORD-1560</t>
  </si>
  <si>
    <t>CU-1157</t>
  </si>
  <si>
    <t>John Wilson</t>
  </si>
  <si>
    <t>PROD-7003</t>
  </si>
  <si>
    <t>ORD-1656</t>
  </si>
  <si>
    <t>PROD-9741</t>
  </si>
  <si>
    <t>ORD-1701</t>
  </si>
  <si>
    <t>CU-1051</t>
  </si>
  <si>
    <t>Olivia White</t>
  </si>
  <si>
    <t>PROD-5170</t>
  </si>
  <si>
    <t>ORD-1223</t>
  </si>
  <si>
    <t>PROD-3201</t>
  </si>
  <si>
    <t>ORD-1451</t>
  </si>
  <si>
    <t>PROD-5819</t>
  </si>
  <si>
    <t>ORD-1142</t>
  </si>
  <si>
    <t>CU-1171</t>
  </si>
  <si>
    <t>Aisha Moore</t>
  </si>
  <si>
    <t>PROD-6766</t>
  </si>
  <si>
    <t>ORD-1491</t>
  </si>
  <si>
    <t>PROD-4919</t>
  </si>
  <si>
    <t>ORD-1109</t>
  </si>
  <si>
    <t>ORD-1930</t>
  </si>
  <si>
    <t>PROD-6442</t>
  </si>
  <si>
    <t>ORD-1871</t>
  </si>
  <si>
    <t>PROD-2531</t>
  </si>
  <si>
    <t>ORD-1759</t>
  </si>
  <si>
    <t>CU-1174</t>
  </si>
  <si>
    <t>Omar Williams</t>
  </si>
  <si>
    <t>Minneapolis</t>
  </si>
  <si>
    <t>PROD-2641</t>
  </si>
  <si>
    <t>ORD-1734</t>
  </si>
  <si>
    <t>ORD-1632</t>
  </si>
  <si>
    <t>PROD-6959</t>
  </si>
  <si>
    <t>ORD-1959</t>
  </si>
  <si>
    <t>CU-1044</t>
  </si>
  <si>
    <t>Olivia Brown</t>
  </si>
  <si>
    <t>PROD-5963</t>
  </si>
  <si>
    <t>ORD-1181</t>
  </si>
  <si>
    <t>CU-1088</t>
  </si>
  <si>
    <t>Charles Martin</t>
  </si>
  <si>
    <t>Grand Rapids</t>
  </si>
  <si>
    <t>PROD-9680</t>
  </si>
  <si>
    <t>ORD-1420</t>
  </si>
  <si>
    <t>PROD-5889</t>
  </si>
  <si>
    <t>ORD-1197</t>
  </si>
  <si>
    <t>PROD-3885</t>
  </si>
  <si>
    <t>ORD-1193</t>
  </si>
  <si>
    <t>PROD-7868</t>
  </si>
  <si>
    <t>ORD-1201</t>
  </si>
  <si>
    <t>PROD-2655</t>
  </si>
  <si>
    <t>ORD-1710</t>
  </si>
  <si>
    <t>PROD-7867</t>
  </si>
  <si>
    <t>ORD-1979</t>
  </si>
  <si>
    <t>PROD-6848</t>
  </si>
  <si>
    <t>ORD-1576</t>
  </si>
  <si>
    <t>PROD-2478</t>
  </si>
  <si>
    <t>ORD-1256</t>
  </si>
  <si>
    <t>PROD-1472</t>
  </si>
  <si>
    <t>ORD-1580</t>
  </si>
  <si>
    <t>PROD-4926</t>
  </si>
  <si>
    <t>ORD-1167</t>
  </si>
  <si>
    <t>PROD-7895</t>
  </si>
  <si>
    <t>ORD-1809</t>
  </si>
  <si>
    <t>PROD-6885</t>
  </si>
  <si>
    <t>ORD-1798</t>
  </si>
  <si>
    <t>PROD-8008</t>
  </si>
  <si>
    <t>ORD-1261</t>
  </si>
  <si>
    <t>PROD-8277</t>
  </si>
  <si>
    <t>ORD-1070</t>
  </si>
  <si>
    <t>PROD-4968</t>
  </si>
  <si>
    <t>ORD-1826</t>
  </si>
  <si>
    <t>PROD-8172</t>
  </si>
  <si>
    <t>ORD-1438</t>
  </si>
  <si>
    <t>CU-1081</t>
  </si>
  <si>
    <t>Richard Hall</t>
  </si>
  <si>
    <t>PROD-9888</t>
  </si>
  <si>
    <t>ORD-1461</t>
  </si>
  <si>
    <t>PROD-1845</t>
  </si>
  <si>
    <t>ORD-1000</t>
  </si>
  <si>
    <t>PROD-2494</t>
  </si>
  <si>
    <t>ORD-1243</t>
  </si>
  <si>
    <t>PROD-2682</t>
  </si>
  <si>
    <t>ORD-1434</t>
  </si>
  <si>
    <t>PROD-8921</t>
  </si>
  <si>
    <t>ORD-1073</t>
  </si>
  <si>
    <t>CU-1134</t>
  </si>
  <si>
    <t>Linda Harris</t>
  </si>
  <si>
    <t>PROD-8932</t>
  </si>
  <si>
    <t>ORD-1883</t>
  </si>
  <si>
    <t>CU-1105</t>
  </si>
  <si>
    <t>Sarah Miller</t>
  </si>
  <si>
    <t>PROD-8517</t>
  </si>
  <si>
    <t>ORD-1448</t>
  </si>
  <si>
    <t>PROD-9098</t>
  </si>
  <si>
    <t>ORD-1660</t>
  </si>
  <si>
    <t>CU-1076</t>
  </si>
  <si>
    <t>Elena Clark</t>
  </si>
  <si>
    <t>PROD-4925</t>
  </si>
  <si>
    <t>ORD-1377</t>
  </si>
  <si>
    <t>CU-1092</t>
  </si>
  <si>
    <t>Wei Johnson</t>
  </si>
  <si>
    <t>PROD-2276</t>
  </si>
  <si>
    <t>ORD-1697</t>
  </si>
  <si>
    <t>CU-1162</t>
  </si>
  <si>
    <t>Jennifer Hernandez</t>
  </si>
  <si>
    <t>PROD-5049</t>
  </si>
  <si>
    <t>ORD-1001</t>
  </si>
  <si>
    <t>PROD-3002</t>
  </si>
  <si>
    <t>ORD-1595</t>
  </si>
  <si>
    <t>PROD-1745</t>
  </si>
  <si>
    <t>ORD-1867</t>
  </si>
  <si>
    <t>PROD-2461</t>
  </si>
  <si>
    <t>ORD-1430</t>
  </si>
  <si>
    <t>PROD-6434</t>
  </si>
  <si>
    <t>ORD-1342</t>
  </si>
  <si>
    <t>PROD-1781</t>
  </si>
  <si>
    <t>ORD-1659</t>
  </si>
  <si>
    <t>PROD-1958</t>
  </si>
  <si>
    <t>ORD-1078</t>
  </si>
  <si>
    <t>PROD-3252</t>
  </si>
  <si>
    <t>ORD-1743</t>
  </si>
  <si>
    <t>CU-1120</t>
  </si>
  <si>
    <t>Jessica Lopez</t>
  </si>
  <si>
    <t>PROD-8002</t>
  </si>
  <si>
    <t>ORD-1555</t>
  </si>
  <si>
    <t>PROD-4308</t>
  </si>
  <si>
    <t>ORD-1813</t>
  </si>
  <si>
    <t>PROD-2353</t>
  </si>
  <si>
    <t>ORD-1413</t>
  </si>
  <si>
    <t>PROD-9202</t>
  </si>
  <si>
    <t>ORD-1196</t>
  </si>
  <si>
    <t>PROD-4951</t>
  </si>
  <si>
    <t>ORD-1675</t>
  </si>
  <si>
    <t>ORD-1945</t>
  </si>
  <si>
    <t>PROD-8158</t>
  </si>
  <si>
    <t>ORD-1670</t>
  </si>
  <si>
    <t>PROD-3903</t>
  </si>
  <si>
    <t>ORD-1636</t>
  </si>
  <si>
    <t>CU-1037</t>
  </si>
  <si>
    <t>Sarah Jackson</t>
  </si>
  <si>
    <t>PROD-7443</t>
  </si>
  <si>
    <t>ORD-1379</t>
  </si>
  <si>
    <t>PROD-3733</t>
  </si>
  <si>
    <t>ORD-1769</t>
  </si>
  <si>
    <t>PROD-7941</t>
  </si>
  <si>
    <t>ORD-1974</t>
  </si>
  <si>
    <t>PROD-9752</t>
  </si>
  <si>
    <t>ORD-1426</t>
  </si>
  <si>
    <t>PROD-6728</t>
  </si>
  <si>
    <t>ORD-1143</t>
  </si>
  <si>
    <t>PROD-2931</t>
  </si>
  <si>
    <t>ORD-1881</t>
  </si>
  <si>
    <t>PROD-1235</t>
  </si>
  <si>
    <t>ORD-1374</t>
  </si>
  <si>
    <t>PROD-4139</t>
  </si>
  <si>
    <t>ORD-1052</t>
  </si>
  <si>
    <t>CU-1156</t>
  </si>
  <si>
    <t>Sofia Hall</t>
  </si>
  <si>
    <t>PROD-6194</t>
  </si>
  <si>
    <t>ORD-1594</t>
  </si>
  <si>
    <t>PROD-7935</t>
  </si>
  <si>
    <t>ORD-1303</t>
  </si>
  <si>
    <t>PROD-4585</t>
  </si>
  <si>
    <t>ORD-1993</t>
  </si>
  <si>
    <t>PROD-5244</t>
  </si>
  <si>
    <t>ORD-1970</t>
  </si>
  <si>
    <t>PROD-1928</t>
  </si>
  <si>
    <t>ORD-1989</t>
  </si>
  <si>
    <t>PROD-6028</t>
  </si>
  <si>
    <t>ORD-1900</t>
  </si>
  <si>
    <t>PROD-6978</t>
  </si>
  <si>
    <t>ORD-1277</t>
  </si>
  <si>
    <t>ORD-1287</t>
  </si>
  <si>
    <t>CU-1191</t>
  </si>
  <si>
    <t>Sarah Clark</t>
  </si>
  <si>
    <t>PROD-2154</t>
  </si>
  <si>
    <t>ORD-1951</t>
  </si>
  <si>
    <t>PROD-1000</t>
  </si>
  <si>
    <t>ORD-1206</t>
  </si>
  <si>
    <t>PROD-8179</t>
  </si>
  <si>
    <t>ORD-1598</t>
  </si>
  <si>
    <t>PROD-5321</t>
  </si>
  <si>
    <t>ORD-1188</t>
  </si>
  <si>
    <t>CU-1012</t>
  </si>
  <si>
    <t>Lucas Hall</t>
  </si>
  <si>
    <t>PROD-8570</t>
  </si>
  <si>
    <t>ORD-1156</t>
  </si>
  <si>
    <t>PROD-9967</t>
  </si>
  <si>
    <t>ORD-1373</t>
  </si>
  <si>
    <t>PROD-9572</t>
  </si>
  <si>
    <t>ORD-1718</t>
  </si>
  <si>
    <t>PROD-2492</t>
  </si>
  <si>
    <t>ORD-1218</t>
  </si>
  <si>
    <t>PROD-3422</t>
  </si>
  <si>
    <t>ORD-1145</t>
  </si>
  <si>
    <t>CU-1108</t>
  </si>
  <si>
    <t>Elena Walker</t>
  </si>
  <si>
    <t>PROD-6154</t>
  </si>
  <si>
    <t>ORD-1765</t>
  </si>
  <si>
    <t>PROD-7283</t>
  </si>
  <si>
    <t>ORD-1707</t>
  </si>
  <si>
    <t>PROD-4728</t>
  </si>
  <si>
    <t>ORD-1908</t>
  </si>
  <si>
    <t>PROD-4562</t>
  </si>
  <si>
    <t>ORD-1862</t>
  </si>
  <si>
    <t>PROD-3460</t>
  </si>
  <si>
    <t>ORD-1176</t>
  </si>
  <si>
    <t>CU-1000</t>
  </si>
  <si>
    <t>Linda Johnson</t>
  </si>
  <si>
    <t>PROD-7870</t>
  </si>
  <si>
    <t>ORD-1705</t>
  </si>
  <si>
    <t>PROD-5959</t>
  </si>
  <si>
    <t>ORD-1894</t>
  </si>
  <si>
    <t>PROD-4633</t>
  </si>
  <si>
    <t>ORD-1673</t>
  </si>
  <si>
    <t>PROD-4174</t>
  </si>
  <si>
    <t>ORD-1179</t>
  </si>
  <si>
    <t>PROD-7033</t>
  </si>
  <si>
    <t>ORD-1621</t>
  </si>
  <si>
    <t>PROD-9121</t>
  </si>
  <si>
    <t>ORD-1799</t>
  </si>
  <si>
    <t>CU-1133</t>
  </si>
  <si>
    <t>Lucas Jones</t>
  </si>
  <si>
    <t>PROD-2302</t>
  </si>
  <si>
    <t>ORD-1968</t>
  </si>
  <si>
    <t>PROD-2932</t>
  </si>
  <si>
    <t>ORD-1239</t>
  </si>
  <si>
    <t>PROD-6614</t>
  </si>
  <si>
    <t>ORD-1583</t>
  </si>
  <si>
    <t>PROD-7765</t>
  </si>
  <si>
    <t>ORD-1031</t>
  </si>
  <si>
    <t>PROD-2337</t>
  </si>
  <si>
    <t>ORD-1911</t>
  </si>
  <si>
    <t>PROD-5659</t>
  </si>
  <si>
    <t>ORD-1557</t>
  </si>
  <si>
    <t>PROD-5965</t>
  </si>
  <si>
    <t>ORD-1626</t>
  </si>
  <si>
    <t>CU-1185</t>
  </si>
  <si>
    <t>John Walker</t>
  </si>
  <si>
    <t>PROD-2412</t>
  </si>
  <si>
    <t>ORD-1275</t>
  </si>
  <si>
    <t>WEST</t>
  </si>
  <si>
    <t>PROD-4675</t>
  </si>
  <si>
    <t>ORD-1048</t>
  </si>
  <si>
    <t>PROD-5678</t>
  </si>
  <si>
    <t>ORD-1691</t>
  </si>
  <si>
    <t>CU-1119</t>
  </si>
  <si>
    <t>Richard Clark</t>
  </si>
  <si>
    <t>PROD-1162</t>
  </si>
  <si>
    <t>ORD-1574</t>
  </si>
  <si>
    <t>PROD-8960</t>
  </si>
  <si>
    <t>ORD-1096</t>
  </si>
  <si>
    <t>ORD-1359</t>
  </si>
  <si>
    <t>PROD-2675</t>
  </si>
  <si>
    <t>ORD-1159</t>
  </si>
  <si>
    <t>PROD-4836</t>
  </si>
  <si>
    <t>ORD-1002</t>
  </si>
  <si>
    <t>PROD-9313</t>
  </si>
  <si>
    <t>ORD-1895</t>
  </si>
  <si>
    <t>PROD-1379</t>
  </si>
  <si>
    <t>ORD-1717</t>
  </si>
  <si>
    <t>PROD-2048</t>
  </si>
  <si>
    <t>ORD-1795</t>
  </si>
  <si>
    <t>PROD-5440</t>
  </si>
  <si>
    <t>ORD-1091</t>
  </si>
  <si>
    <t>PROD-2196</t>
  </si>
  <si>
    <t>ORD-1738</t>
  </si>
  <si>
    <t>CU-1187</t>
  </si>
  <si>
    <t>Jennifer White</t>
  </si>
  <si>
    <t>PROD-4644</t>
  </si>
  <si>
    <t>ORD-1162</t>
  </si>
  <si>
    <t>PROD-9691</t>
  </si>
  <si>
    <t>ORD-1838</t>
  </si>
  <si>
    <t>PROD-6544</t>
  </si>
  <si>
    <t>ORD-1242</t>
  </si>
  <si>
    <t>PROD-7112</t>
  </si>
  <si>
    <t>ORD-1424</t>
  </si>
  <si>
    <t>PROD-9132</t>
  </si>
  <si>
    <t>ORD-1366</t>
  </si>
  <si>
    <t>PROD-5075</t>
  </si>
  <si>
    <t>ORD-1479</t>
  </si>
  <si>
    <t>PROD-5961</t>
  </si>
  <si>
    <t>ORD-1929</t>
  </si>
  <si>
    <t>PROD-1050</t>
  </si>
  <si>
    <t>ORD-1069</t>
  </si>
  <si>
    <t>PROD-8775</t>
  </si>
  <si>
    <t>ORD-1821</t>
  </si>
  <si>
    <t>PROD-3137</t>
  </si>
  <si>
    <t>ORD-1466</t>
  </si>
  <si>
    <t>CU-1193</t>
  </si>
  <si>
    <t>Omar Walker</t>
  </si>
  <si>
    <t>PROD-7390</t>
  </si>
  <si>
    <t>ORD-1937</t>
  </si>
  <si>
    <t>PROD-4122</t>
  </si>
  <si>
    <t>ORD-1858</t>
  </si>
  <si>
    <t>PROD-5422</t>
  </si>
  <si>
    <t>ORD-1107</t>
  </si>
  <si>
    <t>CU-1131</t>
  </si>
  <si>
    <t>James Young</t>
  </si>
  <si>
    <t>PROD-1749</t>
  </si>
  <si>
    <t>ORD-1236</t>
  </si>
  <si>
    <t>PROD-6499</t>
  </si>
  <si>
    <t>ORD-1514</t>
  </si>
  <si>
    <t>PROD-9870</t>
  </si>
  <si>
    <t>ORD-1128</t>
  </si>
  <si>
    <t>PROD-6484</t>
  </si>
  <si>
    <t>ORD-1578</t>
  </si>
  <si>
    <t>PROD-9740</t>
  </si>
  <si>
    <t>ORD-1849</t>
  </si>
  <si>
    <t>PROD-8764</t>
  </si>
  <si>
    <t>ORD-1658</t>
  </si>
  <si>
    <t>PROD-2468</t>
  </si>
  <si>
    <t>ORD-1711</t>
  </si>
  <si>
    <t>PROD-3518</t>
  </si>
  <si>
    <t>ORD-1926</t>
  </si>
  <si>
    <t>PROD-5520</t>
  </si>
  <si>
    <t>ORD-1480</t>
  </si>
  <si>
    <t>PROD-1644</t>
  </si>
  <si>
    <t>ORD-1613</t>
  </si>
  <si>
    <t>PROD-5175</t>
  </si>
  <si>
    <t>ORD-1350</t>
  </si>
  <si>
    <t>PROD-5053</t>
  </si>
  <si>
    <t>ORD-1462</t>
  </si>
  <si>
    <t>PROD-5603</t>
  </si>
  <si>
    <t>ORD-1148</t>
  </si>
  <si>
    <t>PROD-2871</t>
  </si>
  <si>
    <t>ORD-1072</t>
  </si>
  <si>
    <t>PROD-8837</t>
  </si>
  <si>
    <t>ORD-1084</t>
  </si>
  <si>
    <t>PROD-1111</t>
  </si>
  <si>
    <t>ORD-1332</t>
  </si>
  <si>
    <t>PROD-3924</t>
  </si>
  <si>
    <t>ORD-1823</t>
  </si>
  <si>
    <t>PROD-7851</t>
  </si>
  <si>
    <t>ORD-1190</t>
  </si>
  <si>
    <t>PROD-2506</t>
  </si>
  <si>
    <t>ORD-1810</t>
  </si>
  <si>
    <t>PROD-4260</t>
  </si>
  <si>
    <t>ORD-1314</t>
  </si>
  <si>
    <t>PROD-8796</t>
  </si>
  <si>
    <t>ORD-1624</t>
  </si>
  <si>
    <t>PROD-8178</t>
  </si>
  <si>
    <t>ORD-1674</t>
  </si>
  <si>
    <t>PROD-5494</t>
  </si>
  <si>
    <t>ORD-1138</t>
  </si>
  <si>
    <t>PROD-3692</t>
  </si>
  <si>
    <t>ORD-1346</t>
  </si>
  <si>
    <t>PROD-7631</t>
  </si>
  <si>
    <t>ORD-1450</t>
  </si>
  <si>
    <t>PROD-5989</t>
  </si>
  <si>
    <t>ORD-1368</t>
  </si>
  <si>
    <t>ORD-1150</t>
  </si>
  <si>
    <t>PROD-6744</t>
  </si>
  <si>
    <t>ORD-1222</t>
  </si>
  <si>
    <t>PROD-8785</t>
  </si>
  <si>
    <t>ORD-1885</t>
  </si>
  <si>
    <t>PROD-9133</t>
  </si>
  <si>
    <t>ORD-1992</t>
  </si>
  <si>
    <t>PROD-1812</t>
  </si>
  <si>
    <t>ORD-1004</t>
  </si>
  <si>
    <t>PROD-6751</t>
  </si>
  <si>
    <t>ORD-1204</t>
  </si>
  <si>
    <t>PROD-6425</t>
  </si>
  <si>
    <t>ORD-1561</t>
  </si>
  <si>
    <t>PROD-6755</t>
  </si>
  <si>
    <t>ORD-1886</t>
  </si>
  <si>
    <t>PROD-4471</t>
  </si>
  <si>
    <t>ORD-1447</t>
  </si>
  <si>
    <t>PROD-2599</t>
  </si>
  <si>
    <t>ORD-1493</t>
  </si>
  <si>
    <t>PROD-4409</t>
  </si>
  <si>
    <t>ORD-1071</t>
  </si>
  <si>
    <t>CU-1008</t>
  </si>
  <si>
    <t>Priya Jackson</t>
  </si>
  <si>
    <t>PROD-9221</t>
  </si>
  <si>
    <t>ORD-1249</t>
  </si>
  <si>
    <t>CU-1130</t>
  </si>
  <si>
    <t>PROD-4304</t>
  </si>
  <si>
    <t>ORD-1268</t>
  </si>
  <si>
    <t>PROD-8091</t>
  </si>
  <si>
    <t>ORD-1950</t>
  </si>
  <si>
    <t>PROD-3535</t>
  </si>
  <si>
    <t>ORD-1515</t>
  </si>
  <si>
    <t>PROD-6503</t>
  </si>
  <si>
    <t>ORD-1087</t>
  </si>
  <si>
    <t>CU-1163</t>
  </si>
  <si>
    <t>Mary Williams</t>
  </si>
  <si>
    <t>PROD-9998</t>
  </si>
  <si>
    <t>ORD-1913</t>
  </si>
  <si>
    <t>PROD-1771</t>
  </si>
  <si>
    <t>ORD-1915</t>
  </si>
  <si>
    <t>PROD-1080</t>
  </si>
  <si>
    <t>ORD-1453</t>
  </si>
  <si>
    <t>PROD-3841</t>
  </si>
  <si>
    <t>ORD-1019</t>
  </si>
  <si>
    <t>PROD-6626</t>
  </si>
  <si>
    <t>ORD-1058</t>
  </si>
  <si>
    <t>PROD-8202</t>
  </si>
  <si>
    <t>ORD-1445</t>
  </si>
  <si>
    <t>PROD-4992</t>
  </si>
  <si>
    <t>ORD-1663</t>
  </si>
  <si>
    <t>CU-1063</t>
  </si>
  <si>
    <t>Susan Lewis</t>
  </si>
  <si>
    <t>PROD-7116</t>
  </si>
  <si>
    <t>ORD-1861</t>
  </si>
  <si>
    <t>PROD-4192</t>
  </si>
  <si>
    <t>ORD-1535</t>
  </si>
  <si>
    <t>PROD-3738</t>
  </si>
  <si>
    <t>ORD-1677</t>
  </si>
  <si>
    <t>PROD-1084</t>
  </si>
  <si>
    <t>ORD-1383</t>
  </si>
  <si>
    <t>PROD-9376</t>
  </si>
  <si>
    <t>ORD-1667</t>
  </si>
  <si>
    <t>PROD-5282</t>
  </si>
  <si>
    <t>ORD-1082</t>
  </si>
  <si>
    <t>PROD-3662</t>
  </si>
  <si>
    <t>ORD-1828</t>
  </si>
  <si>
    <t>PROD-4609</t>
  </si>
  <si>
    <t>ORD-1387</t>
  </si>
  <si>
    <t>PROD-1187</t>
  </si>
  <si>
    <t>ORD-1065</t>
  </si>
  <si>
    <t>PROD-2946</t>
  </si>
  <si>
    <t>ORD-1192</t>
  </si>
  <si>
    <t>PROD-5026</t>
  </si>
  <si>
    <t>ORD-1735</t>
  </si>
  <si>
    <t>PROD-9171</t>
  </si>
  <si>
    <t>ORD-1358</t>
  </si>
  <si>
    <t>PROD-8418</t>
  </si>
  <si>
    <t>ORD-1217</t>
  </si>
  <si>
    <t>ORD-1053</t>
  </si>
  <si>
    <t>PROD-8088</t>
  </si>
  <si>
    <t>ORD-1471</t>
  </si>
  <si>
    <t>PROD-4552</t>
  </si>
  <si>
    <t>ORD-1041</t>
  </si>
  <si>
    <t>PROD-4060</t>
  </si>
  <si>
    <t>ORD-1375</t>
  </si>
  <si>
    <t>PROD-4616</t>
  </si>
  <si>
    <t>ORD-1547</t>
  </si>
  <si>
    <t>PROD-6918</t>
  </si>
  <si>
    <t>ORD-1569</t>
  </si>
  <si>
    <t>PROD-9457</t>
  </si>
  <si>
    <t>ORD-1865</t>
  </si>
  <si>
    <t>PROD-4421</t>
  </si>
  <si>
    <t>ORD-1263</t>
  </si>
  <si>
    <t>PROD-8474</t>
  </si>
  <si>
    <t>ORD-1564</t>
  </si>
  <si>
    <t>PROD-2639</t>
  </si>
  <si>
    <t>ORD-1472</t>
  </si>
  <si>
    <t>PROD-4027</t>
  </si>
  <si>
    <t>ORD-1522</t>
  </si>
  <si>
    <t>PROD-2914</t>
  </si>
  <si>
    <t>ORD-1241</t>
  </si>
  <si>
    <t>PROD-8105</t>
  </si>
  <si>
    <t>ORD-1320</t>
  </si>
  <si>
    <t>PROD-7065</t>
  </si>
  <si>
    <t>ORD-1511</t>
  </si>
  <si>
    <t>PROD-8966</t>
  </si>
  <si>
    <t>ORD-1687</t>
  </si>
  <si>
    <t>CU-1079</t>
  </si>
  <si>
    <t>Lisa Harris</t>
  </si>
  <si>
    <t>PROD-3369</t>
  </si>
  <si>
    <t>ORD-1214</t>
  </si>
  <si>
    <t>PROD-5315</t>
  </si>
  <si>
    <t>ORD-1665</t>
  </si>
  <si>
    <t>PROD-4485</t>
  </si>
  <si>
    <t>ORD-1005</t>
  </si>
  <si>
    <t>ORD-1714</t>
  </si>
  <si>
    <t>ORD-1329</t>
  </si>
  <si>
    <t>PROD-8254</t>
  </si>
  <si>
    <t>ORD-1037</t>
  </si>
  <si>
    <t>PROD-2698</t>
  </si>
  <si>
    <t>ORD-1154</t>
  </si>
  <si>
    <t>PROD-5558</t>
  </si>
  <si>
    <t>ORD-1345</t>
  </si>
  <si>
    <t>PROD-8322</t>
  </si>
  <si>
    <t>ORD-1544</t>
  </si>
  <si>
    <t>CU-1007</t>
  </si>
  <si>
    <t>Linda Hall</t>
  </si>
  <si>
    <t>PROD-2119</t>
  </si>
  <si>
    <t>ORD-1777</t>
  </si>
  <si>
    <t>PROD-2670</t>
  </si>
  <si>
    <t>ORD-1258</t>
  </si>
  <si>
    <t>PROD-9570</t>
  </si>
  <si>
    <t>ORD-1808</t>
  </si>
  <si>
    <t>PROD-8017</t>
  </si>
  <si>
    <t>ORD-1060</t>
  </si>
  <si>
    <t>PROD-3308</t>
  </si>
  <si>
    <t>ORD-1238</t>
  </si>
  <si>
    <t>PROD-9199</t>
  </si>
  <si>
    <t>ORD-1484</t>
  </si>
  <si>
    <t>PROD-3319</t>
  </si>
  <si>
    <t>ORD-1412</t>
  </si>
  <si>
    <t>PROD-5684</t>
  </si>
  <si>
    <t>ORD-1842</t>
  </si>
  <si>
    <t>PROD-5617</t>
  </si>
  <si>
    <t>ORD-1541</t>
  </si>
  <si>
    <t>PROD-8934</t>
  </si>
  <si>
    <t>ORD-1255</t>
  </si>
  <si>
    <t>PROD-1960</t>
  </si>
  <si>
    <t>ORD-1715</t>
  </si>
  <si>
    <t>PROD-7855</t>
  </si>
  <si>
    <t>ORD-1212</t>
  </si>
  <si>
    <t>PROD-5781</t>
  </si>
  <si>
    <t>ORD-1851</t>
  </si>
  <si>
    <t>PROD-1886</t>
  </si>
  <si>
    <t>ORD-1655</t>
  </si>
  <si>
    <t>PROD-9235</t>
  </si>
  <si>
    <t>ORD-1910</t>
  </si>
  <si>
    <t>ORD-1147</t>
  </si>
  <si>
    <t>PROD-5503</t>
  </si>
  <si>
    <t>ORD-1340</t>
  </si>
  <si>
    <t>ORD-1318</t>
  </si>
  <si>
    <t>ORD-1111</t>
  </si>
  <si>
    <t>PROD-4791</t>
  </si>
  <si>
    <t>ORD-1920</t>
  </si>
  <si>
    <t>CU-1177</t>
  </si>
  <si>
    <t>Charles Lewis</t>
  </si>
  <si>
    <t>PROD-4078</t>
  </si>
  <si>
    <t>ORD-1825</t>
  </si>
  <si>
    <t>CU-1123</t>
  </si>
  <si>
    <t>William Scott</t>
  </si>
  <si>
    <t>PROD-1744</t>
  </si>
  <si>
    <t>ORD-1702</t>
  </si>
  <si>
    <t>PROD-9392</t>
  </si>
  <si>
    <t>ORD-1719</t>
  </si>
  <si>
    <t>PROD-3942</t>
  </si>
  <si>
    <t>ORD-1406</t>
  </si>
  <si>
    <t>PROD-4783</t>
  </si>
  <si>
    <t>ORD-1025</t>
  </si>
  <si>
    <t>PROD-6517</t>
  </si>
  <si>
    <t>ORD-1852</t>
  </si>
  <si>
    <t>PROD-5014</t>
  </si>
  <si>
    <t>ORD-1463</t>
  </si>
  <si>
    <t>PROD-3873</t>
  </si>
  <si>
    <t>ORD-1935</t>
  </si>
  <si>
    <t>PROD-9156</t>
  </si>
  <si>
    <t>ORD-1381</t>
  </si>
  <si>
    <t>PROD-5162</t>
  </si>
  <si>
    <t>ORD-1403</t>
  </si>
  <si>
    <t>PROD-3270</t>
  </si>
  <si>
    <t>ORD-1787</t>
  </si>
  <si>
    <t>PROD-9035</t>
  </si>
  <si>
    <t>ORD-1017</t>
  </si>
  <si>
    <t>PROD-8565</t>
  </si>
  <si>
    <t>ORD-1391</t>
  </si>
  <si>
    <t>PROD-4212</t>
  </si>
  <si>
    <t>ORD-1250</t>
  </si>
  <si>
    <t>PROD-4842</t>
  </si>
  <si>
    <t>ORD-1518</t>
  </si>
  <si>
    <t>PROD-4897</t>
  </si>
  <si>
    <t>ORD-1546</t>
  </si>
  <si>
    <t>PROD-7219</t>
  </si>
  <si>
    <t>ORD-1859</t>
  </si>
  <si>
    <t>ORD-1494</t>
  </si>
  <si>
    <t>PROD-6966</t>
  </si>
  <si>
    <t>ORD-1804</t>
  </si>
  <si>
    <t>PROD-8915</t>
  </si>
  <si>
    <t>ORD-1416</t>
  </si>
  <si>
    <t>PROD-3459</t>
  </si>
  <si>
    <t>ORD-1797</t>
  </si>
  <si>
    <t>PROD-7064</t>
  </si>
  <si>
    <t>ORD-1095</t>
  </si>
  <si>
    <t>PROD-7214</t>
  </si>
  <si>
    <t>ORD-1439</t>
  </si>
  <si>
    <t>PROD-6549</t>
  </si>
  <si>
    <t>ORD-1298</t>
  </si>
  <si>
    <t>PROD-2783</t>
  </si>
  <si>
    <t>ORD-1763</t>
  </si>
  <si>
    <t>PROD-9158</t>
  </si>
  <si>
    <t>ORD-1482</t>
  </si>
  <si>
    <t>PROD-6041</t>
  </si>
  <si>
    <t>ORD-1270</t>
  </si>
  <si>
    <t>PROD-3185</t>
  </si>
  <si>
    <t>ORD-1778</t>
  </si>
  <si>
    <t>PROD-3943</t>
  </si>
  <si>
    <t>ORD-1207</t>
  </si>
  <si>
    <t>PROD-4695</t>
  </si>
  <si>
    <t>ORD-1469</t>
  </si>
  <si>
    <t>PROD-6528</t>
  </si>
  <si>
    <t>ORD-1855</t>
  </si>
  <si>
    <t>PROD-4724</t>
  </si>
  <si>
    <t>ORD-1309</t>
  </si>
  <si>
    <t>ORD-1023</t>
  </si>
  <si>
    <t>PROD-9624</t>
  </si>
  <si>
    <t>ORD-1524</t>
  </si>
  <si>
    <t>PROD-2431</t>
  </si>
  <si>
    <t>ORD-1669</t>
  </si>
  <si>
    <t>PROD-9816</t>
  </si>
  <si>
    <t>ORD-1331</t>
  </si>
  <si>
    <t>PROD-9776</t>
  </si>
  <si>
    <t>ORD-1319</t>
  </si>
  <si>
    <t>PROD-7939</t>
  </si>
  <si>
    <t>ORD-1198</t>
  </si>
  <si>
    <t>PROD-3328</t>
  </si>
  <si>
    <t>ORD-1671</t>
  </si>
  <si>
    <t>PROD-6862</t>
  </si>
  <si>
    <t>ORD-1097</t>
  </si>
  <si>
    <t>PROD-1724</t>
  </si>
  <si>
    <t>ORD-1757</t>
  </si>
  <si>
    <t>PROD-4458</t>
  </si>
  <si>
    <t>ORD-1554</t>
  </si>
  <si>
    <t>PROD-1438</t>
  </si>
  <si>
    <t>ORD-1981</t>
  </si>
  <si>
    <t>PROD-9535</t>
  </si>
  <si>
    <t>ORD-1686</t>
  </si>
  <si>
    <t>PROD-6861</t>
  </si>
  <si>
    <t>ORD-1425</t>
  </si>
  <si>
    <t>ORD-1516</t>
  </si>
  <si>
    <t>PROD-5982</t>
  </si>
  <si>
    <t>ORD-1914</t>
  </si>
  <si>
    <t>PROD-1783</t>
  </si>
  <si>
    <t>ORD-1086</t>
  </si>
  <si>
    <t>PROD-2923</t>
  </si>
  <si>
    <t>ORD-1276</t>
  </si>
  <si>
    <t>PROD-6122</t>
  </si>
  <si>
    <t>ORD-1754</t>
  </si>
  <si>
    <t>PROD-9234</t>
  </si>
  <si>
    <t>ORD-1410</t>
  </si>
  <si>
    <t>PROD-6126</t>
  </si>
  <si>
    <t>ORD-1386</t>
  </si>
  <si>
    <t>PROD-1916</t>
  </si>
  <si>
    <t>ORD-1126</t>
  </si>
  <si>
    <t>PROD-8121</t>
  </si>
  <si>
    <t>ORD-1278</t>
  </si>
  <si>
    <t>PROD-3847</t>
  </si>
  <si>
    <t>ORD-1967</t>
  </si>
  <si>
    <t>PROD-8190</t>
  </si>
  <si>
    <t>ORD-1700</t>
  </si>
  <si>
    <t>PROD-4596</t>
  </si>
  <si>
    <t>ORD-1235</t>
  </si>
  <si>
    <t>PROD-5918</t>
  </si>
  <si>
    <t>ORD-1964</t>
  </si>
  <si>
    <t>PROD-5687</t>
  </si>
  <si>
    <t>ORD-1308</t>
  </si>
  <si>
    <t>ORD-1870</t>
  </si>
  <si>
    <t>PROD-1130</t>
  </si>
  <si>
    <t>ORD-1629</t>
  </si>
  <si>
    <t>PROD-6820</t>
  </si>
  <si>
    <t>ORD-1043</t>
  </si>
  <si>
    <t>PROD-8272</t>
  </si>
  <si>
    <t>ORD-1956</t>
  </si>
  <si>
    <t>PROD-7380</t>
  </si>
  <si>
    <t>ORD-1904</t>
  </si>
  <si>
    <t>PROD-7275</t>
  </si>
  <si>
    <t>ORD-1513</t>
  </si>
  <si>
    <t>CU-1048</t>
  </si>
  <si>
    <t>Noah Clark</t>
  </si>
  <si>
    <t>PROD-5521</t>
  </si>
  <si>
    <t>ORD-1104</t>
  </si>
  <si>
    <t>PROD-4422</t>
  </si>
  <si>
    <t>ORD-1539</t>
  </si>
  <si>
    <t>ORD-1643</t>
  </si>
  <si>
    <t>PROD-5902</t>
  </si>
  <si>
    <t>ORD-1770</t>
  </si>
  <si>
    <t>PROD-8546</t>
  </si>
  <si>
    <t>ORD-1013</t>
  </si>
  <si>
    <t>PROD-6562</t>
  </si>
  <si>
    <t>ORD-1254</t>
  </si>
  <si>
    <t>PROD-7566</t>
  </si>
  <si>
    <t>ORD-1637</t>
  </si>
  <si>
    <t>PROD-5986</t>
  </si>
  <si>
    <t>ORD-1679</t>
  </si>
  <si>
    <t>ORD-1423</t>
  </si>
  <si>
    <t>PROD-9666</t>
  </si>
  <si>
    <t>ORD-1339</t>
  </si>
  <si>
    <t>PROD-7099</t>
  </si>
  <si>
    <t>ORD-1382</t>
  </si>
  <si>
    <t>PROD-3213</t>
  </si>
  <si>
    <t>ORD-1165</t>
  </si>
  <si>
    <t>PROD-5942</t>
  </si>
  <si>
    <t>ORD-1941</t>
  </si>
  <si>
    <t>PROD-3540</t>
  </si>
  <si>
    <t>ORD-1234</t>
  </si>
  <si>
    <t>PROD-1578</t>
  </si>
  <si>
    <t>ORD-1405</t>
  </si>
  <si>
    <t>PROD-8258</t>
  </si>
  <si>
    <t>ORD-1936</t>
  </si>
  <si>
    <t>PROD-9927</t>
  </si>
  <si>
    <t>ORD-1793</t>
  </si>
  <si>
    <t>PROD-6464</t>
  </si>
  <si>
    <t>ORD-1750</t>
  </si>
  <si>
    <t>PROD-2316</t>
  </si>
  <si>
    <t>ORD-1726</t>
  </si>
  <si>
    <t>PROD-1782</t>
  </si>
  <si>
    <t>ORD-1370</t>
  </si>
  <si>
    <t>PROD-9702</t>
  </si>
  <si>
    <t>ORD-1868</t>
  </si>
  <si>
    <t>PROD-8999</t>
  </si>
  <si>
    <t>ORD-1866</t>
  </si>
  <si>
    <t>PROD-9964</t>
  </si>
  <si>
    <t>ORD-1050</t>
  </si>
  <si>
    <t>PROD-9335</t>
  </si>
  <si>
    <t>ORD-1064</t>
  </si>
  <si>
    <t>PROD-1838</t>
  </si>
  <si>
    <t>ORD-1566</t>
  </si>
  <si>
    <t>PROD-7586</t>
  </si>
  <si>
    <t>ORD-1361</t>
  </si>
  <si>
    <t>PROD-7429</t>
  </si>
  <si>
    <t>ORD-1341</t>
  </si>
  <si>
    <t>PROD-3893</t>
  </si>
  <si>
    <t>ORD-1092</t>
  </si>
  <si>
    <t>PROD-5703</t>
  </si>
  <si>
    <t>ORD-1901</t>
  </si>
  <si>
    <t>PROD-8890</t>
  </si>
  <si>
    <t>ORD-1021</t>
  </si>
  <si>
    <t>PROD-6401</t>
  </si>
  <si>
    <t>ORD-1020</t>
  </si>
  <si>
    <t>PROD-7108</t>
  </si>
  <si>
    <t>ORD-1832</t>
  </si>
  <si>
    <t>PROD-7258</t>
  </si>
  <si>
    <t>ORD-1619</t>
  </si>
  <si>
    <t>PROD-8765</t>
  </si>
  <si>
    <t>ORD-1132</t>
  </si>
  <si>
    <t>PROD-7932</t>
  </si>
  <si>
    <t>ORD-1337</t>
  </si>
  <si>
    <t>PROD-1137</t>
  </si>
  <si>
    <t>ORD-1896</t>
  </si>
  <si>
    <t>PROD-2520</t>
  </si>
  <si>
    <t>ORD-1731</t>
  </si>
  <si>
    <t>PROD-7045</t>
  </si>
  <si>
    <t>ORD-1932</t>
  </si>
  <si>
    <t>PROD-5762</t>
  </si>
  <si>
    <t>ORD-1640</t>
  </si>
  <si>
    <t>ORD-1840</t>
  </si>
  <si>
    <t>PROD-9381</t>
  </si>
  <si>
    <t>ORD-1548</t>
  </si>
  <si>
    <t>PROD-6111</t>
  </si>
  <si>
    <t>ORD-1962</t>
  </si>
  <si>
    <t>PROD-2054</t>
  </si>
  <si>
    <t>ORD-1586</t>
  </si>
  <si>
    <t>PROD-3131</t>
  </si>
  <si>
    <t>ORD-1226</t>
  </si>
  <si>
    <t>PROD-4262</t>
  </si>
  <si>
    <t>ORD-1419</t>
  </si>
  <si>
    <t>PROD-5556</t>
  </si>
  <si>
    <t>ORD-1458</t>
  </si>
  <si>
    <t>PROD-9469</t>
  </si>
  <si>
    <t>ORD-1315</t>
  </si>
  <si>
    <t>PROD-3135</t>
  </si>
  <si>
    <t>ORD-1933</t>
  </si>
  <si>
    <t>PROD-6747</t>
  </si>
  <si>
    <t>ORD-1651</t>
  </si>
  <si>
    <t>PROD-6074</t>
  </si>
  <si>
    <t>ORD-1347</t>
  </si>
  <si>
    <t>PROD-7479</t>
  </si>
  <si>
    <t>ORD-1963</t>
  </si>
  <si>
    <t>PROD-6261</t>
  </si>
  <si>
    <t>ORD-1497</t>
  </si>
  <si>
    <t>PROD-8716</t>
  </si>
  <si>
    <t>ORD-1681</t>
  </si>
  <si>
    <t>PROD-2065</t>
  </si>
  <si>
    <t>ORD-1055</t>
  </si>
  <si>
    <t>PROD-3762</t>
  </si>
  <si>
    <t>ORD-1408</t>
  </si>
  <si>
    <t>PROD-1528</t>
  </si>
  <si>
    <t>ORD-1698</t>
  </si>
  <si>
    <t>PROD-2062</t>
  </si>
  <si>
    <t>ORD-1452</t>
  </si>
  <si>
    <t>PROD-1510</t>
  </si>
  <si>
    <t>ORD-1400</t>
  </si>
  <si>
    <t>ORD-1685</t>
  </si>
  <si>
    <t>PROD-7897</t>
  </si>
  <si>
    <t>ORD-1875</t>
  </si>
  <si>
    <t>PROD-3322</t>
  </si>
  <si>
    <t>ORD-1267</t>
  </si>
  <si>
    <t>PROD-3018</t>
  </si>
  <si>
    <t>ORD-1878</t>
  </si>
  <si>
    <t>ORD-1575</t>
  </si>
  <si>
    <t>PROD-2479</t>
  </si>
  <si>
    <t>ORD-1062</t>
  </si>
  <si>
    <t>PROD-7442</t>
  </si>
  <si>
    <t>ORD-1928</t>
  </si>
  <si>
    <t>PROD-7437</t>
  </si>
  <si>
    <t>ORD-1220</t>
  </si>
  <si>
    <t>PROD-2654</t>
  </si>
  <si>
    <t>ORD-1792</t>
  </si>
  <si>
    <t>ORD-1274</t>
  </si>
  <si>
    <t>PROD-5105</t>
  </si>
  <si>
    <t>ORD-1297</t>
  </si>
  <si>
    <t>PROD-6889</t>
  </si>
  <si>
    <t>ORD-1029</t>
  </si>
  <si>
    <t>PROD-2680</t>
  </si>
  <si>
    <t>ORD-1737</t>
  </si>
  <si>
    <t>PROD-4752</t>
  </si>
  <si>
    <t>ORD-1421</t>
  </si>
  <si>
    <t>ORD-1615</t>
  </si>
  <si>
    <t>ORD-1827</t>
  </si>
  <si>
    <t>PROD-3621</t>
  </si>
  <si>
    <t>ORD-1724</t>
  </si>
  <si>
    <t>ORD-1131</t>
  </si>
  <si>
    <t>PROD-5773</t>
  </si>
  <si>
    <t>ORD-1407</t>
  </si>
  <si>
    <t>PROD-8680</t>
  </si>
  <si>
    <t>ORD-1860</t>
  </si>
  <si>
    <t>PROD-8926</t>
  </si>
  <si>
    <t>ORD-1116</t>
  </si>
  <si>
    <t>PROD-2562</t>
  </si>
  <si>
    <t>ORD-1837</t>
  </si>
  <si>
    <t>PROD-5068</t>
  </si>
  <si>
    <t>ORD-1876</t>
  </si>
  <si>
    <t>PROD-1880</t>
  </si>
  <si>
    <t>ORD-1475</t>
  </si>
  <si>
    <t>PROD-3357</t>
  </si>
  <si>
    <t>ORD-1898</t>
  </si>
  <si>
    <t>PROD-5894</t>
  </si>
  <si>
    <t>ORD-1118</t>
  </si>
  <si>
    <t>PROD-5903</t>
  </si>
  <si>
    <t>ORD-1435</t>
  </si>
  <si>
    <t>PROD-1598</t>
  </si>
  <si>
    <t>ORD-1678</t>
  </si>
  <si>
    <t>PROD-5095</t>
  </si>
  <si>
    <t>ORD-1253</t>
  </si>
  <si>
    <t>PROD-3793</t>
  </si>
  <si>
    <t>ORD-1333</t>
  </si>
  <si>
    <t>PROD-4271</t>
  </si>
  <si>
    <t>ORD-1457</t>
  </si>
  <si>
    <t>PROD-1620</t>
  </si>
  <si>
    <t>ORD-1429</t>
  </si>
  <si>
    <t>PROD-6490</t>
  </si>
  <si>
    <t>ORD-1856</t>
  </si>
  <si>
    <t>PROD-1917</t>
  </si>
  <si>
    <t>ORD-1115</t>
  </si>
  <si>
    <t>PROD-7640</t>
  </si>
  <si>
    <t>ORD-1224</t>
  </si>
  <si>
    <t>PROD-8237</t>
  </si>
  <si>
    <t>ORD-1841</t>
  </si>
  <si>
    <t>PROD-5699</t>
  </si>
  <si>
    <t>ORD-1815</t>
  </si>
  <si>
    <t>PROD-2973</t>
  </si>
  <si>
    <t>ORD-1492</t>
  </si>
  <si>
    <t>PROD-7861</t>
  </si>
  <si>
    <t>ORD-1556</t>
  </si>
  <si>
    <t>PROD-8051</t>
  </si>
  <si>
    <t>ORD-1365</t>
  </si>
  <si>
    <t>PROD-2960</t>
  </si>
  <si>
    <t>ORD-1834</t>
  </si>
  <si>
    <t>PROD-4094</t>
  </si>
  <si>
    <t>ORD-1401</t>
  </si>
  <si>
    <t>PROD-5221</t>
  </si>
  <si>
    <t>ORD-1788</t>
  </si>
  <si>
    <t>PROD-1732</t>
  </si>
  <si>
    <t>ORD-1501</t>
  </si>
  <si>
    <t>PROD-5573</t>
  </si>
  <si>
    <t>ORD-1931</t>
  </si>
  <si>
    <t>PROD-1159</t>
  </si>
  <si>
    <t>ORD-1802</t>
  </si>
  <si>
    <t>PROD-8350</t>
  </si>
  <si>
    <t>ORD-1299</t>
  </si>
  <si>
    <t>PROD-2235</t>
  </si>
  <si>
    <t>ORD-1845</t>
  </si>
  <si>
    <t>PROD-3421</t>
  </si>
  <si>
    <t>ORD-1307</t>
  </si>
  <si>
    <t>ORD-1984</t>
  </si>
  <si>
    <t>PROD-4021</t>
  </si>
  <si>
    <t>ORD-1672</t>
  </si>
  <si>
    <t>PROD-9074</t>
  </si>
  <si>
    <t>ORD-1543</t>
  </si>
  <si>
    <t>PROD-6759</t>
  </si>
  <si>
    <t>ORD-1495</t>
  </si>
  <si>
    <t>PROD-1476</t>
  </si>
  <si>
    <t>ORD-1357</t>
  </si>
  <si>
    <t>PROD-9715</t>
  </si>
  <si>
    <t>ORD-1653</t>
  </si>
  <si>
    <t>CU-1038</t>
  </si>
  <si>
    <t>Elena Thomas</t>
  </si>
  <si>
    <t>PROD-9863</t>
  </si>
  <si>
    <t>ORD-1240</t>
  </si>
  <si>
    <t>PROD-1950</t>
  </si>
  <si>
    <t>ORD-1597</t>
  </si>
  <si>
    <t>PROD-5266</t>
  </si>
  <si>
    <t>ORD-1646</t>
  </si>
  <si>
    <t>PROD-7937</t>
  </si>
  <si>
    <t>ORD-1389</t>
  </si>
  <si>
    <t>PROD-8076</t>
  </si>
  <si>
    <t>ORD-1628</t>
  </si>
  <si>
    <t>CU-1053</t>
  </si>
  <si>
    <t>Lisa Smith</t>
  </si>
  <si>
    <t>PROD-1523</t>
  </si>
  <si>
    <t>ORD-1807</t>
  </si>
  <si>
    <t>PROD-3029</t>
  </si>
  <si>
    <t>ORD-1782</t>
  </si>
  <si>
    <t>PROD-3051</t>
  </si>
  <si>
    <t>ORD-1978</t>
  </si>
  <si>
    <t>PROD-3125</t>
  </si>
  <si>
    <t>ORD-1780</t>
  </si>
  <si>
    <t>PROD-8292</t>
  </si>
  <si>
    <t>ORD-1874</t>
  </si>
  <si>
    <t>PROD-6922</t>
  </si>
  <si>
    <t>ORD-1727</t>
  </si>
  <si>
    <t>PROD-4305</t>
  </si>
  <si>
    <t>ORD-1213</t>
  </si>
  <si>
    <t>PROD-9914</t>
  </si>
  <si>
    <t>ORD-1625</t>
  </si>
  <si>
    <t>PROD-5806</t>
  </si>
  <si>
    <t>ORD-1773</t>
  </si>
  <si>
    <t>PROD-1861</t>
  </si>
  <si>
    <t>ORD-1502</t>
  </si>
  <si>
    <t>PROD-3440</t>
  </si>
  <si>
    <t>ORD-1068</t>
  </si>
  <si>
    <t>PROD-5911</t>
  </si>
  <si>
    <t>ORD-1444</t>
  </si>
  <si>
    <t>PROD-2752</t>
  </si>
  <si>
    <t>ORD-1003</t>
  </si>
  <si>
    <t>PROD-4705</t>
  </si>
  <si>
    <t>ORD-1219</t>
  </si>
  <si>
    <t>PROD-9514</t>
  </si>
  <si>
    <t>ORD-1740</t>
  </si>
  <si>
    <t>PROD-2280</t>
  </si>
  <si>
    <t>ORD-1528</t>
  </si>
  <si>
    <t>PROD-1108</t>
  </si>
  <si>
    <t>ORD-1090</t>
  </si>
  <si>
    <t>PROD-7806</t>
  </si>
  <si>
    <t>ORD-1650</t>
  </si>
  <si>
    <t>PROD-3999</t>
  </si>
  <si>
    <t>ORD-1203</t>
  </si>
  <si>
    <t>PROD-1530</t>
  </si>
  <si>
    <t>ORD-1134</t>
  </si>
  <si>
    <t>PROD-7547</t>
  </si>
  <si>
    <t>ORD-1289</t>
  </si>
  <si>
    <t>CU-1136</t>
  </si>
  <si>
    <t>Linda Wright</t>
  </si>
  <si>
    <t>PROD-2738</t>
  </si>
  <si>
    <t>ORD-1508</t>
  </si>
  <si>
    <t>PROD-6963</t>
  </si>
  <si>
    <t>ORD-1917</t>
  </si>
  <si>
    <t>PROD-3424</t>
  </si>
  <si>
    <t>ORD-1191</t>
  </si>
  <si>
    <t>PROD-1483</t>
  </si>
  <si>
    <t>ORD-1496</t>
  </si>
  <si>
    <t>PROD-6336</t>
  </si>
  <si>
    <t>ORD-1909</t>
  </si>
  <si>
    <t>PROD-6244</t>
  </si>
  <si>
    <t>ORD-1972</t>
  </si>
  <si>
    <t>PROD-2159</t>
  </si>
  <si>
    <t>ORD-1271</t>
  </si>
  <si>
    <t>PROD-4435</t>
  </si>
  <si>
    <t>ORD-1200</t>
  </si>
  <si>
    <t>PROD-1975</t>
  </si>
  <si>
    <t>ORD-1689</t>
  </si>
  <si>
    <t>PROD-6384</t>
  </si>
  <si>
    <t>ORD-1225</t>
  </si>
  <si>
    <t>PROD-9303</t>
  </si>
  <si>
    <t>ORD-1385</t>
  </si>
  <si>
    <t>PROD-3832</t>
  </si>
  <si>
    <t>ORD-1600</t>
  </si>
  <si>
    <t>PROD-9108</t>
  </si>
  <si>
    <t>ORD-1805</t>
  </si>
  <si>
    <t>ORD-1251</t>
  </si>
  <si>
    <t>PROD-2659</t>
  </si>
  <si>
    <t>ORD-1008</t>
  </si>
  <si>
    <t>CU-1055</t>
  </si>
  <si>
    <t>Charles White</t>
  </si>
  <si>
    <t>PROD-6053</t>
  </si>
  <si>
    <t>ORD-1642</t>
  </si>
  <si>
    <t>ORD-1649</t>
  </si>
  <si>
    <t>PROD-5968</t>
  </si>
  <si>
    <t>ORD-1036</t>
  </si>
  <si>
    <t>PROD-8702</t>
  </si>
  <si>
    <t>ORD-1641</t>
  </si>
  <si>
    <t>Jennifer Anderson</t>
  </si>
  <si>
    <t>PROD-5979</t>
  </si>
  <si>
    <t>ORD-1676</t>
  </si>
  <si>
    <t>PROD-9491</t>
  </si>
  <si>
    <t>ORD-1571</t>
  </si>
  <si>
    <t>PROD-6220</t>
  </si>
  <si>
    <t>ORD-1194</t>
  </si>
  <si>
    <t>PROD-9921</t>
  </si>
  <si>
    <t>ORD-1325</t>
  </si>
  <si>
    <t>PROD-3776</t>
  </si>
  <si>
    <t>ORD-1830</t>
  </si>
  <si>
    <t>PROD-6692</t>
  </si>
  <si>
    <t>ORD-1722</t>
  </si>
  <si>
    <t>PROD-2199</t>
  </si>
  <si>
    <t>ORD-1102</t>
  </si>
  <si>
    <t>PROD-4978</t>
  </si>
  <si>
    <t>ORD-1443</t>
  </si>
  <si>
    <t>PROD-2849</t>
  </si>
  <si>
    <t>ORD-1039</t>
  </si>
  <si>
    <t>PROD-1686</t>
  </si>
  <si>
    <t>ORD-1322</t>
  </si>
  <si>
    <t>PROD-1852</t>
  </si>
  <si>
    <t>ORD-1704</t>
  </si>
  <si>
    <t>PROD-4731</t>
  </si>
  <si>
    <t>ORD-1812</t>
  </si>
  <si>
    <t>PROD-4874</t>
  </si>
  <si>
    <t>ORD-1688</t>
  </si>
  <si>
    <t>PROD-4102</t>
  </si>
  <si>
    <t>ORD-1525</t>
  </si>
  <si>
    <t>PROD-3423</t>
  </si>
  <si>
    <t>ORD-1753</t>
  </si>
  <si>
    <t>PROD-7829</t>
  </si>
  <si>
    <t>ORD-1927</t>
  </si>
  <si>
    <t>PROD-1870</t>
  </si>
  <si>
    <t>ORD-1816</t>
  </si>
  <si>
    <t>PROD-1834</t>
  </si>
  <si>
    <t>ORD-1282</t>
  </si>
  <si>
    <t>PROD-4579</t>
  </si>
  <si>
    <t>ORD-1343</t>
  </si>
  <si>
    <t>PROD-6483</t>
  </si>
  <si>
    <t>ORD-1519</t>
  </si>
  <si>
    <t>PROD-6192</t>
  </si>
  <si>
    <t>ORD-1160</t>
  </si>
  <si>
    <t>PROD-8291</t>
  </si>
  <si>
    <t>ORD-1334</t>
  </si>
  <si>
    <t>PROD-2747</t>
  </si>
  <si>
    <t>ORD-1076</t>
  </si>
  <si>
    <t>PROD-8849</t>
  </si>
  <si>
    <t>ORD-1744</t>
  </si>
  <si>
    <t>PROD-7146</t>
  </si>
  <si>
    <t>ORD-1227</t>
  </si>
  <si>
    <t>ORD-1762</t>
  </si>
  <si>
    <t>PROD-8010</t>
  </si>
  <si>
    <t>ORD-1080</t>
  </si>
  <si>
    <t>PROD-9116</t>
  </si>
  <si>
    <t>ORD-1973</t>
  </si>
  <si>
    <t>PROD-9136</t>
  </si>
  <si>
    <t>ORD-1119</t>
  </si>
  <si>
    <t>PROD-6666</t>
  </si>
  <si>
    <t>ORD-1684</t>
  </si>
  <si>
    <t>ORD-1820</t>
  </si>
  <si>
    <t>PROD-6907</t>
  </si>
  <si>
    <t>ORD-1843</t>
  </si>
  <si>
    <t>PROD-6486</t>
  </si>
  <si>
    <t>ORD-1140</t>
  </si>
  <si>
    <t>PROD-4519</t>
  </si>
  <si>
    <t>ORD-1088</t>
  </si>
  <si>
    <t>PROD-2838</t>
  </si>
  <si>
    <t>ORD-1977</t>
  </si>
  <si>
    <t>PROD-2255</t>
  </si>
  <si>
    <t>ORD-1889</t>
  </si>
  <si>
    <t>PROD-3792</t>
  </si>
  <si>
    <t>ORD-1442</t>
  </si>
  <si>
    <t>PROD-5227</t>
  </si>
  <si>
    <t>ORD-1819</t>
  </si>
  <si>
    <t>PROD-4028</t>
  </si>
  <si>
    <t>ORD-1122</t>
  </si>
  <si>
    <t>PROD-7383</t>
  </si>
  <si>
    <t>ORD-1723</t>
  </si>
  <si>
    <t>ORD-1733</t>
  </si>
  <si>
    <t>ORD-1112</t>
  </si>
  <si>
    <t>PROD-8993</t>
  </si>
  <si>
    <t>ORD-1302</t>
  </si>
  <si>
    <t>PROD-3299</t>
  </si>
  <si>
    <t>ORD-1988</t>
  </si>
  <si>
    <t>PROD-9893</t>
  </si>
  <si>
    <t>ORD-1969</t>
  </si>
  <si>
    <t>PROD-6863</t>
  </si>
  <si>
    <t>ORD-1533</t>
  </si>
  <si>
    <t>PROD-3668</t>
  </si>
  <si>
    <t>ORD-1455</t>
  </si>
  <si>
    <t>PROD-7813</t>
  </si>
  <si>
    <t>ORD-1749</t>
  </si>
  <si>
    <t>PROD-8462</t>
  </si>
  <si>
    <t>ORD-1880</t>
  </si>
  <si>
    <t>PROD-4581</t>
  </si>
  <si>
    <t>ORD-1584</t>
  </si>
  <si>
    <t>ORD-1288</t>
  </si>
  <si>
    <t>ORD-1208</t>
  </si>
  <si>
    <t>PROD-6600</t>
  </si>
  <si>
    <t>ORD-1905</t>
  </si>
  <si>
    <t>PROD-7714</t>
  </si>
  <si>
    <t>ORD-1026</t>
  </si>
  <si>
    <t>PROD-8170</t>
  </si>
  <si>
    <t>ORD-1500</t>
  </si>
  <si>
    <t>PROD-3784</t>
  </si>
  <si>
    <t>ORD-1006</t>
  </si>
  <si>
    <t>PROD-3549</t>
  </si>
  <si>
    <t>ORD-1199</t>
  </si>
  <si>
    <t>PROD-4584</t>
  </si>
  <si>
    <t>ORD-1818</t>
  </si>
  <si>
    <t>PROD-6240</t>
  </si>
  <si>
    <t>ORD-1550</t>
  </si>
  <si>
    <t>PROD-3348</t>
  </si>
  <si>
    <t>ORD-1552</t>
  </si>
  <si>
    <t>PROD-8795</t>
  </si>
  <si>
    <t>ORD-1040</t>
  </si>
  <si>
    <t>ORD-1612</t>
  </si>
  <si>
    <t>ORD-1028</t>
  </si>
  <si>
    <t>PROD-9641</t>
  </si>
  <si>
    <t>ORD-1172</t>
  </si>
  <si>
    <t>ORD-1772</t>
  </si>
  <si>
    <t>PROD-4534</t>
  </si>
  <si>
    <t>ORD-1882</t>
  </si>
  <si>
    <t>PROD-8471</t>
  </si>
  <si>
    <t>ORD-1565</t>
  </si>
  <si>
    <t>ORD-1211</t>
  </si>
  <si>
    <t>ORD-1098</t>
  </si>
  <si>
    <t>PROD-6224</t>
  </si>
  <si>
    <t>ORD-1144</t>
  </si>
  <si>
    <t>PROD-7286</t>
  </si>
  <si>
    <t>ORD-1285</t>
  </si>
  <si>
    <t>PROD-9814</t>
  </si>
  <si>
    <t>ORD-1682</t>
  </si>
  <si>
    <t>PROD-1855</t>
  </si>
  <si>
    <t>ORD-1891</t>
  </si>
  <si>
    <t>PROD-4784</t>
  </si>
  <si>
    <t>ORD-1108</t>
  </si>
  <si>
    <t>PROD-4214</t>
  </si>
  <si>
    <t>ORD-1771</t>
  </si>
  <si>
    <t>PROD-1562</t>
  </si>
  <si>
    <t>ORD-1265</t>
  </si>
  <si>
    <t>PROD-9552</t>
  </si>
  <si>
    <t>ORD-1295</t>
  </si>
  <si>
    <t>PROD-5671</t>
  </si>
  <si>
    <t>ORD-1173</t>
  </si>
  <si>
    <t>PROD-8034</t>
  </si>
  <si>
    <t>ORD-1229</t>
  </si>
  <si>
    <t>PROD-3167</t>
  </si>
  <si>
    <t>ORD-1899</t>
  </si>
  <si>
    <t>PROD-9548</t>
  </si>
  <si>
    <t>ORD-1498</t>
  </si>
  <si>
    <t>PROD-7119</t>
  </si>
  <si>
    <t>ORD-1280</t>
  </si>
  <si>
    <t>PROD-5934</t>
  </si>
  <si>
    <t>ORD-1294</t>
  </si>
  <si>
    <t>PROD-2103</t>
  </si>
  <si>
    <t>ORD-1944</t>
  </si>
  <si>
    <t>PROD-7820</t>
  </si>
  <si>
    <t>ORD-1169</t>
  </si>
  <si>
    <t>PROD-9791</t>
  </si>
  <si>
    <t>ORD-1291</t>
  </si>
  <si>
    <t>PROD-7113</t>
  </si>
  <si>
    <t>ORD-1355</t>
  </si>
  <si>
    <t>PROD-4788</t>
  </si>
  <si>
    <t>ORD-1101</t>
  </si>
  <si>
    <t>PROD-5927</t>
  </si>
  <si>
    <t>ORD-1998</t>
  </si>
  <si>
    <t>PROD-2285</t>
  </si>
  <si>
    <t>ORD-1630</t>
  </si>
  <si>
    <t>PROD-8489</t>
  </si>
  <si>
    <t>ORD-1588</t>
  </si>
  <si>
    <t>PROD-1376</t>
  </si>
  <si>
    <t>ORD-1284</t>
  </si>
  <si>
    <t>PROD-7143</t>
  </si>
  <si>
    <t>ORD-1531</t>
  </si>
  <si>
    <t>PROD-9059</t>
  </si>
  <si>
    <t>ORD-1440</t>
  </si>
  <si>
    <t>PROD-7421</t>
  </si>
  <si>
    <t>ORD-1215</t>
  </si>
  <si>
    <t>PROD-4727</t>
  </si>
  <si>
    <t>ORD-1748</t>
  </si>
  <si>
    <t>PROD-5043</t>
  </si>
  <si>
    <t>ORD-1752</t>
  </si>
  <si>
    <t>PROD-7520</t>
  </si>
  <si>
    <t>ORD-1833</t>
  </si>
  <si>
    <t>PROD-8308</t>
  </si>
  <si>
    <t>ORD-1042</t>
  </si>
  <si>
    <t>PROD-3956</t>
  </si>
  <si>
    <t>ORD-1146</t>
  </si>
  <si>
    <t>PROD-9056</t>
  </si>
  <si>
    <t>ORD-1182</t>
  </si>
  <si>
    <t>PROD-7102</t>
  </si>
  <si>
    <t>ORD-1985</t>
  </si>
  <si>
    <t>PROD-6508</t>
  </si>
  <si>
    <t>ORD-1326</t>
  </si>
  <si>
    <t>PROD-7474</t>
  </si>
  <si>
    <t>ORD-1393</t>
  </si>
  <si>
    <t>PROD-8245</t>
  </si>
  <si>
    <t>ORD-1330</t>
  </si>
  <si>
    <t>PROD-2904</t>
  </si>
  <si>
    <t>ORD-1292</t>
  </si>
  <si>
    <t>PROD-4441</t>
  </si>
  <si>
    <t>ORD-1436</t>
  </si>
  <si>
    <t>PROD-8649</t>
  </si>
  <si>
    <t>ORD-1864</t>
  </si>
  <si>
    <t>PROD-3149</t>
  </si>
  <si>
    <t>ORD-1983</t>
  </si>
  <si>
    <t>PROD-5572</t>
  </si>
  <si>
    <t>ORD-1593</t>
  </si>
  <si>
    <t>PROD-8506</t>
  </si>
  <si>
    <t>ORD-1537</t>
  </si>
  <si>
    <t>PROD-3671</t>
  </si>
  <si>
    <t>ORD-1530</t>
  </si>
  <si>
    <t>PROD-1439</t>
  </si>
  <si>
    <t>ORD-1577</t>
  </si>
  <si>
    <t>PROD-4571</t>
  </si>
  <si>
    <t>ORD-1049</t>
  </si>
  <si>
    <t>PROD-6236</t>
  </si>
  <si>
    <t>ORD-1999</t>
  </si>
  <si>
    <t>PROD-9592</t>
  </si>
  <si>
    <t>ORD-1505</t>
  </si>
  <si>
    <t>PROD-8524</t>
  </si>
  <si>
    <t>ORD-1304</t>
  </si>
  <si>
    <t>PROD-8695</t>
  </si>
  <si>
    <t>ORD-1237</t>
  </si>
  <si>
    <t>ORD-1099</t>
  </si>
  <si>
    <t>PROD-3869</t>
  </si>
  <si>
    <t>ORD-1987</t>
  </si>
  <si>
    <t>PROD-7247</t>
  </si>
  <si>
    <t>ORD-1286</t>
  </si>
  <si>
    <t>PROD-2181</t>
  </si>
  <si>
    <t>ORD-1602</t>
  </si>
  <si>
    <t>PROD-1067</t>
  </si>
  <si>
    <t>ORD-1934</t>
  </si>
  <si>
    <t>PROD-8935</t>
  </si>
  <si>
    <t>ORD-1520</t>
  </si>
  <si>
    <t>PROD-3381</t>
  </si>
  <si>
    <t>ORD-1180</t>
  </si>
  <si>
    <t>PROD-9872</t>
  </si>
  <si>
    <t>ORD-1449</t>
  </si>
  <si>
    <t>PROD-3444</t>
  </si>
  <si>
    <t>ORD-1328</t>
  </si>
  <si>
    <t>PROD-2744</t>
  </si>
  <si>
    <t>ORD-1388</t>
  </si>
  <si>
    <t>PROD-9231</t>
  </si>
  <si>
    <t>ORD-1982</t>
  </si>
  <si>
    <t>PROD-8434</t>
  </si>
  <si>
    <t>ORD-1664</t>
  </si>
  <si>
    <t>PROD-5739</t>
  </si>
  <si>
    <t>ORD-1690</t>
  </si>
  <si>
    <t>PROD-4772</t>
  </si>
  <si>
    <t>ORD-1378</t>
  </si>
  <si>
    <t>PROD-3931</t>
  </si>
  <si>
    <t>ORD-1907</t>
  </si>
  <si>
    <t>PROD-6388</t>
  </si>
  <si>
    <t>ORD-1607</t>
  </si>
  <si>
    <t>PROD-7592</t>
  </si>
  <si>
    <t>ORD-1007</t>
  </si>
  <si>
    <t>PROD-5475</t>
  </si>
  <si>
    <t>ORD-1155</t>
  </si>
  <si>
    <t>PROD-6869</t>
  </si>
  <si>
    <t>ORD-1085</t>
  </si>
  <si>
    <t>PROD-6890</t>
  </si>
  <si>
    <t>ORD-1521</t>
  </si>
  <si>
    <t>PROD-5748</t>
  </si>
  <si>
    <t>ORD-1839</t>
  </si>
  <si>
    <t>PROD-3531</t>
  </si>
  <si>
    <t>ORD-1603</t>
  </si>
  <si>
    <t>PROD-1425</t>
  </si>
  <si>
    <t>ORD-1784</t>
  </si>
  <si>
    <t>PROD-2922</t>
  </si>
  <si>
    <t>ORD-1741</t>
  </si>
  <si>
    <t>PROD-5675</t>
  </si>
  <si>
    <t>ORD-1187</t>
  </si>
  <si>
    <t>PROD-9412</t>
  </si>
  <si>
    <t>ORD-1751</t>
  </si>
  <si>
    <t>PROD-6045</t>
  </si>
  <si>
    <t>ORD-1137</t>
  </si>
  <si>
    <t>PROD-8412</t>
  </si>
  <si>
    <t>ORD-1716</t>
  </si>
  <si>
    <t>PROD-8778</t>
  </si>
  <si>
    <t>ORD-1488</t>
  </si>
  <si>
    <t>PROD-5487</t>
  </si>
  <si>
    <t>ORD-1775</t>
  </si>
  <si>
    <t>PROD-4196</t>
  </si>
  <si>
    <t>ORD-1296</t>
  </si>
  <si>
    <t>PROD-6971</t>
  </si>
  <si>
    <t>ORD-1446</t>
  </si>
  <si>
    <t>PROD-6606</t>
  </si>
  <si>
    <t>ORD-1854</t>
  </si>
  <si>
    <t>PROD-3843</t>
  </si>
  <si>
    <t>ORD-1758</t>
  </si>
  <si>
    <t>PROD-7074</t>
  </si>
  <si>
    <t>ORD-1460</t>
  </si>
  <si>
    <t>PROD-5738</t>
  </si>
  <si>
    <t>ORD-1645</t>
  </si>
  <si>
    <t>PROD-8309</t>
  </si>
  <si>
    <t>ORD-1995</t>
  </si>
  <si>
    <t>PROD-7987</t>
  </si>
  <si>
    <t>ORD-1459</t>
  </si>
  <si>
    <t>PROD-9765</t>
  </si>
  <si>
    <t>ORD-1363</t>
  </si>
  <si>
    <t>PROD-6113</t>
  </si>
  <si>
    <t>ORD-1756</t>
  </si>
  <si>
    <t>PROD-2052</t>
  </si>
  <si>
    <t>ORD-1075</t>
  </si>
  <si>
    <t>PROD-6654</t>
  </si>
  <si>
    <t>ORD-1046</t>
  </si>
  <si>
    <t>PROD-7095</t>
  </si>
  <si>
    <t>ORD-1739</t>
  </si>
  <si>
    <t>PROD-1853</t>
  </si>
  <si>
    <t>ORD-1110</t>
  </si>
  <si>
    <t>PROD-9882</t>
  </si>
  <si>
    <t>ORD-1631</t>
  </si>
  <si>
    <t>PROD-2934</t>
  </si>
  <si>
    <t>ORD-1623</t>
  </si>
  <si>
    <t>PROD-2915</t>
  </si>
  <si>
    <t>ORD-1605</t>
  </si>
  <si>
    <t>PROD-8423</t>
  </si>
  <si>
    <t>ORD-1943</t>
  </si>
  <si>
    <t>PROD-6091</t>
  </si>
  <si>
    <t>ORD-1919</t>
  </si>
  <si>
    <t>PROD-4373</t>
  </si>
  <si>
    <t>ORD-1844</t>
  </si>
  <si>
    <t>PROD-9179</t>
  </si>
  <si>
    <t>ORD-1918</t>
  </si>
  <si>
    <t>ORD-1344</t>
  </si>
  <si>
    <t>PROD-4259</t>
  </si>
  <si>
    <t>ORD-1121</t>
  </si>
  <si>
    <t>PROD-7227</t>
  </si>
  <si>
    <t>ORD-1300</t>
  </si>
  <si>
    <t>PROD-5269</t>
  </si>
  <si>
    <t>ORD-1729</t>
  </si>
  <si>
    <t>PROD-4105</t>
  </si>
  <si>
    <t>ORD-1247</t>
  </si>
  <si>
    <t>PROD-3508</t>
  </si>
  <si>
    <t>ORD-1570</t>
  </si>
  <si>
    <t>PROD-1981</t>
  </si>
  <si>
    <t>ORD-1713</t>
  </si>
  <si>
    <t>ORD-1411</t>
  </si>
  <si>
    <t>PROD-9812</t>
  </si>
  <si>
    <t>ORD-1130</t>
  </si>
  <si>
    <t>PROD-4273</t>
  </si>
  <si>
    <t>ORD-1362</t>
  </si>
  <si>
    <t>PROD-8257</t>
  </si>
  <si>
    <t>ORD-1432</t>
  </si>
  <si>
    <t>PROD-9143</t>
  </si>
  <si>
    <t>ORD-1925</t>
  </si>
  <si>
    <t>PROD-8230</t>
  </si>
  <si>
    <t>ORD-1397</t>
  </si>
  <si>
    <t>PROD-5444</t>
  </si>
  <si>
    <t>ORD-1940</t>
  </si>
  <si>
    <t>PROD-9001</t>
  </si>
  <si>
    <t>ORD-1542</t>
  </si>
  <si>
    <t>PROD-1709</t>
  </si>
  <si>
    <t>ORD-1887</t>
  </si>
  <si>
    <t>PROD-7484</t>
  </si>
  <si>
    <t>ORD-1527</t>
  </si>
  <si>
    <t>PROD-2410</t>
  </si>
  <si>
    <t>ORD-1135</t>
  </si>
  <si>
    <t>PROD-7129</t>
  </si>
  <si>
    <t>ORD-1074</t>
  </si>
  <si>
    <t>PROD-9011</t>
  </si>
  <si>
    <t>ORD-1980</t>
  </si>
  <si>
    <t>ORD-1706</t>
  </si>
  <si>
    <t>PROD-5906</t>
  </si>
  <si>
    <t>ORD-1024</t>
  </si>
  <si>
    <t>PROD-4145</t>
  </si>
  <si>
    <t>ORD-1441</t>
  </si>
  <si>
    <t>PROD-3159</t>
  </si>
  <si>
    <t>ORD-1853</t>
  </si>
  <si>
    <t>PROD-7742</t>
  </si>
  <si>
    <t>ORD-1034</t>
  </si>
  <si>
    <t>PROD-2816</t>
  </si>
  <si>
    <t>ORD-1890</t>
  </si>
  <si>
    <t>PROD-8030</t>
  </si>
  <si>
    <t>ORD-1129</t>
  </si>
  <si>
    <t>PROD-5775</t>
  </si>
  <si>
    <t>ORD-1103</t>
  </si>
  <si>
    <t>PROD-7179</t>
  </si>
  <si>
    <t>ORD-1760</t>
  </si>
  <si>
    <t>PROD-5072</t>
  </si>
  <si>
    <t>ORD-1481</t>
  </si>
  <si>
    <t>PROD-8175</t>
  </si>
  <si>
    <t>ORD-1952</t>
  </si>
  <si>
    <t>PROD-1911</t>
  </si>
  <si>
    <t>ORD-1728</t>
  </si>
  <si>
    <t>PROD-2035</t>
  </si>
  <si>
    <t>ORD-1567</t>
  </si>
  <si>
    <t>PROD-9700</t>
  </si>
  <si>
    <t>ORD-1783</t>
  </si>
  <si>
    <t>PROD-9788</t>
  </si>
  <si>
    <t>ORD-1269</t>
  </si>
  <si>
    <t>PROD-6273</t>
  </si>
  <si>
    <t>ORD-1428</t>
  </si>
  <si>
    <t>PROD-4178</t>
  </si>
  <si>
    <t>ORD-1123</t>
  </si>
  <si>
    <t>PROD-2430</t>
  </si>
  <si>
    <t>ORD-1170</t>
  </si>
  <si>
    <t>CU-1137</t>
  </si>
  <si>
    <t>Emma Scott</t>
  </si>
  <si>
    <t>PROD-6353</t>
  </si>
  <si>
    <t>ORD-1015</t>
  </si>
  <si>
    <t>PROD-9095</t>
  </si>
  <si>
    <t>ORD-1464</t>
  </si>
  <si>
    <t>PROD-3525</t>
  </si>
  <si>
    <t>ORD-1897</t>
  </si>
  <si>
    <t>PROD-8971</t>
  </si>
  <si>
    <t>ORD-1184</t>
  </si>
  <si>
    <t>PROD-8417</t>
  </si>
  <si>
    <t>ORD-1921</t>
  </si>
  <si>
    <t>PROD-8438</t>
  </si>
  <si>
    <t>ORD-1202</t>
  </si>
  <si>
    <t>ORD-1791</t>
  </si>
  <si>
    <t>PROD-4156</t>
  </si>
  <si>
    <t>ORD-1902</t>
  </si>
  <si>
    <t>PROD-7552</t>
  </si>
  <si>
    <t>ORD-1647</t>
  </si>
  <si>
    <t>PROD-8499</t>
  </si>
  <si>
    <t>ORD-1506</t>
  </si>
  <si>
    <t>PROD-8607</t>
  </si>
  <si>
    <t>ORD-1589</t>
  </si>
  <si>
    <t>PROD-8027</t>
  </si>
  <si>
    <t>ORD-1151</t>
  </si>
  <si>
    <t>PROD-5605</t>
  </si>
  <si>
    <t>ORD-1517</t>
  </si>
  <si>
    <t>PROD-6785</t>
  </si>
  <si>
    <t>ORD-1431</t>
  </si>
  <si>
    <t>CU-1090</t>
  </si>
  <si>
    <t>Barbara White</t>
  </si>
  <si>
    <t>PROD-7382</t>
  </si>
  <si>
    <t>ORD-1418</t>
  </si>
  <si>
    <t>PROD-9084</t>
  </si>
  <si>
    <t>ORD-1083</t>
  </si>
  <si>
    <t>PROD-7643</t>
  </si>
  <si>
    <t>ORD-1120</t>
  </si>
  <si>
    <t>PROD-1485</t>
  </si>
  <si>
    <t>ORD-1321</t>
  </si>
  <si>
    <t>PROD-3262</t>
  </si>
  <si>
    <t>ORD-1349</t>
  </si>
  <si>
    <t>PROD-7504</t>
  </si>
  <si>
    <t>ORD-1293</t>
  </si>
  <si>
    <t>PROD-2877</t>
  </si>
  <si>
    <t>ORD-1814</t>
  </si>
  <si>
    <t>PROD-5052</t>
  </si>
  <si>
    <t>ORD-1266</t>
  </si>
  <si>
    <t>PROD-4209</t>
  </si>
  <si>
    <t>ORD-1620</t>
  </si>
  <si>
    <t>PROD-4975</t>
  </si>
  <si>
    <t>ORD-1141</t>
  </si>
  <si>
    <t>PROD-5298</t>
  </si>
  <si>
    <t>CU-1166</t>
  </si>
  <si>
    <t>Sarah Scott</t>
  </si>
  <si>
    <t>Field Name</t>
  </si>
  <si>
    <t>Data Type</t>
  </si>
  <si>
    <t>Description</t>
  </si>
  <si>
    <t>Example Value</t>
  </si>
  <si>
    <t>Text</t>
  </si>
  <si>
    <t>Unique identifier for each order line</t>
  </si>
  <si>
    <t>Date</t>
  </si>
  <si>
    <t>Date the order was placed (MM/DD/YYYY)</t>
  </si>
  <si>
    <t>03/15/2022</t>
  </si>
  <si>
    <t>Date the order was shipped (always &gt;= Order Date)</t>
  </si>
  <si>
    <t>03/20/2022</t>
  </si>
  <si>
    <t>Shipping method selected by the customer</t>
  </si>
  <si>
    <t>Unique identifier for each customer</t>
  </si>
  <si>
    <t>Full name of the customer</t>
  </si>
  <si>
    <t>James Smith</t>
  </si>
  <si>
    <t>Customer segment: Consumer, Corporate, Home Office</t>
  </si>
  <si>
    <t>City where the order was shipped</t>
  </si>
  <si>
    <t>US state where the order was shipped</t>
  </si>
  <si>
    <t>Geographic region: East, West, Central, South</t>
  </si>
  <si>
    <t>High-level product group (3 categories)</t>
  </si>
  <si>
    <t>Detailed product type within a category</t>
  </si>
  <si>
    <t>Unique identifier for the product SKU</t>
  </si>
  <si>
    <t>PROD-4521</t>
  </si>
  <si>
    <t>Currency</t>
  </si>
  <si>
    <t>Total revenue from the order line (USD, after discount)</t>
  </si>
  <si>
    <t>$249.99</t>
  </si>
  <si>
    <t>Integer</t>
  </si>
  <si>
    <t>Number of units ordered (should be positive)</t>
  </si>
  <si>
    <t>3</t>
  </si>
  <si>
    <t>Decimal</t>
  </si>
  <si>
    <t>Discount applied as a proportion (0.0 = no discount)</t>
  </si>
  <si>
    <t>0.20</t>
  </si>
  <si>
    <t>Net profit after all costs (can be negative)</t>
  </si>
  <si>
    <t>$42.50</t>
  </si>
  <si>
    <t>Issue Type</t>
  </si>
  <si>
    <t>Approx. Count</t>
  </si>
  <si>
    <t>Hint for Students</t>
  </si>
  <si>
    <t>Duplicate Rows</t>
  </si>
  <si>
    <t>~5</t>
  </si>
  <si>
    <t>Same Order ID appears more than once — use Remove Duplicates</t>
  </si>
  <si>
    <t>Missing Customer Name</t>
  </si>
  <si>
    <t>Blank cells in Column F — decide: flag or infer</t>
  </si>
  <si>
    <t>Missing Region</t>
  </si>
  <si>
    <t>Blank cells in Column J — can be derived from State</t>
  </si>
  <si>
    <t>Incorrect Region Casing</t>
  </si>
  <si>
    <t>Region in ALL CAPS instead of Title Case — use PROPER()</t>
  </si>
  <si>
    <t>Negative Quantity (invalid)</t>
  </si>
  <si>
    <t>Quantity should always be &gt; 0 — flag with helper column</t>
  </si>
  <si>
    <t>Discount &gt; 1 (invalid)</t>
  </si>
  <si>
    <t>Discount must be between 0 and 1 — use COUNTIF to find</t>
  </si>
  <si>
    <t>Ship Date before Order Date</t>
  </si>
  <si>
    <t>Ship Date &lt; Order Date is impossible — use IF formula to flag</t>
  </si>
  <si>
    <t>Missing Profit</t>
  </si>
  <si>
    <t>Blank cells in Column Q — do not fill with 0; flag instead</t>
  </si>
  <si>
    <t>answers</t>
  </si>
  <si>
    <t>flag date</t>
  </si>
  <si>
    <t>Row Labels</t>
  </si>
  <si>
    <t>(blank)</t>
  </si>
  <si>
    <t>Grand Total</t>
  </si>
  <si>
    <t>Sum of Sales</t>
  </si>
  <si>
    <t>Sum of Profit</t>
  </si>
  <si>
    <t>Sum of Quantity</t>
  </si>
  <si>
    <t>Profit Margin</t>
  </si>
  <si>
    <t>(All)</t>
  </si>
  <si>
    <t>Count of Order ID</t>
  </si>
  <si>
    <t>2021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</si>
  <si>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</si>
  <si>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</si>
  <si>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</si>
  <si>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</si>
  <si>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</si>
  <si>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</si>
  <si>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</si>
  <si>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</si>
  <si>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</si>
  <si>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</si>
  <si>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</si>
  <si>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</si>
  <si>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</si>
  <si>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</si>
  <si>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</si>
  <si>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Linda</t>
  </si>
  <si>
    <t>Michael</t>
  </si>
  <si>
    <t>Jessica</t>
  </si>
  <si>
    <t>Olivia</t>
  </si>
  <si>
    <t>David</t>
  </si>
  <si>
    <t>Maria</t>
  </si>
  <si>
    <t>Ahmed</t>
  </si>
  <si>
    <t>Priya</t>
  </si>
  <si>
    <t>Jennifer</t>
  </si>
  <si>
    <t>Karen</t>
  </si>
  <si>
    <t>Lucas</t>
  </si>
  <si>
    <t>Carlos</t>
  </si>
  <si>
    <t>Joseph</t>
  </si>
  <si>
    <t>Barbara</t>
  </si>
  <si>
    <t>Wei</t>
  </si>
  <si>
    <t>Susan</t>
  </si>
  <si>
    <t>Emma</t>
  </si>
  <si>
    <t>Noah</t>
  </si>
  <si>
    <t>William</t>
  </si>
  <si>
    <t>Robert</t>
  </si>
  <si>
    <t>Richard</t>
  </si>
  <si>
    <t>Elena</t>
  </si>
  <si>
    <t>Sarah</t>
  </si>
  <si>
    <t>Omar</t>
  </si>
  <si>
    <t>Aisha</t>
  </si>
  <si>
    <t>Thomas</t>
  </si>
  <si>
    <t>Sofia</t>
  </si>
  <si>
    <t>Lisa</t>
  </si>
  <si>
    <t>Charles</t>
  </si>
  <si>
    <t>Ethan</t>
  </si>
  <si>
    <t>John</t>
  </si>
  <si>
    <t>Mary</t>
  </si>
  <si>
    <t>James</t>
  </si>
  <si>
    <t>Patricia</t>
  </si>
  <si>
    <t>Raj</t>
  </si>
  <si>
    <t>first name</t>
  </si>
  <si>
    <t>last name</t>
  </si>
  <si>
    <t>Johnson</t>
  </si>
  <si>
    <t>Garcia</t>
  </si>
  <si>
    <t>Harris</t>
  </si>
  <si>
    <t>Young</t>
  </si>
  <si>
    <t>Hernandez</t>
  </si>
  <si>
    <t>Miller</t>
  </si>
  <si>
    <t>Thompson</t>
  </si>
  <si>
    <t>Hall</t>
  </si>
  <si>
    <t>Jackson</t>
  </si>
  <si>
    <t>Anderson</t>
  </si>
  <si>
    <t>Jones</t>
  </si>
  <si>
    <t>Brown</t>
  </si>
  <si>
    <t>Clark</t>
  </si>
  <si>
    <t>Taylor</t>
  </si>
  <si>
    <t>Wilson</t>
  </si>
  <si>
    <t>Wright</t>
  </si>
  <si>
    <t>Moore</t>
  </si>
  <si>
    <t>Hill</t>
  </si>
  <si>
    <t>Smith</t>
  </si>
  <si>
    <t>Robinson</t>
  </si>
  <si>
    <t>Lopez</t>
  </si>
  <si>
    <t>King</t>
  </si>
  <si>
    <t>Martinez</t>
  </si>
  <si>
    <t>Martin</t>
  </si>
  <si>
    <t>Allen</t>
  </si>
  <si>
    <t>White</t>
  </si>
  <si>
    <t>Walker</t>
  </si>
  <si>
    <t>Davis</t>
  </si>
  <si>
    <t>Williams</t>
  </si>
  <si>
    <t>Lewis</t>
  </si>
  <si>
    <t>Lee</t>
  </si>
  <si>
    <t>Scott</t>
  </si>
  <si>
    <t>Average Purchase Value per Customer</t>
  </si>
  <si>
    <t>Total Orders per Customer</t>
  </si>
  <si>
    <t>Total Revenue per Customer</t>
  </si>
  <si>
    <t>Count of Segment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</si>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</sst>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[$-14009]dd/mm/yy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rial"/>
      <family val="2"/>
    </font>
    <font>
      <b/>
      <sz val="11"/>
      <color theme="0" tint="-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9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165" fontId="2" fillId="4" borderId="8" xfId="0" applyNumberFormat="1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9" fontId="2" fillId="4" borderId="8" xfId="0" applyNumberFormat="1" applyFont="1" applyFill="1" applyBorder="1" applyAlignment="1">
      <alignment horizontal="center" vertical="center"/>
    </xf>
    <xf numFmtId="165" fontId="2" fillId="4" borderId="9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4" fillId="7" borderId="7" xfId="0" applyFont="1" applyFill="1" applyBorder="1" applyAlignment="1">
      <alignment horizontal="center" vertical="center"/>
    </xf>
    <xf numFmtId="166" fontId="4" fillId="7" borderId="8" xfId="0" applyNumberFormat="1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left" vertical="center"/>
    </xf>
    <xf numFmtId="165" fontId="4" fillId="7" borderId="8" xfId="0" applyNumberFormat="1" applyFont="1" applyFill="1" applyBorder="1" applyAlignment="1">
      <alignment horizontal="center" vertical="center"/>
    </xf>
    <xf numFmtId="1" fontId="4" fillId="7" borderId="8" xfId="0" applyNumberFormat="1" applyFont="1" applyFill="1" applyBorder="1" applyAlignment="1">
      <alignment horizontal="center" vertical="center"/>
    </xf>
    <xf numFmtId="9" fontId="4" fillId="7" borderId="8" xfId="0" applyNumberFormat="1" applyFont="1" applyFill="1" applyBorder="1" applyAlignment="1">
      <alignment horizontal="center" vertical="center"/>
    </xf>
    <xf numFmtId="165" fontId="4" fillId="7" borderId="9" xfId="0" applyNumberFormat="1" applyFont="1" applyFill="1" applyBorder="1" applyAlignment="1">
      <alignment horizontal="center" vertical="center"/>
    </xf>
    <xf numFmtId="0" fontId="0" fillId="7" borderId="0" xfId="0" applyFill="1"/>
    <xf numFmtId="1" fontId="0" fillId="0" borderId="0" xfId="0" applyNumberFormat="1"/>
    <xf numFmtId="0" fontId="4" fillId="6" borderId="0" xfId="0" applyFont="1" applyFill="1" applyAlignment="1">
      <alignment horizontal="center" vertical="center"/>
    </xf>
    <xf numFmtId="0" fontId="0" fillId="7" borderId="10" xfId="0" applyFill="1" applyBorder="1"/>
    <xf numFmtId="0" fontId="5" fillId="7" borderId="5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0" applyFont="1"/>
    <xf numFmtId="0" fontId="3" fillId="8" borderId="0" xfId="0" applyFont="1" applyFill="1"/>
    <xf numFmtId="165" fontId="0" fillId="9" borderId="0" xfId="0" applyNumberFormat="1" applyFill="1"/>
    <xf numFmtId="0" fontId="3" fillId="10" borderId="11" xfId="0" applyFont="1" applyFill="1" applyBorder="1"/>
    <xf numFmtId="0" fontId="0" fillId="0" borderId="0" xfId="0" applyAlignment="1">
      <alignment horizontal="left" indent="1"/>
    </xf>
    <xf numFmtId="0" fontId="3" fillId="0" borderId="11" xfId="0" applyFont="1" applyBorder="1" applyAlignment="1">
      <alignment horizontal="left"/>
    </xf>
    <xf numFmtId="165" fontId="3" fillId="0" borderId="11" xfId="0" applyNumberFormat="1" applyFont="1" applyBorder="1"/>
    <xf numFmtId="0" fontId="3" fillId="0" borderId="11" xfId="0" applyFont="1" applyBorder="1"/>
    <xf numFmtId="0" fontId="3" fillId="10" borderId="12" xfId="0" applyFont="1" applyFill="1" applyBorder="1" applyAlignment="1">
      <alignment horizontal="left"/>
    </xf>
    <xf numFmtId="165" fontId="3" fillId="10" borderId="12" xfId="0" applyNumberFormat="1" applyFont="1" applyFill="1" applyBorder="1"/>
    <xf numFmtId="0" fontId="3" fillId="10" borderId="12" xfId="0" applyFont="1" applyFill="1" applyBorder="1"/>
    <xf numFmtId="0" fontId="4" fillId="3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6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14009]dd/mm/yy;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-14009]dd/mm/yy;@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14009]dd/mm/yy;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-14009]dd/mm/yy;@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fill>
        <patternFill>
          <fgColor indexed="64"/>
          <bgColor rgb="FFFFFF00"/>
        </patternFill>
      </fill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 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1'!$B$13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1'!$B$14:$B$19</c:f>
              <c:numCache>
                <c:formatCode>\$#,##0.00</c:formatCode>
                <c:ptCount val="6"/>
                <c:pt idx="0">
                  <c:v>540895.70000000019</c:v>
                </c:pt>
                <c:pt idx="1">
                  <c:v>526654.71000000008</c:v>
                </c:pt>
                <c:pt idx="2">
                  <c:v>578328.12999999989</c:v>
                </c:pt>
                <c:pt idx="3">
                  <c:v>448074.94999999984</c:v>
                </c:pt>
                <c:pt idx="4">
                  <c:v>2611.0399999999995</c:v>
                </c:pt>
                <c:pt idx="5">
                  <c:v>2096564.5299999998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8-45EE-AFAF-0DC8FC23D35A}"/>
            </c:ext>
          </c:extLst>
        </c:ser>
        <c:ser>
          <c:idx val="1"/>
          <c:order val="1"/>
          <c:tx>
            <c:strRef>
              <c:f>'pivot 1'!$C$13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1'!$C$14:$C$19</c:f>
              <c:numCache>
                <c:formatCode>General</c:formatCode>
                <c:ptCount val="6"/>
                <c:pt idx="0">
                  <c:v>67233.959999999992</c:v>
                </c:pt>
                <c:pt idx="1">
                  <c:v>29987.730000000007</c:v>
                </c:pt>
                <c:pt idx="2">
                  <c:v>60621.19000000001</c:v>
                </c:pt>
                <c:pt idx="3">
                  <c:v>19719.370000000017</c:v>
                </c:pt>
                <c:pt idx="4">
                  <c:v>887.93999999999994</c:v>
                </c:pt>
                <c:pt idx="5">
                  <c:v>178450.19000000003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8-45EE-AFAF-0DC8FC23D35A}"/>
            </c:ext>
          </c:extLst>
        </c:ser>
        <c:ser>
          <c:idx val="2"/>
          <c:order val="2"/>
          <c:tx>
            <c:strRef>
              <c:f>'pivot 1'!$D$13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1'!$D$14:$D$19</c:f>
              <c:numCache>
                <c:formatCode>0</c:formatCode>
                <c:ptCount val="6"/>
                <c:pt idx="0">
                  <c:v>1468</c:v>
                </c:pt>
                <c:pt idx="1">
                  <c:v>1298</c:v>
                </c:pt>
                <c:pt idx="2">
                  <c:v>1510</c:v>
                </c:pt>
                <c:pt idx="3">
                  <c:v>1126</c:v>
                </c:pt>
                <c:pt idx="4">
                  <c:v>30</c:v>
                </c:pt>
                <c:pt idx="5">
                  <c:v>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8-45EE-AFAF-0DC8FC23D35A}"/>
            </c:ext>
          </c:extLst>
        </c:ser>
        <c:ser>
          <c:idx val="3"/>
          <c:order val="3"/>
          <c:tx>
            <c:strRef>
              <c:f>'pivot 1'!$E$13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1'!$E$14:$E$19</c:f>
              <c:numCache>
                <c:formatCode>General</c:formatCode>
                <c:ptCount val="6"/>
                <c:pt idx="0">
                  <c:v>0.12430115454791001</c:v>
                </c:pt>
                <c:pt idx="1">
                  <c:v>0.12430115454791001</c:v>
                </c:pt>
                <c:pt idx="2">
                  <c:v>0.12430115454791001</c:v>
                </c:pt>
                <c:pt idx="3">
                  <c:v>0.12430115454791001</c:v>
                </c:pt>
                <c:pt idx="4">
                  <c:v>0.12430115454791001</c:v>
                </c:pt>
                <c:pt idx="5">
                  <c:v>0.62150577273954999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38-45EE-AFAF-0DC8FC23D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186447"/>
        <c:axId val="587186927"/>
      </c:barChart>
      <c:catAx>
        <c:axId val="58718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86927"/>
        <c:crosses val="autoZero"/>
        <c:auto val="1"/>
        <c:lblAlgn val="ctr"/>
        <c:lblOffset val="100"/>
        <c:noMultiLvlLbl val="0"/>
      </c:catAx>
      <c:valAx>
        <c:axId val="5871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1'!$C$13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1'!$C$14:$C$19</c:f>
              <c:numCache>
                <c:formatCode>General</c:formatCode>
                <c:ptCount val="6"/>
                <c:pt idx="0">
                  <c:v>67233.959999999992</c:v>
                </c:pt>
                <c:pt idx="1">
                  <c:v>29987.730000000007</c:v>
                </c:pt>
                <c:pt idx="2">
                  <c:v>60621.19000000001</c:v>
                </c:pt>
                <c:pt idx="3">
                  <c:v>19719.370000000017</c:v>
                </c:pt>
                <c:pt idx="4">
                  <c:v>887.93999999999994</c:v>
                </c:pt>
                <c:pt idx="5">
                  <c:v>178450.19000000003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0-4CB1-8312-0523DDEA19B7}"/>
            </c:ext>
          </c:extLst>
        </c:ser>
        <c:ser>
          <c:idx val="1"/>
          <c:order val="1"/>
          <c:tx>
            <c:strRef>
              <c:f>'pivot 1'!$E$13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1'!$A$14:$A$19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'pivot 1'!$E$14:$E$19</c:f>
              <c:numCache>
                <c:formatCode>General</c:formatCode>
                <c:ptCount val="6"/>
                <c:pt idx="0">
                  <c:v>0.12430115454791001</c:v>
                </c:pt>
                <c:pt idx="1">
                  <c:v>0.12430115454791001</c:v>
                </c:pt>
                <c:pt idx="2">
                  <c:v>0.12430115454791001</c:v>
                </c:pt>
                <c:pt idx="3">
                  <c:v>0.12430115454791001</c:v>
                </c:pt>
                <c:pt idx="4">
                  <c:v>0.12430115454791001</c:v>
                </c:pt>
                <c:pt idx="5">
                  <c:v>0.62150577273954999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0-4CB1-8312-0523DDEA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588447"/>
        <c:axId val="649593247"/>
      </c:barChart>
      <c:catAx>
        <c:axId val="64958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93247"/>
        <c:crosses val="autoZero"/>
        <c:auto val="1"/>
        <c:lblAlgn val="ctr"/>
        <c:lblOffset val="100"/>
        <c:noMultiLvlLbl val="0"/>
      </c:catAx>
      <c:valAx>
        <c:axId val="6495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2!PivotTable10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2'!$B$27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2'!$B$28:$B$48</c:f>
              <c:numCache>
                <c:formatCode>\$#,##0.00</c:formatCode>
                <c:ptCount val="17"/>
                <c:pt idx="0">
                  <c:v>166018.63999999998</c:v>
                </c:pt>
                <c:pt idx="1">
                  <c:v>107112.60999999999</c:v>
                </c:pt>
                <c:pt idx="2">
                  <c:v>36670.910000000003</c:v>
                </c:pt>
                <c:pt idx="3">
                  <c:v>176713.40999999995</c:v>
                </c:pt>
                <c:pt idx="4">
                  <c:v>28695.88</c:v>
                </c:pt>
                <c:pt idx="5">
                  <c:v>4077.6499999999996</c:v>
                </c:pt>
                <c:pt idx="6">
                  <c:v>9877.27</c:v>
                </c:pt>
                <c:pt idx="7">
                  <c:v>2072.35</c:v>
                </c:pt>
                <c:pt idx="8">
                  <c:v>1182.7200000000003</c:v>
                </c:pt>
                <c:pt idx="9">
                  <c:v>4696.4700000000012</c:v>
                </c:pt>
                <c:pt idx="10">
                  <c:v>5928.04</c:v>
                </c:pt>
                <c:pt idx="11">
                  <c:v>31965.82</c:v>
                </c:pt>
                <c:pt idx="12">
                  <c:v>10244.41</c:v>
                </c:pt>
                <c:pt idx="13">
                  <c:v>44766.960000000021</c:v>
                </c:pt>
                <c:pt idx="14">
                  <c:v>950384.67000000016</c:v>
                </c:pt>
                <c:pt idx="15">
                  <c:v>345270.41000000003</c:v>
                </c:pt>
                <c:pt idx="16">
                  <c:v>170886.31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0-4A76-9A47-B8367D304439}"/>
            </c:ext>
          </c:extLst>
        </c:ser>
        <c:ser>
          <c:idx val="1"/>
          <c:order val="1"/>
          <c:tx>
            <c:strRef>
              <c:f>'pivot 2'!$C$27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2'!$C$28:$C$48</c:f>
              <c:numCache>
                <c:formatCode>General</c:formatCode>
                <c:ptCount val="17"/>
                <c:pt idx="0">
                  <c:v>38111.550000000003</c:v>
                </c:pt>
                <c:pt idx="1">
                  <c:v>13231.900000000001</c:v>
                </c:pt>
                <c:pt idx="2">
                  <c:v>6951.8500000000013</c:v>
                </c:pt>
                <c:pt idx="3">
                  <c:v>-28802.079999999998</c:v>
                </c:pt>
                <c:pt idx="4">
                  <c:v>7832.3199999999979</c:v>
                </c:pt>
                <c:pt idx="5">
                  <c:v>1491.87</c:v>
                </c:pt>
                <c:pt idx="6">
                  <c:v>2180.9499999999998</c:v>
                </c:pt>
                <c:pt idx="7">
                  <c:v>850.95999999999992</c:v>
                </c:pt>
                <c:pt idx="8">
                  <c:v>487.08</c:v>
                </c:pt>
                <c:pt idx="9">
                  <c:v>1601.98</c:v>
                </c:pt>
                <c:pt idx="10">
                  <c:v>2396.3299999999995</c:v>
                </c:pt>
                <c:pt idx="11">
                  <c:v>7915.1</c:v>
                </c:pt>
                <c:pt idx="12">
                  <c:v>1643.32</c:v>
                </c:pt>
                <c:pt idx="13">
                  <c:v>11237.150000000001</c:v>
                </c:pt>
                <c:pt idx="14">
                  <c:v>66391.349999999991</c:v>
                </c:pt>
                <c:pt idx="15">
                  <c:v>506.900000000001</c:v>
                </c:pt>
                <c:pt idx="16">
                  <c:v>44421.66000000004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0-4A76-9A47-B8367D304439}"/>
            </c:ext>
          </c:extLst>
        </c:ser>
        <c:ser>
          <c:idx val="2"/>
          <c:order val="2"/>
          <c:tx>
            <c:strRef>
              <c:f>'pivot 2'!$D$27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2'!$D$28:$D$48</c:f>
              <c:numCache>
                <c:formatCode>General</c:formatCode>
                <c:ptCount val="17"/>
                <c:pt idx="0">
                  <c:v>79</c:v>
                </c:pt>
                <c:pt idx="1">
                  <c:v>80</c:v>
                </c:pt>
                <c:pt idx="2">
                  <c:v>84</c:v>
                </c:pt>
                <c:pt idx="3">
                  <c:v>84</c:v>
                </c:pt>
                <c:pt idx="4">
                  <c:v>39</c:v>
                </c:pt>
                <c:pt idx="5">
                  <c:v>32</c:v>
                </c:pt>
                <c:pt idx="6">
                  <c:v>29</c:v>
                </c:pt>
                <c:pt idx="7">
                  <c:v>32</c:v>
                </c:pt>
                <c:pt idx="8">
                  <c:v>23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40</c:v>
                </c:pt>
                <c:pt idx="13">
                  <c:v>85</c:v>
                </c:pt>
                <c:pt idx="14">
                  <c:v>104</c:v>
                </c:pt>
                <c:pt idx="15">
                  <c:v>82</c:v>
                </c:pt>
                <c:pt idx="1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10-4A76-9A47-B8367D30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560671"/>
        <c:axId val="653847119"/>
      </c:lineChart>
      <c:catAx>
        <c:axId val="65356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47119"/>
        <c:crosses val="autoZero"/>
        <c:auto val="1"/>
        <c:lblAlgn val="ctr"/>
        <c:lblOffset val="100"/>
        <c:noMultiLvlLbl val="0"/>
      </c:catAx>
      <c:valAx>
        <c:axId val="6538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6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2!PivotTable10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2'!$B$27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2'!$B$28:$B$48</c:f>
              <c:numCache>
                <c:formatCode>\$#,##0.00</c:formatCode>
                <c:ptCount val="17"/>
                <c:pt idx="0">
                  <c:v>166018.63999999998</c:v>
                </c:pt>
                <c:pt idx="1">
                  <c:v>107112.60999999999</c:v>
                </c:pt>
                <c:pt idx="2">
                  <c:v>36670.910000000003</c:v>
                </c:pt>
                <c:pt idx="3">
                  <c:v>176713.40999999995</c:v>
                </c:pt>
                <c:pt idx="4">
                  <c:v>28695.88</c:v>
                </c:pt>
                <c:pt idx="5">
                  <c:v>4077.6499999999996</c:v>
                </c:pt>
                <c:pt idx="6">
                  <c:v>9877.27</c:v>
                </c:pt>
                <c:pt idx="7">
                  <c:v>2072.35</c:v>
                </c:pt>
                <c:pt idx="8">
                  <c:v>1182.7200000000003</c:v>
                </c:pt>
                <c:pt idx="9">
                  <c:v>4696.4700000000012</c:v>
                </c:pt>
                <c:pt idx="10">
                  <c:v>5928.04</c:v>
                </c:pt>
                <c:pt idx="11">
                  <c:v>31965.82</c:v>
                </c:pt>
                <c:pt idx="12">
                  <c:v>10244.41</c:v>
                </c:pt>
                <c:pt idx="13">
                  <c:v>44766.960000000021</c:v>
                </c:pt>
                <c:pt idx="14">
                  <c:v>950384.67000000016</c:v>
                </c:pt>
                <c:pt idx="15">
                  <c:v>345270.41000000003</c:v>
                </c:pt>
                <c:pt idx="16">
                  <c:v>170886.31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4-4B9C-A7E1-B96F9BD9E66D}"/>
            </c:ext>
          </c:extLst>
        </c:ser>
        <c:ser>
          <c:idx val="1"/>
          <c:order val="1"/>
          <c:tx>
            <c:strRef>
              <c:f>'pivot 2'!$C$27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2'!$C$28:$C$48</c:f>
              <c:numCache>
                <c:formatCode>General</c:formatCode>
                <c:ptCount val="17"/>
                <c:pt idx="0">
                  <c:v>38111.550000000003</c:v>
                </c:pt>
                <c:pt idx="1">
                  <c:v>13231.900000000001</c:v>
                </c:pt>
                <c:pt idx="2">
                  <c:v>6951.8500000000013</c:v>
                </c:pt>
                <c:pt idx="3">
                  <c:v>-28802.079999999998</c:v>
                </c:pt>
                <c:pt idx="4">
                  <c:v>7832.3199999999979</c:v>
                </c:pt>
                <c:pt idx="5">
                  <c:v>1491.87</c:v>
                </c:pt>
                <c:pt idx="6">
                  <c:v>2180.9499999999998</c:v>
                </c:pt>
                <c:pt idx="7">
                  <c:v>850.95999999999992</c:v>
                </c:pt>
                <c:pt idx="8">
                  <c:v>487.08</c:v>
                </c:pt>
                <c:pt idx="9">
                  <c:v>1601.98</c:v>
                </c:pt>
                <c:pt idx="10">
                  <c:v>2396.3299999999995</c:v>
                </c:pt>
                <c:pt idx="11">
                  <c:v>7915.1</c:v>
                </c:pt>
                <c:pt idx="12">
                  <c:v>1643.32</c:v>
                </c:pt>
                <c:pt idx="13">
                  <c:v>11237.150000000001</c:v>
                </c:pt>
                <c:pt idx="14">
                  <c:v>66391.349999999991</c:v>
                </c:pt>
                <c:pt idx="15">
                  <c:v>506.900000000001</c:v>
                </c:pt>
                <c:pt idx="16">
                  <c:v>44421.66000000004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A4-4B9C-A7E1-B96F9BD9E66D}"/>
            </c:ext>
          </c:extLst>
        </c:ser>
        <c:ser>
          <c:idx val="2"/>
          <c:order val="2"/>
          <c:tx>
            <c:strRef>
              <c:f>'pivot 2'!$D$27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2'!$D$28:$D$48</c:f>
              <c:numCache>
                <c:formatCode>General</c:formatCode>
                <c:ptCount val="17"/>
                <c:pt idx="0">
                  <c:v>79</c:v>
                </c:pt>
                <c:pt idx="1">
                  <c:v>80</c:v>
                </c:pt>
                <c:pt idx="2">
                  <c:v>84</c:v>
                </c:pt>
                <c:pt idx="3">
                  <c:v>84</c:v>
                </c:pt>
                <c:pt idx="4">
                  <c:v>39</c:v>
                </c:pt>
                <c:pt idx="5">
                  <c:v>32</c:v>
                </c:pt>
                <c:pt idx="6">
                  <c:v>29</c:v>
                </c:pt>
                <c:pt idx="7">
                  <c:v>32</c:v>
                </c:pt>
                <c:pt idx="8">
                  <c:v>23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40</c:v>
                </c:pt>
                <c:pt idx="13">
                  <c:v>85</c:v>
                </c:pt>
                <c:pt idx="14">
                  <c:v>104</c:v>
                </c:pt>
                <c:pt idx="15">
                  <c:v>82</c:v>
                </c:pt>
                <c:pt idx="1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A4-4B9C-A7E1-B96F9BD9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76591"/>
        <c:axId val="655078511"/>
      </c:lineChart>
      <c:catAx>
        <c:axId val="65507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8511"/>
        <c:crosses val="autoZero"/>
        <c:auto val="1"/>
        <c:lblAlgn val="ctr"/>
        <c:lblOffset val="100"/>
        <c:noMultiLvlLbl val="0"/>
      </c:catAx>
      <c:valAx>
        <c:axId val="6550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2!PivotTable10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'pivot 2'!$B$27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2'!$B$28:$B$48</c:f>
              <c:numCache>
                <c:formatCode>\$#,##0.00</c:formatCode>
                <c:ptCount val="17"/>
                <c:pt idx="0">
                  <c:v>166018.63999999998</c:v>
                </c:pt>
                <c:pt idx="1">
                  <c:v>107112.60999999999</c:v>
                </c:pt>
                <c:pt idx="2">
                  <c:v>36670.910000000003</c:v>
                </c:pt>
                <c:pt idx="3">
                  <c:v>176713.40999999995</c:v>
                </c:pt>
                <c:pt idx="4">
                  <c:v>28695.88</c:v>
                </c:pt>
                <c:pt idx="5">
                  <c:v>4077.6499999999996</c:v>
                </c:pt>
                <c:pt idx="6">
                  <c:v>9877.27</c:v>
                </c:pt>
                <c:pt idx="7">
                  <c:v>2072.35</c:v>
                </c:pt>
                <c:pt idx="8">
                  <c:v>1182.7200000000003</c:v>
                </c:pt>
                <c:pt idx="9">
                  <c:v>4696.4700000000012</c:v>
                </c:pt>
                <c:pt idx="10">
                  <c:v>5928.04</c:v>
                </c:pt>
                <c:pt idx="11">
                  <c:v>31965.82</c:v>
                </c:pt>
                <c:pt idx="12">
                  <c:v>10244.41</c:v>
                </c:pt>
                <c:pt idx="13">
                  <c:v>44766.960000000021</c:v>
                </c:pt>
                <c:pt idx="14">
                  <c:v>950384.67000000016</c:v>
                </c:pt>
                <c:pt idx="15">
                  <c:v>345270.41000000003</c:v>
                </c:pt>
                <c:pt idx="16">
                  <c:v>170886.31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9C-B821-791C8E5E31C8}"/>
            </c:ext>
          </c:extLst>
        </c:ser>
        <c:ser>
          <c:idx val="1"/>
          <c:order val="1"/>
          <c:tx>
            <c:strRef>
              <c:f>'pivot 2'!$C$27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2'!$C$28:$C$48</c:f>
              <c:numCache>
                <c:formatCode>General</c:formatCode>
                <c:ptCount val="17"/>
                <c:pt idx="0">
                  <c:v>38111.550000000003</c:v>
                </c:pt>
                <c:pt idx="1">
                  <c:v>13231.900000000001</c:v>
                </c:pt>
                <c:pt idx="2">
                  <c:v>6951.8500000000013</c:v>
                </c:pt>
                <c:pt idx="3">
                  <c:v>-28802.079999999998</c:v>
                </c:pt>
                <c:pt idx="4">
                  <c:v>7832.3199999999979</c:v>
                </c:pt>
                <c:pt idx="5">
                  <c:v>1491.87</c:v>
                </c:pt>
                <c:pt idx="6">
                  <c:v>2180.9499999999998</c:v>
                </c:pt>
                <c:pt idx="7">
                  <c:v>850.95999999999992</c:v>
                </c:pt>
                <c:pt idx="8">
                  <c:v>487.08</c:v>
                </c:pt>
                <c:pt idx="9">
                  <c:v>1601.98</c:v>
                </c:pt>
                <c:pt idx="10">
                  <c:v>2396.3299999999995</c:v>
                </c:pt>
                <c:pt idx="11">
                  <c:v>7915.1</c:v>
                </c:pt>
                <c:pt idx="12">
                  <c:v>1643.32</c:v>
                </c:pt>
                <c:pt idx="13">
                  <c:v>11237.150000000001</c:v>
                </c:pt>
                <c:pt idx="14">
                  <c:v>66391.349999999991</c:v>
                </c:pt>
                <c:pt idx="15">
                  <c:v>506.900000000001</c:v>
                </c:pt>
                <c:pt idx="16">
                  <c:v>44421.66000000004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9C-B821-791C8E5E31C8}"/>
            </c:ext>
          </c:extLst>
        </c:ser>
        <c:ser>
          <c:idx val="2"/>
          <c:order val="2"/>
          <c:tx>
            <c:strRef>
              <c:f>'pivot 2'!$D$27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'pivot 2'!$A$28:$A$48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2'!$D$28:$D$48</c:f>
              <c:numCache>
                <c:formatCode>General</c:formatCode>
                <c:ptCount val="17"/>
                <c:pt idx="0">
                  <c:v>79</c:v>
                </c:pt>
                <c:pt idx="1">
                  <c:v>80</c:v>
                </c:pt>
                <c:pt idx="2">
                  <c:v>84</c:v>
                </c:pt>
                <c:pt idx="3">
                  <c:v>84</c:v>
                </c:pt>
                <c:pt idx="4">
                  <c:v>39</c:v>
                </c:pt>
                <c:pt idx="5">
                  <c:v>32</c:v>
                </c:pt>
                <c:pt idx="6">
                  <c:v>29</c:v>
                </c:pt>
                <c:pt idx="7">
                  <c:v>32</c:v>
                </c:pt>
                <c:pt idx="8">
                  <c:v>23</c:v>
                </c:pt>
                <c:pt idx="9">
                  <c:v>40</c:v>
                </c:pt>
                <c:pt idx="10">
                  <c:v>34</c:v>
                </c:pt>
                <c:pt idx="11">
                  <c:v>38</c:v>
                </c:pt>
                <c:pt idx="12">
                  <c:v>40</c:v>
                </c:pt>
                <c:pt idx="13">
                  <c:v>85</c:v>
                </c:pt>
                <c:pt idx="14">
                  <c:v>104</c:v>
                </c:pt>
                <c:pt idx="15">
                  <c:v>82</c:v>
                </c:pt>
                <c:pt idx="1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C-4D9C-B821-791C8E5E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284447"/>
        <c:axId val="649283487"/>
      </c:lineChart>
      <c:catAx>
        <c:axId val="6492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83487"/>
        <c:crosses val="autoZero"/>
        <c:auto val="1"/>
        <c:lblAlgn val="ctr"/>
        <c:lblOffset val="100"/>
        <c:noMultiLvlLbl val="0"/>
      </c:catAx>
      <c:valAx>
        <c:axId val="6492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8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4C-494B-BE10-2170205437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4C-494B-BE10-2170205437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4C-494B-BE10-2170205437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4C-494B-BE10-2170205437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4C-494B-BE10-2170205437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74C-494B-BE10-2170205437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74C-494B-BE10-2170205437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74C-494B-BE10-2170205437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74C-494B-BE10-2170205437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74C-494B-BE10-2170205437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74C-494B-BE10-2170205437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74C-494B-BE10-2170205437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74C-494B-BE10-2170205437F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74C-494B-BE10-2170205437F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74C-494B-BE10-2170205437F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3'!$B$4:$B$20</c:f>
              <c:numCache>
                <c:formatCode>\$#,##0.00</c:formatCode>
                <c:ptCount val="15"/>
                <c:pt idx="0">
                  <c:v>46729.689999999995</c:v>
                </c:pt>
                <c:pt idx="1">
                  <c:v>34939.9</c:v>
                </c:pt>
                <c:pt idx="2">
                  <c:v>38978.030000000006</c:v>
                </c:pt>
                <c:pt idx="3">
                  <c:v>20383.730000000003</c:v>
                </c:pt>
                <c:pt idx="4">
                  <c:v>36932.69</c:v>
                </c:pt>
                <c:pt idx="5">
                  <c:v>49366.96</c:v>
                </c:pt>
                <c:pt idx="6">
                  <c:v>33114.26</c:v>
                </c:pt>
                <c:pt idx="7">
                  <c:v>53619.82</c:v>
                </c:pt>
                <c:pt idx="8">
                  <c:v>22653.98</c:v>
                </c:pt>
                <c:pt idx="9">
                  <c:v>49688.139999999992</c:v>
                </c:pt>
                <c:pt idx="10">
                  <c:v>44590.560000000012</c:v>
                </c:pt>
                <c:pt idx="11">
                  <c:v>77799.060000000012</c:v>
                </c:pt>
                <c:pt idx="12">
                  <c:v>402582.08999999979</c:v>
                </c:pt>
                <c:pt idx="13">
                  <c:v>596505.6100000001</c:v>
                </c:pt>
                <c:pt idx="14">
                  <c:v>588680.01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A-4AF8-BF33-B3B3823AC15E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74C-494B-BE10-2170205437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74C-494B-BE10-2170205437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74C-494B-BE10-2170205437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74C-494B-BE10-2170205437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74C-494B-BE10-2170205437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74C-494B-BE10-2170205437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74C-494B-BE10-2170205437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374C-494B-BE10-2170205437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374C-494B-BE10-2170205437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374C-494B-BE10-2170205437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374C-494B-BE10-2170205437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374C-494B-BE10-2170205437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74C-494B-BE10-2170205437F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74C-494B-BE10-2170205437F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74C-494B-BE10-2170205437F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3'!$C$4:$C$20</c:f>
              <c:numCache>
                <c:formatCode>General</c:formatCode>
                <c:ptCount val="15"/>
                <c:pt idx="0">
                  <c:v>7149.63</c:v>
                </c:pt>
                <c:pt idx="1">
                  <c:v>3923.8100000000004</c:v>
                </c:pt>
                <c:pt idx="2">
                  <c:v>5084.76</c:v>
                </c:pt>
                <c:pt idx="3">
                  <c:v>3902.4600000000005</c:v>
                </c:pt>
                <c:pt idx="4">
                  <c:v>2897.09</c:v>
                </c:pt>
                <c:pt idx="5">
                  <c:v>5282.130000000001</c:v>
                </c:pt>
                <c:pt idx="6">
                  <c:v>3608.55</c:v>
                </c:pt>
                <c:pt idx="7">
                  <c:v>9376.9100000000017</c:v>
                </c:pt>
                <c:pt idx="8">
                  <c:v>6356.91</c:v>
                </c:pt>
                <c:pt idx="9">
                  <c:v>2334.96</c:v>
                </c:pt>
                <c:pt idx="10">
                  <c:v>5036.630000000001</c:v>
                </c:pt>
                <c:pt idx="11">
                  <c:v>10942.189999999997</c:v>
                </c:pt>
                <c:pt idx="12">
                  <c:v>39601.390000000014</c:v>
                </c:pt>
                <c:pt idx="13">
                  <c:v>47028.590000000004</c:v>
                </c:pt>
                <c:pt idx="14">
                  <c:v>25924.18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A-4AF8-BF33-B3B3823AC15E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74C-494B-BE10-2170205437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374C-494B-BE10-2170205437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374C-494B-BE10-2170205437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374C-494B-BE10-2170205437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374C-494B-BE10-2170205437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374C-494B-BE10-2170205437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374C-494B-BE10-2170205437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374C-494B-BE10-2170205437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374C-494B-BE10-2170205437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374C-494B-BE10-2170205437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374C-494B-BE10-2170205437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374C-494B-BE10-2170205437F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374C-494B-BE10-2170205437F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374C-494B-BE10-2170205437F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374C-494B-BE10-2170205437F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3'!$D$4:$D$20</c:f>
              <c:numCache>
                <c:formatCode>General</c:formatCode>
                <c:ptCount val="15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22</c:v>
                </c:pt>
                <c:pt idx="5">
                  <c:v>16</c:v>
                </c:pt>
                <c:pt idx="6">
                  <c:v>21</c:v>
                </c:pt>
                <c:pt idx="7">
                  <c:v>25</c:v>
                </c:pt>
                <c:pt idx="8">
                  <c:v>24</c:v>
                </c:pt>
                <c:pt idx="9">
                  <c:v>20</c:v>
                </c:pt>
                <c:pt idx="10">
                  <c:v>24</c:v>
                </c:pt>
                <c:pt idx="11">
                  <c:v>20</c:v>
                </c:pt>
                <c:pt idx="12">
                  <c:v>235</c:v>
                </c:pt>
                <c:pt idx="13">
                  <c:v>248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A-4AF8-BF33-B3B3823A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DC-4FB6-895A-5116EF6B57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DC-4FB6-895A-5116EF6B57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DC-4FB6-895A-5116EF6B57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DC-4FB6-895A-5116EF6B57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DC-4FB6-895A-5116EF6B57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DC-4FB6-895A-5116EF6B57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DC-4FB6-895A-5116EF6B57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DC-4FB6-895A-5116EF6B57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ADC-4FB6-895A-5116EF6B57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ADC-4FB6-895A-5116EF6B57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ADC-4FB6-895A-5116EF6B57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ADC-4FB6-895A-5116EF6B57F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ADC-4FB6-895A-5116EF6B57F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ADC-4FB6-895A-5116EF6B57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ADC-4FB6-895A-5116EF6B57F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ADC-4FB6-895A-5116EF6B57FF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3'!$B$4:$B$20</c:f>
              <c:numCache>
                <c:formatCode>\$#,##0.00</c:formatCode>
                <c:ptCount val="15"/>
                <c:pt idx="0">
                  <c:v>46729.689999999995</c:v>
                </c:pt>
                <c:pt idx="1">
                  <c:v>34939.9</c:v>
                </c:pt>
                <c:pt idx="2">
                  <c:v>38978.030000000006</c:v>
                </c:pt>
                <c:pt idx="3">
                  <c:v>20383.730000000003</c:v>
                </c:pt>
                <c:pt idx="4">
                  <c:v>36932.69</c:v>
                </c:pt>
                <c:pt idx="5">
                  <c:v>49366.96</c:v>
                </c:pt>
                <c:pt idx="6">
                  <c:v>33114.26</c:v>
                </c:pt>
                <c:pt idx="7">
                  <c:v>53619.82</c:v>
                </c:pt>
                <c:pt idx="8">
                  <c:v>22653.98</c:v>
                </c:pt>
                <c:pt idx="9">
                  <c:v>49688.139999999992</c:v>
                </c:pt>
                <c:pt idx="10">
                  <c:v>44590.560000000012</c:v>
                </c:pt>
                <c:pt idx="11">
                  <c:v>77799.060000000012</c:v>
                </c:pt>
                <c:pt idx="12">
                  <c:v>402582.08999999979</c:v>
                </c:pt>
                <c:pt idx="13">
                  <c:v>596505.6100000001</c:v>
                </c:pt>
                <c:pt idx="14">
                  <c:v>588680.01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0-4A8E-92CC-7DDB849FCF72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ADC-4FB6-895A-5116EF6B57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ADC-4FB6-895A-5116EF6B57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ADC-4FB6-895A-5116EF6B57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ADC-4FB6-895A-5116EF6B57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ADC-4FB6-895A-5116EF6B57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ADC-4FB6-895A-5116EF6B57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ADC-4FB6-895A-5116EF6B57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ADC-4FB6-895A-5116EF6B57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ADC-4FB6-895A-5116EF6B57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ADC-4FB6-895A-5116EF6B57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ADC-4FB6-895A-5116EF6B57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ADC-4FB6-895A-5116EF6B57F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ADC-4FB6-895A-5116EF6B57F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C-4FB6-895A-5116EF6B57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ADC-4FB6-895A-5116EF6B57F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ADC-4FB6-895A-5116EF6B57FF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3'!$C$4:$C$20</c:f>
              <c:numCache>
                <c:formatCode>General</c:formatCode>
                <c:ptCount val="15"/>
                <c:pt idx="0">
                  <c:v>7149.63</c:v>
                </c:pt>
                <c:pt idx="1">
                  <c:v>3923.8100000000004</c:v>
                </c:pt>
                <c:pt idx="2">
                  <c:v>5084.76</c:v>
                </c:pt>
                <c:pt idx="3">
                  <c:v>3902.4600000000005</c:v>
                </c:pt>
                <c:pt idx="4">
                  <c:v>2897.09</c:v>
                </c:pt>
                <c:pt idx="5">
                  <c:v>5282.130000000001</c:v>
                </c:pt>
                <c:pt idx="6">
                  <c:v>3608.55</c:v>
                </c:pt>
                <c:pt idx="7">
                  <c:v>9376.9100000000017</c:v>
                </c:pt>
                <c:pt idx="8">
                  <c:v>6356.91</c:v>
                </c:pt>
                <c:pt idx="9">
                  <c:v>2334.96</c:v>
                </c:pt>
                <c:pt idx="10">
                  <c:v>5036.630000000001</c:v>
                </c:pt>
                <c:pt idx="11">
                  <c:v>10942.189999999997</c:v>
                </c:pt>
                <c:pt idx="12">
                  <c:v>39601.390000000014</c:v>
                </c:pt>
                <c:pt idx="13">
                  <c:v>47028.590000000004</c:v>
                </c:pt>
                <c:pt idx="14">
                  <c:v>25924.18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0-4A8E-92CC-7DDB849FCF72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ADC-4FB6-895A-5116EF6B57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ADC-4FB6-895A-5116EF6B57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ADC-4FB6-895A-5116EF6B57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ADC-4FB6-895A-5116EF6B57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ADC-4FB6-895A-5116EF6B57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ADC-4FB6-895A-5116EF6B57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ADC-4FB6-895A-5116EF6B57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ADC-4FB6-895A-5116EF6B57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ADC-4FB6-895A-5116EF6B57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ADC-4FB6-895A-5116EF6B57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ADC-4FB6-895A-5116EF6B57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ADC-4FB6-895A-5116EF6B57F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ADC-4FB6-895A-5116EF6B57F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ADC-4FB6-895A-5116EF6B57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ADC-4FB6-895A-5116EF6B57F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ADC-4FB6-895A-5116EF6B57FF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3'!$D$4:$D$20</c:f>
              <c:numCache>
                <c:formatCode>General</c:formatCode>
                <c:ptCount val="15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22</c:v>
                </c:pt>
                <c:pt idx="5">
                  <c:v>16</c:v>
                </c:pt>
                <c:pt idx="6">
                  <c:v>21</c:v>
                </c:pt>
                <c:pt idx="7">
                  <c:v>25</c:v>
                </c:pt>
                <c:pt idx="8">
                  <c:v>24</c:v>
                </c:pt>
                <c:pt idx="9">
                  <c:v>20</c:v>
                </c:pt>
                <c:pt idx="10">
                  <c:v>24</c:v>
                </c:pt>
                <c:pt idx="11">
                  <c:v>20</c:v>
                </c:pt>
                <c:pt idx="12">
                  <c:v>235</c:v>
                </c:pt>
                <c:pt idx="13">
                  <c:v>248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0-4A8E-92CC-7DDB849F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0A-4B79-9DBE-478FE9B123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0A-4B79-9DBE-478FE9B123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0A-4B79-9DBE-478FE9B123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0A-4B79-9DBE-478FE9B123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0A-4B79-9DBE-478FE9B123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0A-4B79-9DBE-478FE9B123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0A-4B79-9DBE-478FE9B123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90A-4B79-9DBE-478FE9B123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90A-4B79-9DBE-478FE9B123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90A-4B79-9DBE-478FE9B123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90A-4B79-9DBE-478FE9B123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90A-4B79-9DBE-478FE9B123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90A-4B79-9DBE-478FE9B123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90A-4B79-9DBE-478FE9B123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90A-4B79-9DBE-478FE9B123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90A-4B79-9DBE-478FE9B1236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3'!$B$4:$B$20</c:f>
              <c:numCache>
                <c:formatCode>\$#,##0.00</c:formatCode>
                <c:ptCount val="15"/>
                <c:pt idx="0">
                  <c:v>46729.689999999995</c:v>
                </c:pt>
                <c:pt idx="1">
                  <c:v>34939.9</c:v>
                </c:pt>
                <c:pt idx="2">
                  <c:v>38978.030000000006</c:v>
                </c:pt>
                <c:pt idx="3">
                  <c:v>20383.730000000003</c:v>
                </c:pt>
                <c:pt idx="4">
                  <c:v>36932.69</c:v>
                </c:pt>
                <c:pt idx="5">
                  <c:v>49366.96</c:v>
                </c:pt>
                <c:pt idx="6">
                  <c:v>33114.26</c:v>
                </c:pt>
                <c:pt idx="7">
                  <c:v>53619.82</c:v>
                </c:pt>
                <c:pt idx="8">
                  <c:v>22653.98</c:v>
                </c:pt>
                <c:pt idx="9">
                  <c:v>49688.139999999992</c:v>
                </c:pt>
                <c:pt idx="10">
                  <c:v>44590.560000000012</c:v>
                </c:pt>
                <c:pt idx="11">
                  <c:v>77799.060000000012</c:v>
                </c:pt>
                <c:pt idx="12">
                  <c:v>402582.08999999979</c:v>
                </c:pt>
                <c:pt idx="13">
                  <c:v>596505.6100000001</c:v>
                </c:pt>
                <c:pt idx="14">
                  <c:v>588680.01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8-490F-9846-E9BFC13C5B53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90A-4B79-9DBE-478FE9B123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90A-4B79-9DBE-478FE9B123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90A-4B79-9DBE-478FE9B123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90A-4B79-9DBE-478FE9B123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90A-4B79-9DBE-478FE9B123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90A-4B79-9DBE-478FE9B123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90A-4B79-9DBE-478FE9B123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90A-4B79-9DBE-478FE9B123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90A-4B79-9DBE-478FE9B123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90A-4B79-9DBE-478FE9B123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90A-4B79-9DBE-478FE9B123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90A-4B79-9DBE-478FE9B123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90A-4B79-9DBE-478FE9B123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90A-4B79-9DBE-478FE9B123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90A-4B79-9DBE-478FE9B123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90A-4B79-9DBE-478FE9B1236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3'!$C$4:$C$20</c:f>
              <c:numCache>
                <c:formatCode>General</c:formatCode>
                <c:ptCount val="15"/>
                <c:pt idx="0">
                  <c:v>7149.63</c:v>
                </c:pt>
                <c:pt idx="1">
                  <c:v>3923.8100000000004</c:v>
                </c:pt>
                <c:pt idx="2">
                  <c:v>5084.76</c:v>
                </c:pt>
                <c:pt idx="3">
                  <c:v>3902.4600000000005</c:v>
                </c:pt>
                <c:pt idx="4">
                  <c:v>2897.09</c:v>
                </c:pt>
                <c:pt idx="5">
                  <c:v>5282.130000000001</c:v>
                </c:pt>
                <c:pt idx="6">
                  <c:v>3608.55</c:v>
                </c:pt>
                <c:pt idx="7">
                  <c:v>9376.9100000000017</c:v>
                </c:pt>
                <c:pt idx="8">
                  <c:v>6356.91</c:v>
                </c:pt>
                <c:pt idx="9">
                  <c:v>2334.96</c:v>
                </c:pt>
                <c:pt idx="10">
                  <c:v>5036.630000000001</c:v>
                </c:pt>
                <c:pt idx="11">
                  <c:v>10942.189999999997</c:v>
                </c:pt>
                <c:pt idx="12">
                  <c:v>39601.390000000014</c:v>
                </c:pt>
                <c:pt idx="13">
                  <c:v>47028.590000000004</c:v>
                </c:pt>
                <c:pt idx="14">
                  <c:v>25924.18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8-490F-9846-E9BFC13C5B53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90A-4B79-9DBE-478FE9B123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90A-4B79-9DBE-478FE9B123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90A-4B79-9DBE-478FE9B123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90A-4B79-9DBE-478FE9B123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90A-4B79-9DBE-478FE9B123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90A-4B79-9DBE-478FE9B123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90A-4B79-9DBE-478FE9B123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90A-4B79-9DBE-478FE9B123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90A-4B79-9DBE-478FE9B123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90A-4B79-9DBE-478FE9B123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90A-4B79-9DBE-478FE9B123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90A-4B79-9DBE-478FE9B123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90A-4B79-9DBE-478FE9B123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90A-4B79-9DBE-478FE9B123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90A-4B79-9DBE-478FE9B123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90A-4B79-9DBE-478FE9B12360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3'!$D$4:$D$20</c:f>
              <c:numCache>
                <c:formatCode>General</c:formatCode>
                <c:ptCount val="15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22</c:v>
                </c:pt>
                <c:pt idx="5">
                  <c:v>16</c:v>
                </c:pt>
                <c:pt idx="6">
                  <c:v>21</c:v>
                </c:pt>
                <c:pt idx="7">
                  <c:v>25</c:v>
                </c:pt>
                <c:pt idx="8">
                  <c:v>24</c:v>
                </c:pt>
                <c:pt idx="9">
                  <c:v>20</c:v>
                </c:pt>
                <c:pt idx="10">
                  <c:v>24</c:v>
                </c:pt>
                <c:pt idx="11">
                  <c:v>20</c:v>
                </c:pt>
                <c:pt idx="12">
                  <c:v>235</c:v>
                </c:pt>
                <c:pt idx="13">
                  <c:v>248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8-490F-9846-E9BFC13C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[newSuperStore_Dataset.xlsx]pivot 3!PivotTable3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8-4BAC-B64E-7331D69F5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8-4BAC-B64E-7331D69F5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78-4BAC-B64E-7331D69F5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78-4BAC-B64E-7331D69F5C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78-4BAC-B64E-7331D69F5C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78-4BAC-B64E-7331D69F5C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78-4BAC-B64E-7331D69F5C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F78-4BAC-B64E-7331D69F5C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78-4BAC-B64E-7331D69F5C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F78-4BAC-B64E-7331D69F5C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F78-4BAC-B64E-7331D69F5C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F78-4BAC-B64E-7331D69F5C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F78-4BAC-B64E-7331D69F5C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F78-4BAC-B64E-7331D69F5C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F78-4BAC-B64E-7331D69F5C4E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3'!$B$4:$B$20</c:f>
              <c:numCache>
                <c:formatCode>\$#,##0.00</c:formatCode>
                <c:ptCount val="15"/>
                <c:pt idx="0">
                  <c:v>46729.689999999995</c:v>
                </c:pt>
                <c:pt idx="1">
                  <c:v>34939.9</c:v>
                </c:pt>
                <c:pt idx="2">
                  <c:v>38978.030000000006</c:v>
                </c:pt>
                <c:pt idx="3">
                  <c:v>20383.730000000003</c:v>
                </c:pt>
                <c:pt idx="4">
                  <c:v>36932.69</c:v>
                </c:pt>
                <c:pt idx="5">
                  <c:v>49366.96</c:v>
                </c:pt>
                <c:pt idx="6">
                  <c:v>33114.26</c:v>
                </c:pt>
                <c:pt idx="7">
                  <c:v>53619.82</c:v>
                </c:pt>
                <c:pt idx="8">
                  <c:v>22653.98</c:v>
                </c:pt>
                <c:pt idx="9">
                  <c:v>49688.139999999992</c:v>
                </c:pt>
                <c:pt idx="10">
                  <c:v>44590.560000000012</c:v>
                </c:pt>
                <c:pt idx="11">
                  <c:v>77799.060000000012</c:v>
                </c:pt>
                <c:pt idx="12">
                  <c:v>402582.08999999979</c:v>
                </c:pt>
                <c:pt idx="13">
                  <c:v>596505.6100000001</c:v>
                </c:pt>
                <c:pt idx="14">
                  <c:v>588680.01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9-48BA-AD58-E9C2C2641CD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F78-4BAC-B64E-7331D69F5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F78-4BAC-B64E-7331D69F5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F78-4BAC-B64E-7331D69F5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F78-4BAC-B64E-7331D69F5C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F78-4BAC-B64E-7331D69F5C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F78-4BAC-B64E-7331D69F5C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F78-4BAC-B64E-7331D69F5C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F78-4BAC-B64E-7331D69F5C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F78-4BAC-B64E-7331D69F5C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F78-4BAC-B64E-7331D69F5C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F78-4BAC-B64E-7331D69F5C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F78-4BAC-B64E-7331D69F5C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F78-4BAC-B64E-7331D69F5C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F78-4BAC-B64E-7331D69F5C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F78-4BAC-B64E-7331D69F5C4E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3'!$C$4:$C$20</c:f>
              <c:numCache>
                <c:formatCode>General</c:formatCode>
                <c:ptCount val="15"/>
                <c:pt idx="0">
                  <c:v>7149.63</c:v>
                </c:pt>
                <c:pt idx="1">
                  <c:v>3923.8100000000004</c:v>
                </c:pt>
                <c:pt idx="2">
                  <c:v>5084.76</c:v>
                </c:pt>
                <c:pt idx="3">
                  <c:v>3902.4600000000005</c:v>
                </c:pt>
                <c:pt idx="4">
                  <c:v>2897.09</c:v>
                </c:pt>
                <c:pt idx="5">
                  <c:v>5282.130000000001</c:v>
                </c:pt>
                <c:pt idx="6">
                  <c:v>3608.55</c:v>
                </c:pt>
                <c:pt idx="7">
                  <c:v>9376.9100000000017</c:v>
                </c:pt>
                <c:pt idx="8">
                  <c:v>6356.91</c:v>
                </c:pt>
                <c:pt idx="9">
                  <c:v>2334.96</c:v>
                </c:pt>
                <c:pt idx="10">
                  <c:v>5036.630000000001</c:v>
                </c:pt>
                <c:pt idx="11">
                  <c:v>10942.189999999997</c:v>
                </c:pt>
                <c:pt idx="12">
                  <c:v>39601.390000000014</c:v>
                </c:pt>
                <c:pt idx="13">
                  <c:v>47028.590000000004</c:v>
                </c:pt>
                <c:pt idx="14">
                  <c:v>25924.18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9-48BA-AD58-E9C2C2641CD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F78-4BAC-B64E-7331D69F5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F78-4BAC-B64E-7331D69F5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F78-4BAC-B64E-7331D69F5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F78-4BAC-B64E-7331D69F5C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F78-4BAC-B64E-7331D69F5C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F78-4BAC-B64E-7331D69F5C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F78-4BAC-B64E-7331D69F5C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F78-4BAC-B64E-7331D69F5C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F78-4BAC-B64E-7331D69F5C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F78-4BAC-B64E-7331D69F5C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F78-4BAC-B64E-7331D69F5C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F78-4BAC-B64E-7331D69F5C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F78-4BAC-B64E-7331D69F5C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F78-4BAC-B64E-7331D69F5C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F78-4BAC-B64E-7331D69F5C4E}"/>
              </c:ext>
            </c:extLst>
          </c:dPt>
          <c:cat>
            <c:multiLvlStrRef>
              <c:f>'pivot 3'!$A$4:$A$20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</c:lvl>
              </c:multiLvlStrCache>
            </c:multiLvlStrRef>
          </c:cat>
          <c:val>
            <c:numRef>
              <c:f>'pivot 3'!$D$4:$D$20</c:f>
              <c:numCache>
                <c:formatCode>General</c:formatCode>
                <c:ptCount val="15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19</c:v>
                </c:pt>
                <c:pt idx="4">
                  <c:v>22</c:v>
                </c:pt>
                <c:pt idx="5">
                  <c:v>16</c:v>
                </c:pt>
                <c:pt idx="6">
                  <c:v>21</c:v>
                </c:pt>
                <c:pt idx="7">
                  <c:v>25</c:v>
                </c:pt>
                <c:pt idx="8">
                  <c:v>24</c:v>
                </c:pt>
                <c:pt idx="9">
                  <c:v>20</c:v>
                </c:pt>
                <c:pt idx="10">
                  <c:v>24</c:v>
                </c:pt>
                <c:pt idx="11">
                  <c:v>20</c:v>
                </c:pt>
                <c:pt idx="12">
                  <c:v>235</c:v>
                </c:pt>
                <c:pt idx="13">
                  <c:v>248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9-48BA-AD58-E9C2C2641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4'!$C$11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'pivot 4'!$B$12:$B$16</c:f>
              <c:numCache>
                <c:formatCode>\$#,##0.00</c:formatCode>
                <c:ptCount val="5"/>
                <c:pt idx="0">
                  <c:v>508796.82000000007</c:v>
                </c:pt>
                <c:pt idx="1">
                  <c:v>402582.08999999979</c:v>
                </c:pt>
                <c:pt idx="2">
                  <c:v>596505.6100000001</c:v>
                </c:pt>
                <c:pt idx="3">
                  <c:v>588680.01</c:v>
                </c:pt>
                <c:pt idx="4">
                  <c:v>2096564.5299999996</c:v>
                </c:pt>
              </c:numCache>
            </c:numRef>
          </c:xVal>
          <c:yVal>
            <c:numRef>
              <c:f>'pivot 4'!$C$12:$C$16</c:f>
              <c:numCache>
                <c:formatCode>General</c:formatCode>
                <c:ptCount val="5"/>
                <c:pt idx="0">
                  <c:v>65896.029999999926</c:v>
                </c:pt>
                <c:pt idx="1">
                  <c:v>39601.390000000014</c:v>
                </c:pt>
                <c:pt idx="2">
                  <c:v>47028.590000000004</c:v>
                </c:pt>
                <c:pt idx="3">
                  <c:v>25924.18</c:v>
                </c:pt>
                <c:pt idx="4">
                  <c:v>178450.18999999989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4-421C-ACBC-788C3B5C134A}"/>
            </c:ext>
          </c:extLst>
        </c:ser>
        <c:ser>
          <c:idx val="1"/>
          <c:order val="1"/>
          <c:tx>
            <c:strRef>
              <c:f>'pivot 4'!$D$11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'pivot 4'!$B$12:$B$16</c:f>
              <c:numCache>
                <c:formatCode>\$#,##0.00</c:formatCode>
                <c:ptCount val="5"/>
                <c:pt idx="0">
                  <c:v>508796.82000000007</c:v>
                </c:pt>
                <c:pt idx="1">
                  <c:v>402582.08999999979</c:v>
                </c:pt>
                <c:pt idx="2">
                  <c:v>596505.6100000001</c:v>
                </c:pt>
                <c:pt idx="3">
                  <c:v>588680.01</c:v>
                </c:pt>
                <c:pt idx="4">
                  <c:v>2096564.5299999996</c:v>
                </c:pt>
              </c:numCache>
            </c:numRef>
          </c:xVal>
          <c:yVal>
            <c:numRef>
              <c:f>'pivot 4'!$D$12:$D$16</c:f>
              <c:numCache>
                <c:formatCode>General</c:formatCode>
                <c:ptCount val="5"/>
                <c:pt idx="0">
                  <c:v>253</c:v>
                </c:pt>
                <c:pt idx="1">
                  <c:v>235</c:v>
                </c:pt>
                <c:pt idx="2">
                  <c:v>248</c:v>
                </c:pt>
                <c:pt idx="3">
                  <c:v>269</c:v>
                </c:pt>
                <c:pt idx="4">
                  <c:v>1005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4-421C-ACBC-788C3B5C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344399"/>
        <c:axId val="705338159"/>
      </c:scatterChart>
      <c:valAx>
        <c:axId val="70534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38159"/>
        <c:crosses val="autoZero"/>
        <c:crossBetween val="midCat"/>
      </c:valAx>
      <c:valAx>
        <c:axId val="7053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4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'pivot 4'!$C$11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4'!$B$12:$B$16</c:f>
              <c:numCache>
                <c:formatCode>\$#,##0.00</c:formatCode>
                <c:ptCount val="5"/>
                <c:pt idx="0">
                  <c:v>508796.82000000007</c:v>
                </c:pt>
                <c:pt idx="1">
                  <c:v>402582.08999999979</c:v>
                </c:pt>
                <c:pt idx="2">
                  <c:v>596505.6100000001</c:v>
                </c:pt>
                <c:pt idx="3">
                  <c:v>588680.01</c:v>
                </c:pt>
                <c:pt idx="4">
                  <c:v>2096564.5299999996</c:v>
                </c:pt>
              </c:numCache>
            </c:numRef>
          </c:xVal>
          <c:yVal>
            <c:numRef>
              <c:f>'pivot 4'!$C$12:$C$16</c:f>
              <c:numCache>
                <c:formatCode>General</c:formatCode>
                <c:ptCount val="5"/>
                <c:pt idx="0">
                  <c:v>65896.029999999926</c:v>
                </c:pt>
                <c:pt idx="1">
                  <c:v>39601.390000000014</c:v>
                </c:pt>
                <c:pt idx="2">
                  <c:v>47028.590000000004</c:v>
                </c:pt>
                <c:pt idx="3">
                  <c:v>25924.18</c:v>
                </c:pt>
                <c:pt idx="4">
                  <c:v>178450.18999999989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1-42F2-9BBB-2716B1176267}"/>
            </c:ext>
          </c:extLst>
        </c:ser>
        <c:ser>
          <c:idx val="1"/>
          <c:order val="1"/>
          <c:tx>
            <c:strRef>
              <c:f>'pivot 4'!$D$11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'pivot 4'!$B$12:$B$16</c:f>
              <c:numCache>
                <c:formatCode>\$#,##0.00</c:formatCode>
                <c:ptCount val="5"/>
                <c:pt idx="0">
                  <c:v>508796.82000000007</c:v>
                </c:pt>
                <c:pt idx="1">
                  <c:v>402582.08999999979</c:v>
                </c:pt>
                <c:pt idx="2">
                  <c:v>596505.6100000001</c:v>
                </c:pt>
                <c:pt idx="3">
                  <c:v>588680.01</c:v>
                </c:pt>
                <c:pt idx="4">
                  <c:v>2096564.5299999996</c:v>
                </c:pt>
              </c:numCache>
            </c:numRef>
          </c:xVal>
          <c:yVal>
            <c:numRef>
              <c:f>'pivot 4'!$D$12:$D$16</c:f>
              <c:numCache>
                <c:formatCode>General</c:formatCode>
                <c:ptCount val="5"/>
                <c:pt idx="0">
                  <c:v>253</c:v>
                </c:pt>
                <c:pt idx="1">
                  <c:v>235</c:v>
                </c:pt>
                <c:pt idx="2">
                  <c:v>248</c:v>
                </c:pt>
                <c:pt idx="3">
                  <c:v>269</c:v>
                </c:pt>
                <c:pt idx="4">
                  <c:v>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21-42F2-9BBB-2716B117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33087"/>
        <c:axId val="732535007"/>
      </c:scatterChart>
      <c:valAx>
        <c:axId val="73253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35007"/>
        <c:crosses val="autoZero"/>
        <c:crossBetween val="midCat"/>
      </c:valAx>
      <c:valAx>
        <c:axId val="73253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3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[newSuperStore_Dataset.xlsx]customtable pivot!PivotTable16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'customtable pivot'!$B$22:$B$23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pivot'!$B$24:$B$38</c:f>
              <c:numCache>
                <c:formatCode>General</c:formatCode>
                <c:ptCount val="14"/>
                <c:pt idx="10">
                  <c:v>11</c:v>
                </c:pt>
                <c:pt idx="11">
                  <c:v>30</c:v>
                </c:pt>
                <c:pt idx="12">
                  <c:v>8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2-45B9-A87D-D1C83892E205}"/>
            </c:ext>
          </c:extLst>
        </c:ser>
        <c:ser>
          <c:idx val="1"/>
          <c:order val="1"/>
          <c:tx>
            <c:strRef>
              <c:f>'customtable pivot'!$C$22:$C$23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pivot'!$C$24:$C$38</c:f>
              <c:numCache>
                <c:formatCode>General</c:formatCode>
                <c:ptCount val="14"/>
                <c:pt idx="10">
                  <c:v>16</c:v>
                </c:pt>
                <c:pt idx="11">
                  <c:v>23</c:v>
                </c:pt>
                <c:pt idx="12">
                  <c:v>9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2-45B9-A87D-D1C83892E205}"/>
            </c:ext>
          </c:extLst>
        </c:ser>
        <c:ser>
          <c:idx val="2"/>
          <c:order val="2"/>
          <c:tx>
            <c:strRef>
              <c:f>'customtable pivot'!$D$22:$D$23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pivot'!$D$24:$D$38</c:f>
              <c:numCache>
                <c:formatCode>General</c:formatCode>
                <c:ptCount val="14"/>
                <c:pt idx="10">
                  <c:v>12</c:v>
                </c:pt>
                <c:pt idx="11">
                  <c:v>35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2-45B9-A87D-D1C83892E205}"/>
            </c:ext>
          </c:extLst>
        </c:ser>
        <c:ser>
          <c:idx val="3"/>
          <c:order val="3"/>
          <c:tx>
            <c:strRef>
              <c:f>'customtable pivot'!$E$22:$E$23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pivot'!$E$24:$E$38</c:f>
              <c:numCache>
                <c:formatCode>General</c:formatCode>
                <c:ptCount val="14"/>
                <c:pt idx="10">
                  <c:v>12</c:v>
                </c:pt>
                <c:pt idx="11">
                  <c:v>24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72-45B9-A87D-D1C83892E205}"/>
            </c:ext>
          </c:extLst>
        </c:ser>
        <c:ser>
          <c:idx val="4"/>
          <c:order val="4"/>
          <c:tx>
            <c:strRef>
              <c:f>'customtable pivot'!$F$22:$F$23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pivot'!$F$24:$F$38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1572-45B9-A87D-D1C83892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321231"/>
        <c:axId val="253321711"/>
      </c:barChart>
      <c:catAx>
        <c:axId val="25332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321711"/>
        <c:crosses val="autoZero"/>
        <c:auto val="1"/>
        <c:lblAlgn val="ctr"/>
        <c:lblOffset val="100"/>
        <c:noMultiLvlLbl val="0"/>
      </c:catAx>
      <c:valAx>
        <c:axId val="2533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32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[newSuperStore_Dataset.xlsx]customtable pivot!PivotTable16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'customtable pivot'!$B$22:$B$23</c:f>
              <c:strCache>
                <c:ptCount val="1"/>
                <c:pt idx="0">
                  <c:v>Central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DD-4BDD-AB79-1F1C5E2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DD-4BDD-AB79-1F1C5E2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DD-4BDD-AB79-1F1C5E2E4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DD-4BDD-AB79-1F1C5E2E4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DD-4BDD-AB79-1F1C5E2E4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DD-4BDD-AB79-1F1C5E2E4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DD-4BDD-AB79-1F1C5E2E4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DD-4BDD-AB79-1F1C5E2E4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DD-4BDD-AB79-1F1C5E2E4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DD-4BDD-AB79-1F1C5E2E4E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DD-4BDD-AB79-1F1C5E2E4E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CDD-4BDD-AB79-1F1C5E2E4E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CDD-4BDD-AB79-1F1C5E2E4E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CDD-4BDD-AB79-1F1C5E2E4EEB}"/>
              </c:ext>
            </c:extLst>
          </c:dPt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pivot'!$B$24:$B$38</c:f>
              <c:numCache>
                <c:formatCode>General</c:formatCode>
                <c:ptCount val="14"/>
                <c:pt idx="10">
                  <c:v>11</c:v>
                </c:pt>
                <c:pt idx="11">
                  <c:v>30</c:v>
                </c:pt>
                <c:pt idx="12">
                  <c:v>8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C-4290-8BD2-283A353834EE}"/>
            </c:ext>
          </c:extLst>
        </c:ser>
        <c:ser>
          <c:idx val="1"/>
          <c:order val="1"/>
          <c:tx>
            <c:strRef>
              <c:f>'customtable pivot'!$C$22:$C$23</c:f>
              <c:strCache>
                <c:ptCount val="1"/>
                <c:pt idx="0">
                  <c:v>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CDD-4BDD-AB79-1F1C5E2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CDD-4BDD-AB79-1F1C5E2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CDD-4BDD-AB79-1F1C5E2E4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CDD-4BDD-AB79-1F1C5E2E4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CDD-4BDD-AB79-1F1C5E2E4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CDD-4BDD-AB79-1F1C5E2E4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CDD-4BDD-AB79-1F1C5E2E4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CDD-4BDD-AB79-1F1C5E2E4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CDD-4BDD-AB79-1F1C5E2E4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CDD-4BDD-AB79-1F1C5E2E4E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CDD-4BDD-AB79-1F1C5E2E4E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CDD-4BDD-AB79-1F1C5E2E4E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CDD-4BDD-AB79-1F1C5E2E4E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CDD-4BDD-AB79-1F1C5E2E4EEB}"/>
              </c:ext>
            </c:extLst>
          </c:dPt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pivot'!$C$24:$C$38</c:f>
              <c:numCache>
                <c:formatCode>General</c:formatCode>
                <c:ptCount val="14"/>
                <c:pt idx="10">
                  <c:v>16</c:v>
                </c:pt>
                <c:pt idx="11">
                  <c:v>23</c:v>
                </c:pt>
                <c:pt idx="12">
                  <c:v>9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C-4290-8BD2-283A353834EE}"/>
            </c:ext>
          </c:extLst>
        </c:ser>
        <c:ser>
          <c:idx val="2"/>
          <c:order val="2"/>
          <c:tx>
            <c:strRef>
              <c:f>'customtable pivot'!$D$22:$D$23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CDD-4BDD-AB79-1F1C5E2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CDD-4BDD-AB79-1F1C5E2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CDD-4BDD-AB79-1F1C5E2E4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CDD-4BDD-AB79-1F1C5E2E4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CDD-4BDD-AB79-1F1C5E2E4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CDD-4BDD-AB79-1F1C5E2E4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CDD-4BDD-AB79-1F1C5E2E4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CDD-4BDD-AB79-1F1C5E2E4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CDD-4BDD-AB79-1F1C5E2E4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CDD-4BDD-AB79-1F1C5E2E4E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CDD-4BDD-AB79-1F1C5E2E4E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CDD-4BDD-AB79-1F1C5E2E4E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CDD-4BDD-AB79-1F1C5E2E4E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CDD-4BDD-AB79-1F1C5E2E4EEB}"/>
              </c:ext>
            </c:extLst>
          </c:dPt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pivot'!$D$24:$D$38</c:f>
              <c:numCache>
                <c:formatCode>General</c:formatCode>
                <c:ptCount val="14"/>
                <c:pt idx="10">
                  <c:v>12</c:v>
                </c:pt>
                <c:pt idx="11">
                  <c:v>35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C-4290-8BD2-283A353834EE}"/>
            </c:ext>
          </c:extLst>
        </c:ser>
        <c:ser>
          <c:idx val="3"/>
          <c:order val="3"/>
          <c:tx>
            <c:strRef>
              <c:f>'customtable pivot'!$E$22:$E$23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CDD-4BDD-AB79-1F1C5E2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CDD-4BDD-AB79-1F1C5E2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CDD-4BDD-AB79-1F1C5E2E4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CDD-4BDD-AB79-1F1C5E2E4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CDD-4BDD-AB79-1F1C5E2E4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CDD-4BDD-AB79-1F1C5E2E4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CDD-4BDD-AB79-1F1C5E2E4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CDD-4BDD-AB79-1F1C5E2E4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CDD-4BDD-AB79-1F1C5E2E4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CDD-4BDD-AB79-1F1C5E2E4E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CDD-4BDD-AB79-1F1C5E2E4E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CDD-4BDD-AB79-1F1C5E2E4E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CDD-4BDD-AB79-1F1C5E2E4E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CDD-4BDD-AB79-1F1C5E2E4EEB}"/>
              </c:ext>
            </c:extLst>
          </c:dPt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pivot'!$E$24:$E$38</c:f>
              <c:numCache>
                <c:formatCode>General</c:formatCode>
                <c:ptCount val="14"/>
                <c:pt idx="10">
                  <c:v>12</c:v>
                </c:pt>
                <c:pt idx="11">
                  <c:v>24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C-4290-8BD2-283A353834EE}"/>
            </c:ext>
          </c:extLst>
        </c:ser>
        <c:ser>
          <c:idx val="4"/>
          <c:order val="4"/>
          <c:tx>
            <c:strRef>
              <c:f>'customtable pivot'!$F$22:$F$23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5CDD-4BDD-AB79-1F1C5E2E4E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5CDD-4BDD-AB79-1F1C5E2E4E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5CDD-4BDD-AB79-1F1C5E2E4E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5CDD-4BDD-AB79-1F1C5E2E4E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5CDD-4BDD-AB79-1F1C5E2E4E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5CDD-4BDD-AB79-1F1C5E2E4E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5CDD-4BDD-AB79-1F1C5E2E4E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5CDD-4BDD-AB79-1F1C5E2E4E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5CDD-4BDD-AB79-1F1C5E2E4E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5CDD-4BDD-AB79-1F1C5E2E4E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5CDD-4BDD-AB79-1F1C5E2E4E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5CDD-4BDD-AB79-1F1C5E2E4E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5CDD-4BDD-AB79-1F1C5E2E4E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5CDD-4BDD-AB79-1F1C5E2E4EEB}"/>
              </c:ext>
            </c:extLst>
          </c:dPt>
          <c:cat>
            <c:strRef>
              <c:f>'customtable pivot'!$A$24:$A$38</c:f>
              <c:strCache>
                <c:ptCount val="14"/>
                <c:pt idx="0">
                  <c:v>0</c:v>
                </c:pt>
                <c:pt idx="1">
                  <c:v>274.75</c:v>
                </c:pt>
                <c:pt idx="2">
                  <c:v>348.51</c:v>
                </c:pt>
                <c:pt idx="3">
                  <c:v>1089.73</c:v>
                </c:pt>
                <c:pt idx="4">
                  <c:v>2449.52</c:v>
                </c:pt>
                <c:pt idx="5">
                  <c:v>2576.02</c:v>
                </c:pt>
                <c:pt idx="6">
                  <c:v>2686.95</c:v>
                </c:pt>
                <c:pt idx="7">
                  <c:v>4531.71</c:v>
                </c:pt>
                <c:pt idx="8">
                  <c:v>4668.41</c:v>
                </c:pt>
                <c:pt idx="9">
                  <c:v>6132.01</c:v>
                </c:pt>
                <c:pt idx="10">
                  <c:v>13071.14</c:v>
                </c:pt>
                <c:pt idx="11">
                  <c:v>13853.47</c:v>
                </c:pt>
                <c:pt idx="12">
                  <c:v>16322.11</c:v>
                </c:pt>
                <c:pt idx="13">
                  <c:v>24822.21</c:v>
                </c:pt>
              </c:strCache>
            </c:strRef>
          </c:cat>
          <c:val>
            <c:numRef>
              <c:f>'customtable pivot'!$F$24:$F$38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3EBC-4290-8BD2-283A35383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3</xdr:row>
      <xdr:rowOff>64770</xdr:rowOff>
    </xdr:from>
    <xdr:to>
      <xdr:col>13</xdr:col>
      <xdr:colOff>68580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C3A8C-B886-37B2-5DA0-3FBE6436B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327660</xdr:colOff>
      <xdr:row>18</xdr:row>
      <xdr:rowOff>140970</xdr:rowOff>
    </xdr:from>
    <xdr:to>
      <xdr:col>13</xdr:col>
      <xdr:colOff>22860</xdr:colOff>
      <xdr:row>33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B2F36-0BB4-637A-AFEA-8C6C0DFD1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132772</xdr:colOff>
      <xdr:row>6</xdr:row>
      <xdr:rowOff>181262</xdr:rowOff>
    </xdr:from>
    <xdr:to>
      <xdr:col>14</xdr:col>
      <xdr:colOff>34637</xdr:colOff>
      <xdr:row>23</xdr:row>
      <xdr:rowOff>161636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D0ED3-0AC9-2B02-6097-4E12C24E6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167409</xdr:colOff>
      <xdr:row>24</xdr:row>
      <xdr:rowOff>158172</xdr:rowOff>
    </xdr:from>
    <xdr:to>
      <xdr:col>14</xdr:col>
      <xdr:colOff>11546</xdr:colOff>
      <xdr:row>43</xdr:row>
      <xdr:rowOff>80818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83852-8F3D-D47D-670B-DF75F628C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259772</xdr:colOff>
      <xdr:row>16</xdr:row>
      <xdr:rowOff>19627</xdr:rowOff>
    </xdr:from>
    <xdr:to>
      <xdr:col>24</xdr:col>
      <xdr:colOff>196272</xdr:colOff>
      <xdr:row>39</xdr:row>
      <xdr:rowOff>138544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BA26D1-DCE0-DE92-3357-1E64ECAA9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589222</xdr:colOff>
      <xdr:row>1</xdr:row>
      <xdr:rowOff>178981</xdr:rowOff>
    </xdr:from>
    <xdr:to>
      <xdr:col>12</xdr:col>
      <xdr:colOff>62024</xdr:colOff>
      <xdr:row>16</xdr:row>
      <xdr:rowOff>8861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17233B-10EA-13C2-9FA6-4187A02C5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589221</xdr:colOff>
      <xdr:row>17</xdr:row>
      <xdr:rowOff>10633</xdr:rowOff>
    </xdr:from>
    <xdr:to>
      <xdr:col>12</xdr:col>
      <xdr:colOff>270245</xdr:colOff>
      <xdr:row>31</xdr:row>
      <xdr:rowOff>148856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AF24-0ABD-12B9-2FB4-DCC1019B9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119616</xdr:colOff>
      <xdr:row>2</xdr:row>
      <xdr:rowOff>19493</xdr:rowOff>
    </xdr:from>
    <xdr:to>
      <xdr:col>19</xdr:col>
      <xdr:colOff>44302</xdr:colOff>
      <xdr:row>16</xdr:row>
      <xdr:rowOff>157717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60609E-D4E9-D9BF-ADEB-5D461B0D5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349988</xdr:colOff>
      <xdr:row>17</xdr:row>
      <xdr:rowOff>28354</xdr:rowOff>
    </xdr:from>
    <xdr:to>
      <xdr:col>20</xdr:col>
      <xdr:colOff>31011</xdr:colOff>
      <xdr:row>31</xdr:row>
      <xdr:rowOff>166577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82C3F-3B8D-4FDF-1ADD-DF7F354A4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</xdr:row>
      <xdr:rowOff>19050</xdr:rowOff>
    </xdr:from>
    <xdr:to>
      <xdr:col>12</xdr:col>
      <xdr:colOff>45720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1DA5B-FFB9-7074-817D-F821E1D0F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16</xdr:row>
      <xdr:rowOff>57150</xdr:rowOff>
    </xdr:from>
    <xdr:to>
      <xdr:col>12</xdr:col>
      <xdr:colOff>45720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3AE21-2371-3A27-9955-544FB4F0F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20</xdr:row>
      <xdr:rowOff>148590</xdr:rowOff>
    </xdr:from>
    <xdr:to>
      <xdr:col>16</xdr:col>
      <xdr:colOff>7620</xdr:colOff>
      <xdr:row>35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65C1E-202F-999D-0BFA-E919DA2A0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36</xdr:row>
      <xdr:rowOff>11430</xdr:rowOff>
    </xdr:from>
    <xdr:to>
      <xdr:col>16</xdr:col>
      <xdr:colOff>53340</xdr:colOff>
      <xdr:row>51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EBD37-CC07-8050-253C-ACAE4257F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chowdhury" refreshedDate="46140.773827430552" createdVersion="8" refreshedVersion="8" minRefreshableVersion="3" recordCount="1005" xr:uid="{9CCED6AF-2A30-45DC-AE93-170526BF704D}">
  <cacheSource type="worksheet">
    <worksheetSource name="Table1"/>
  </cacheSource>
  <cacheFields count="21">
    <cacheField name="Order ID" numFmtId="0">
      <sharedItems/>
    </cacheField>
    <cacheField name="Order Date" numFmtId="166">
      <sharedItems containsSemiMixedTypes="0" containsNonDate="0" containsDate="1" containsString="0" minDate="2021-01-03T00:00:00" maxDate="2025-01-01T00:00:00" count="731">
        <d v="2021-01-03T00:00:00"/>
        <d v="2021-01-04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20T00:00:00"/>
        <d v="2021-01-22T00:00:00"/>
        <d v="2021-01-25T00:00:00"/>
        <d v="2021-01-26T00:00:00"/>
        <d v="2021-01-29T00:00:00"/>
        <d v="2021-01-30T00:00:00"/>
        <d v="2021-01-31T00:00:00"/>
        <d v="2021-02-02T00:00:00"/>
        <d v="2021-02-03T00:00:00"/>
        <d v="2021-02-04T00:00:00"/>
        <d v="2021-02-05T00:00:00"/>
        <d v="2021-02-06T00:00:00"/>
        <d v="2021-02-08T00:00:00"/>
        <d v="2021-02-09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8T00:00:00"/>
        <d v="2021-03-01T00:00:00"/>
        <d v="2021-03-03T00:00:00"/>
        <d v="2021-03-04T00:00:00"/>
        <d v="2021-03-06T00:00:00"/>
        <d v="2021-03-07T00:00:00"/>
        <d v="2021-03-09T00:00:00"/>
        <d v="2021-03-10T00:00:00"/>
        <d v="2021-03-11T00:00:00"/>
        <d v="2021-03-12T00:00:00"/>
        <d v="2021-03-17T00:00:00"/>
        <d v="2021-03-25T00:00:00"/>
        <d v="2021-03-27T00:00:00"/>
        <d v="2021-03-28T00:00:00"/>
        <d v="2021-03-30T00:00:00"/>
        <d v="2021-03-31T00:00:00"/>
        <d v="2021-04-02T00:00:00"/>
        <d v="2021-04-03T00:00:00"/>
        <d v="2021-04-04T00:00:00"/>
        <d v="2021-04-08T00:00:00"/>
        <d v="2021-04-11T00:00:00"/>
        <d v="2021-04-15T00:00:00"/>
        <d v="2021-04-18T00:00:00"/>
        <d v="2021-04-19T00:00:00"/>
        <d v="2021-04-21T00:00:00"/>
        <d v="2021-04-22T00:00:00"/>
        <d v="2021-04-24T00:00:00"/>
        <d v="2021-04-25T00:00:00"/>
        <d v="2021-04-26T00:00:00"/>
        <d v="2021-04-27T00:00:00"/>
        <d v="2021-04-28T00:00:00"/>
        <d v="2021-05-02T00:00:00"/>
        <d v="2021-05-03T00:00:00"/>
        <d v="2021-05-04T00:00:00"/>
        <d v="2021-05-07T00:00:00"/>
        <d v="2021-05-16T00:00:00"/>
        <d v="2021-05-17T00:00:00"/>
        <d v="2021-05-19T00:00:00"/>
        <d v="2021-05-21T00:00:00"/>
        <d v="2021-05-22T00:00:00"/>
        <d v="2021-05-23T00:00:00"/>
        <d v="2021-05-26T00:00:00"/>
        <d v="2021-05-29T00:00:00"/>
        <d v="2021-05-30T00:00:00"/>
        <d v="2021-06-02T00:00:00"/>
        <d v="2021-06-03T00:00:00"/>
        <d v="2021-06-06T00:00:00"/>
        <d v="2021-06-07T00:00:00"/>
        <d v="2021-06-08T00:00:00"/>
        <d v="2021-06-09T00:00:00"/>
        <d v="2021-06-10T00:00:00"/>
        <d v="2021-06-13T00:00:00"/>
        <d v="2021-06-15T00:00:00"/>
        <d v="2021-06-18T00:00:00"/>
        <d v="2021-06-22T00:00:00"/>
        <d v="2021-06-23T00:00:00"/>
        <d v="2021-06-24T00:00:00"/>
        <d v="2021-06-26T00:00:00"/>
        <d v="2021-06-29T00:00:00"/>
        <d v="2021-07-01T00:00:00"/>
        <d v="2021-07-03T00:00:00"/>
        <d v="2021-07-04T00:00:00"/>
        <d v="2021-07-09T00:00:00"/>
        <d v="2021-07-10T00:00:00"/>
        <d v="2021-07-16T00:00:00"/>
        <d v="2021-07-17T00:00:00"/>
        <d v="2021-07-20T00:00:00"/>
        <d v="2021-07-22T00:00:00"/>
        <d v="2021-07-23T00:00:00"/>
        <d v="2021-07-24T00:00:00"/>
        <d v="2021-07-25T00:00:00"/>
        <d v="2021-07-28T00:00:00"/>
        <d v="2021-07-30T00:00:00"/>
        <d v="2021-07-31T00:00:00"/>
        <d v="2021-08-02T00:00:00"/>
        <d v="2021-08-05T00:00:00"/>
        <d v="2021-08-08T00:00:00"/>
        <d v="2021-08-10T00:00:00"/>
        <d v="2021-08-12T00:00:00"/>
        <d v="2021-08-13T00:00:00"/>
        <d v="2021-08-14T00:00:00"/>
        <d v="2021-08-15T00:00:00"/>
        <d v="2021-08-16T00:00:00"/>
        <d v="2021-08-17T00:00:00"/>
        <d v="2021-08-19T00:00:00"/>
        <d v="2021-08-20T00:00:00"/>
        <d v="2021-08-23T00:00:00"/>
        <d v="2021-08-24T00:00:00"/>
        <d v="2021-08-25T00:00:00"/>
        <d v="2021-08-29T00:00:00"/>
        <d v="2021-08-30T00:00:00"/>
        <d v="2021-09-01T00:00:00"/>
        <d v="2021-09-03T00:00:00"/>
        <d v="2021-09-04T00:00:00"/>
        <d v="2021-09-05T00:00:00"/>
        <d v="2021-09-06T00:00:00"/>
        <d v="2021-09-07T00:00:00"/>
        <d v="2021-09-11T00:00:00"/>
        <d v="2021-09-12T00:00:00"/>
        <d v="2021-09-13T00:00:00"/>
        <d v="2021-09-14T00:00:00"/>
        <d v="2021-09-16T00:00:00"/>
        <d v="2021-09-17T00:00:00"/>
        <d v="2021-09-18T00:00:00"/>
        <d v="2021-09-20T00:00:00"/>
        <d v="2021-09-21T00:00:00"/>
        <d v="2021-09-24T00:00:00"/>
        <d v="2021-09-28T00:00:00"/>
        <d v="2021-09-29T00:00:00"/>
        <d v="2021-09-30T00:00:00"/>
        <d v="2021-10-01T00:00:00"/>
        <d v="2021-10-03T00:00:00"/>
        <d v="2021-10-04T00:00:00"/>
        <d v="2021-10-06T00:00:00"/>
        <d v="2021-10-07T00:00:00"/>
        <d v="2021-10-08T00:00:00"/>
        <d v="2021-10-09T00:00:00"/>
        <d v="2021-10-11T00:00:00"/>
        <d v="2021-10-14T00:00:00"/>
        <d v="2021-10-21T00:00:00"/>
        <d v="2021-10-22T00:00:00"/>
        <d v="2021-10-23T00:00:00"/>
        <d v="2021-10-26T00:00:00"/>
        <d v="2021-10-27T00:00:00"/>
        <d v="2021-10-29T00:00:00"/>
        <d v="2021-11-01T00:00:00"/>
        <d v="2021-11-03T00:00:00"/>
        <d v="2021-11-04T00:00:00"/>
        <d v="2021-11-05T00:00:00"/>
        <d v="2021-11-06T00:00:00"/>
        <d v="2021-11-11T00:00:00"/>
        <d v="2021-11-12T00:00:00"/>
        <d v="2021-11-14T00:00:00"/>
        <d v="2021-11-16T00:00:00"/>
        <d v="2021-11-18T00:00:00"/>
        <d v="2021-11-19T00:00:00"/>
        <d v="2021-11-20T00:00:00"/>
        <d v="2021-11-21T00:00:00"/>
        <d v="2021-11-22T00:00:00"/>
        <d v="2021-11-24T00:00:00"/>
        <d v="2021-11-25T00:00:00"/>
        <d v="2021-11-26T00:00:00"/>
        <d v="2021-11-28T00:00:00"/>
        <d v="2021-11-30T00:00:00"/>
        <d v="2021-12-01T00:00:00"/>
        <d v="2021-12-02T00:00:00"/>
        <d v="2021-12-03T00:00:00"/>
        <d v="2021-12-08T00:00:00"/>
        <d v="2021-12-09T00:00:00"/>
        <d v="2021-12-12T00:00:00"/>
        <d v="2021-12-18T00:00:00"/>
        <d v="2021-12-23T00:00:00"/>
        <d v="2021-12-24T00:00:00"/>
        <d v="2021-12-25T00:00:00"/>
        <d v="2021-12-26T00:00:00"/>
        <d v="2021-12-27T00:00:00"/>
        <d v="2021-12-30T00:00:00"/>
        <d v="2021-12-31T00:00:00"/>
        <d v="2022-01-05T00:00:00"/>
        <d v="2022-01-07T00:00:00"/>
        <d v="2022-01-12T00:00:00"/>
        <d v="2022-01-13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1-31T00:00:00"/>
        <d v="2022-02-05T00:00:00"/>
        <d v="2022-02-08T00:00:00"/>
        <d v="2022-02-09T00:00:00"/>
        <d v="2022-02-10T00:00:00"/>
        <d v="2022-02-12T00:00:00"/>
        <d v="2022-02-13T00:00:00"/>
        <d v="2022-02-14T00:00:00"/>
        <d v="2022-02-16T00:00:00"/>
        <d v="2022-02-17T00:00:00"/>
        <d v="2022-02-18T00:00:00"/>
        <d v="2022-02-21T00:00:00"/>
        <d v="2022-02-22T00:00:00"/>
        <d v="2022-02-23T00:00:00"/>
        <d v="2022-02-25T00:00:00"/>
        <d v="2022-02-26T00:00:00"/>
        <d v="2022-02-28T00:00:00"/>
        <d v="2022-03-02T00:00:00"/>
        <d v="2022-03-03T00:00:00"/>
        <d v="2022-03-05T00:00:00"/>
        <d v="2022-03-06T00:00:00"/>
        <d v="2022-03-07T00:00:00"/>
        <d v="2022-03-08T00:00:00"/>
        <d v="2022-03-09T00:00:00"/>
        <d v="2022-03-12T00:00:00"/>
        <d v="2022-03-15T00:00:00"/>
        <d v="2022-03-18T00:00:00"/>
        <d v="2022-03-19T00:00:00"/>
        <d v="2022-03-20T00:00:00"/>
        <d v="2022-03-28T00:00:00"/>
        <d v="2022-03-29T00:00:00"/>
        <d v="2022-03-30T00:00:00"/>
        <d v="2022-04-02T00:00:00"/>
        <d v="2022-04-04T00:00:00"/>
        <d v="2022-04-05T00:00:00"/>
        <d v="2022-04-08T00:00:00"/>
        <d v="2022-04-14T00:00:00"/>
        <d v="2022-04-17T00:00:00"/>
        <d v="2022-04-20T00:00:00"/>
        <d v="2022-04-22T00:00:00"/>
        <d v="2022-04-23T00:00:00"/>
        <d v="2022-04-26T00:00:00"/>
        <d v="2022-04-27T00:00:00"/>
        <d v="2022-04-29T00:00:00"/>
        <d v="2022-04-30T00:00:00"/>
        <d v="2022-05-03T00:00:00"/>
        <d v="2022-05-06T00:00:00"/>
        <d v="2022-05-11T00:00:00"/>
        <d v="2022-05-12T00:00:00"/>
        <d v="2022-05-16T00:00:00"/>
        <d v="2022-05-21T00:00:00"/>
        <d v="2022-05-24T00:00:00"/>
        <d v="2022-05-27T00:00:00"/>
        <d v="2022-05-29T00:00:00"/>
        <d v="2022-06-01T00:00:00"/>
        <d v="2022-06-02T00:00:00"/>
        <d v="2022-06-04T00:00:00"/>
        <d v="2022-06-06T00:00:00"/>
        <d v="2022-06-08T00:00:00"/>
        <d v="2022-06-09T00:00:00"/>
        <d v="2022-06-10T00:00:00"/>
        <d v="2022-06-13T00:00:00"/>
        <d v="2022-06-14T00:00:00"/>
        <d v="2022-06-16T00:00:00"/>
        <d v="2022-06-19T00:00:00"/>
        <d v="2022-06-24T00:00:00"/>
        <d v="2022-06-25T00:00:00"/>
        <d v="2022-06-27T00:00:00"/>
        <d v="2022-06-30T00:00:00"/>
        <d v="2022-07-02T00:00:00"/>
        <d v="2022-07-05T00:00:00"/>
        <d v="2022-07-06T00:00:00"/>
        <d v="2022-07-07T00:00:00"/>
        <d v="2022-07-11T00:00:00"/>
        <d v="2022-07-13T00:00:00"/>
        <d v="2022-07-14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7T00:00:00"/>
        <d v="2022-07-28T00:00:00"/>
        <d v="2022-08-01T00:00:00"/>
        <d v="2022-08-02T00:00:00"/>
        <d v="2022-08-03T00:00:00"/>
        <d v="2022-08-04T00:00:00"/>
        <d v="2022-08-07T00:00:00"/>
        <d v="2022-08-09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4T00:00:00"/>
        <d v="2022-08-26T00:00:00"/>
        <d v="2022-08-27T00:00:00"/>
        <d v="2022-08-29T00:00:00"/>
        <d v="2022-09-06T00:00:00"/>
        <d v="2022-09-07T00:00:00"/>
        <d v="2022-09-08T00:00:00"/>
        <d v="2022-09-09T00:00:00"/>
        <d v="2022-09-13T00:00:00"/>
        <d v="2022-09-15T00:00:00"/>
        <d v="2022-09-16T00:00:00"/>
        <d v="2022-09-17T00:00:00"/>
        <d v="2022-09-18T00:00:00"/>
        <d v="2022-09-19T00:00:00"/>
        <d v="2022-09-22T00:00:00"/>
        <d v="2022-09-23T00:00:00"/>
        <d v="2022-09-27T00:00:00"/>
        <d v="2022-09-28T00:00:00"/>
        <d v="2022-10-01T00:00:00"/>
        <d v="2022-10-02T00:00:00"/>
        <d v="2022-10-03T00:00:00"/>
        <d v="2022-10-04T00:00:00"/>
        <d v="2022-10-07T00:00:00"/>
        <d v="2022-10-09T00:00:00"/>
        <d v="2022-10-11T00:00:00"/>
        <d v="2022-10-14T00:00:00"/>
        <d v="2022-10-15T00:00:00"/>
        <d v="2022-10-16T00:00:00"/>
        <d v="2022-10-22T00:00:00"/>
        <d v="2022-10-23T00:00:00"/>
        <d v="2022-10-24T00:00:00"/>
        <d v="2022-10-27T00:00:00"/>
        <d v="2022-10-30T00:00:00"/>
        <d v="2022-10-31T00:00:00"/>
        <d v="2022-11-01T00:00:00"/>
        <d v="2022-11-06T00:00:00"/>
        <d v="2022-11-10T00:00:00"/>
        <d v="2022-11-13T00:00:00"/>
        <d v="2022-11-19T00:00:00"/>
        <d v="2022-11-22T00:00:00"/>
        <d v="2022-11-23T00:00:00"/>
        <d v="2022-11-29T00:00:00"/>
        <d v="2022-12-01T00:00:00"/>
        <d v="2022-12-02T00:00:00"/>
        <d v="2022-12-03T00:00:00"/>
        <d v="2022-12-04T00:00:00"/>
        <d v="2022-12-06T00:00:00"/>
        <d v="2022-12-07T00:00:00"/>
        <d v="2022-12-08T00:00:00"/>
        <d v="2022-12-14T00:00:00"/>
        <d v="2022-12-15T00:00:00"/>
        <d v="2022-12-17T00:00:00"/>
        <d v="2022-12-19T00:00:00"/>
        <d v="2022-12-20T00:00:00"/>
        <d v="2022-12-22T00:00:00"/>
        <d v="2022-12-24T00:00:00"/>
        <d v="2022-12-26T00:00:00"/>
        <d v="2022-12-27T00:00:00"/>
        <d v="2022-12-28T00:00:00"/>
        <d v="2023-01-01T00:00:00"/>
        <d v="2023-01-04T00:00:00"/>
        <d v="2023-01-06T00:00:00"/>
        <d v="2023-01-07T00:00:00"/>
        <d v="2023-01-13T00:00:00"/>
        <d v="2023-01-14T00:00:00"/>
        <d v="2023-01-19T00:00:00"/>
        <d v="2023-01-20T00:00:00"/>
        <d v="2023-01-23T00:00:00"/>
        <d v="2023-01-26T00:00:00"/>
        <d v="2023-01-30T00:00:00"/>
        <d v="2023-01-31T00:00:00"/>
        <d v="2023-02-03T00:00:00"/>
        <d v="2023-02-04T00:00:00"/>
        <d v="2023-02-05T00:00:00"/>
        <d v="2023-02-06T00:00:00"/>
        <d v="2023-02-08T00:00:00"/>
        <d v="2023-02-09T00:00:00"/>
        <d v="2023-02-10T00:00:00"/>
        <d v="2023-02-12T00:00:00"/>
        <d v="2023-02-13T00:00:00"/>
        <d v="2023-02-18T00:00:00"/>
        <d v="2023-02-23T00:00:00"/>
        <d v="2023-02-26T00:00:00"/>
        <d v="2023-02-28T00:00:00"/>
        <d v="2023-03-03T00:00:00"/>
        <d v="2023-03-05T00:00:00"/>
        <d v="2023-03-07T00:00:00"/>
        <d v="2023-03-08T00:00:00"/>
        <d v="2023-03-10T00:00:00"/>
        <d v="2023-03-15T00:00:00"/>
        <d v="2023-03-16T00:00:00"/>
        <d v="2023-03-17T00:00:00"/>
        <d v="2023-03-19T00:00:00"/>
        <d v="2023-03-21T00:00:00"/>
        <d v="2023-03-22T00:00:00"/>
        <d v="2023-03-25T00:00:00"/>
        <d v="2023-04-01T00:00:00"/>
        <d v="2023-04-02T00:00:00"/>
        <d v="2023-04-04T00:00:00"/>
        <d v="2023-04-11T00:00:00"/>
        <d v="2023-04-14T00:00:00"/>
        <d v="2023-04-17T00:00:00"/>
        <d v="2023-04-19T00:00:00"/>
        <d v="2023-04-20T00:00:00"/>
        <d v="2023-04-22T00:00:00"/>
        <d v="2023-04-23T00:00:00"/>
        <d v="2023-04-25T00:00:00"/>
        <d v="2023-04-26T00:00:00"/>
        <d v="2023-04-27T00:00:00"/>
        <d v="2023-04-28T00:00:00"/>
        <d v="2023-04-29T00:00:00"/>
        <d v="2023-04-30T00:00:00"/>
        <d v="2023-05-02T00:00:00"/>
        <d v="2023-05-05T00:00:00"/>
        <d v="2023-05-06T00:00:00"/>
        <d v="2023-05-08T00:00:00"/>
        <d v="2023-05-09T00:00:00"/>
        <d v="2023-05-11T00:00:00"/>
        <d v="2023-05-13T00:00:00"/>
        <d v="2023-05-14T00:00:00"/>
        <d v="2023-05-16T00:00:00"/>
        <d v="2023-05-17T00:00:00"/>
        <d v="2023-05-19T00:00:00"/>
        <d v="2023-05-20T00:00:00"/>
        <d v="2023-05-21T00:00:00"/>
        <d v="2023-05-26T00:00:00"/>
        <d v="2023-05-30T00:00:00"/>
        <d v="2023-05-31T00:00:00"/>
        <d v="2023-06-01T00:00:00"/>
        <d v="2023-06-04T00:00:00"/>
        <d v="2023-06-07T00:00:00"/>
        <d v="2023-06-08T00:00:00"/>
        <d v="2023-06-11T00:00:00"/>
        <d v="2023-06-13T00:00:00"/>
        <d v="2023-06-17T00:00:00"/>
        <d v="2023-06-18T00:00:00"/>
        <d v="2023-06-20T00:00:00"/>
        <d v="2023-06-22T00:00:00"/>
        <d v="2023-06-25T00:00:00"/>
        <d v="2023-06-27T00:00:00"/>
        <d v="2023-07-02T00:00:00"/>
        <d v="2023-07-03T00:00:00"/>
        <d v="2023-07-08T00:00:00"/>
        <d v="2023-07-09T00:00:00"/>
        <d v="2023-07-10T00:00:00"/>
        <d v="2023-07-11T00:00:00"/>
        <d v="2023-07-12T00:00:00"/>
        <d v="2023-07-13T00:00:00"/>
        <d v="2023-07-15T00:00:00"/>
        <d v="2023-07-16T00:00:00"/>
        <d v="2023-07-17T00:00:00"/>
        <d v="2023-07-18T00:00:00"/>
        <d v="2023-07-19T00:00:00"/>
        <d v="2023-07-21T00:00:00"/>
        <d v="2023-07-23T00:00:00"/>
        <d v="2023-07-24T00:00:00"/>
        <d v="2023-07-26T00:00:00"/>
        <d v="2023-07-30T00:00:00"/>
        <d v="2023-07-31T00:00:00"/>
        <d v="2023-08-03T00:00:00"/>
        <d v="2023-08-04T00:00:00"/>
        <d v="2023-08-05T00:00:00"/>
        <d v="2023-08-08T00:00:00"/>
        <d v="2023-08-09T00:00:00"/>
        <d v="2023-08-15T00:00:00"/>
        <d v="2023-08-17T00:00:00"/>
        <d v="2023-08-18T00:00:00"/>
        <d v="2023-08-19T00:00:00"/>
        <d v="2023-08-24T00:00:00"/>
        <d v="2023-08-26T00:00:00"/>
        <d v="2023-08-28T00:00:00"/>
        <d v="2023-08-31T00:00:00"/>
        <d v="2023-09-02T00:00:00"/>
        <d v="2023-09-03T00:00:00"/>
        <d v="2023-09-04T00:00:00"/>
        <d v="2023-09-05T00:00:00"/>
        <d v="2023-09-08T00:00:00"/>
        <d v="2023-09-09T00:00:00"/>
        <d v="2023-09-12T00:00:00"/>
        <d v="2023-09-13T00:00:00"/>
        <d v="2023-09-14T00:00:00"/>
        <d v="2023-09-15T00:00:00"/>
        <d v="2023-09-18T00:00:00"/>
        <d v="2023-09-21T00:00:00"/>
        <d v="2023-09-22T00:00:00"/>
        <d v="2023-09-24T00:00:00"/>
        <d v="2023-09-25T00:00:00"/>
        <d v="2023-09-29T00:00:00"/>
        <d v="2023-09-30T00:00:00"/>
        <d v="2023-10-02T00:00:00"/>
        <d v="2023-10-04T00:00:00"/>
        <d v="2023-10-11T00:00:00"/>
        <d v="2023-10-12T00:00:00"/>
        <d v="2023-10-13T00:00:00"/>
        <d v="2023-10-16T00:00:00"/>
        <d v="2023-10-19T00:00:00"/>
        <d v="2023-10-23T00:00:00"/>
        <d v="2023-10-25T00:00:00"/>
        <d v="2023-10-29T00:00:00"/>
        <d v="2023-10-30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5T00:00:00"/>
        <d v="2023-11-16T00:00:00"/>
        <d v="2023-11-18T00:00:00"/>
        <d v="2023-11-20T00:00:00"/>
        <d v="2023-11-24T00:00:00"/>
        <d v="2023-11-26T00:00:00"/>
        <d v="2023-11-29T00:00:00"/>
        <d v="2023-11-30T00:00:00"/>
        <d v="2023-12-01T00:00:00"/>
        <d v="2023-12-02T00:00:00"/>
        <d v="2023-12-04T00:00:00"/>
        <d v="2023-12-05T00:00:00"/>
        <d v="2023-12-08T00:00:00"/>
        <d v="2023-12-12T00:00:00"/>
        <d v="2023-12-13T00:00:00"/>
        <d v="2023-12-15T00:00:00"/>
        <d v="2023-12-17T00:00:00"/>
        <d v="2023-12-18T00:00:00"/>
        <d v="2023-12-21T00:00:00"/>
        <d v="2023-12-23T00:00:00"/>
        <d v="2023-12-27T00:00:00"/>
        <d v="2023-12-28T00:00:00"/>
        <d v="2023-12-30T00:00:00"/>
        <d v="2023-12-31T00:00:00"/>
        <d v="2024-01-01T00:00:00"/>
        <d v="2024-01-02T00:00:00"/>
        <d v="2024-01-06T00:00:00"/>
        <d v="2024-01-07T00:00:00"/>
        <d v="2024-01-08T00:00:00"/>
        <d v="2024-01-11T00:00:00"/>
        <d v="2024-01-13T00:00:00"/>
        <d v="2024-01-14T00:00:00"/>
        <d v="2024-01-16T00:00:00"/>
        <d v="2024-01-18T00:00:00"/>
        <d v="2024-01-19T00:00:00"/>
        <d v="2024-01-21T00:00:00"/>
        <d v="2024-01-22T00:00:00"/>
        <d v="2024-01-23T00:00:00"/>
        <d v="2024-01-24T00:00:00"/>
        <d v="2024-01-25T00:00:00"/>
        <d v="2024-01-27T00:00:00"/>
        <d v="2024-01-28T00:00:00"/>
        <d v="2024-02-02T00:00:00"/>
        <d v="2024-02-04T00:00:00"/>
        <d v="2024-02-08T00:00:00"/>
        <d v="2024-02-09T00:00:00"/>
        <d v="2024-02-10T00:00:00"/>
        <d v="2024-02-16T00:00:00"/>
        <d v="2024-02-18T00:00:00"/>
        <d v="2024-02-19T00:00:00"/>
        <d v="2024-02-20T00:00:00"/>
        <d v="2024-02-22T00:00:00"/>
        <d v="2024-02-23T00:00:00"/>
        <d v="2024-02-25T00:00:00"/>
        <d v="2024-02-28T00:00:00"/>
        <d v="2024-02-29T00:00:00"/>
        <d v="2024-03-02T00:00:00"/>
        <d v="2024-03-04T00:00:00"/>
        <d v="2024-03-06T00:00:00"/>
        <d v="2024-03-08T00:00:00"/>
        <d v="2024-03-09T00:00:00"/>
        <d v="2024-03-10T00:00:00"/>
        <d v="2024-03-11T00:00:00"/>
        <d v="2024-03-13T00:00:00"/>
        <d v="2024-03-14T00:00:00"/>
        <d v="2024-03-16T00:00:00"/>
        <d v="2024-03-17T00:00:00"/>
        <d v="2024-03-18T00:00:00"/>
        <d v="2024-03-19T00:00:00"/>
        <d v="2024-03-24T00:00:00"/>
        <d v="2024-03-25T00:00:00"/>
        <d v="2024-03-26T00:00:00"/>
        <d v="2024-03-29T00:00:00"/>
        <d v="2024-03-30T00:00:00"/>
        <d v="2024-04-01T00:00:00"/>
        <d v="2024-04-06T00:00:00"/>
        <d v="2024-04-08T00:00:00"/>
        <d v="2024-04-16T00:00:00"/>
        <d v="2024-04-18T00:00:00"/>
        <d v="2024-04-20T00:00:00"/>
        <d v="2024-04-22T00:00:00"/>
        <d v="2024-04-24T00:00:00"/>
        <d v="2024-04-25T00:00:00"/>
        <d v="2024-04-29T00:00:00"/>
        <d v="2024-04-30T00:00:00"/>
        <d v="2024-05-02T00:00:00"/>
        <d v="2024-05-05T00:00:00"/>
        <d v="2024-05-06T00:00:00"/>
        <d v="2024-05-07T00:00:00"/>
        <d v="2024-05-09T00:00:00"/>
        <d v="2024-05-11T00:00:00"/>
        <d v="2024-05-12T00:00:00"/>
        <d v="2024-05-13T00:00:00"/>
        <d v="2024-05-14T00:00:00"/>
        <d v="2024-05-17T00:00:00"/>
        <d v="2024-05-19T00:00:00"/>
        <d v="2024-05-21T00:00:00"/>
        <d v="2024-05-22T00:00:00"/>
        <d v="2024-05-23T00:00:00"/>
        <d v="2024-05-25T00:00:00"/>
        <d v="2024-05-27T00:00:00"/>
        <d v="2024-05-28T00:00:00"/>
        <d v="2024-05-30T00:00:00"/>
        <d v="2024-06-02T00:00:00"/>
        <d v="2024-06-04T00:00:00"/>
        <d v="2024-06-05T00:00:00"/>
        <d v="2024-06-06T00:00:00"/>
        <d v="2024-06-08T00:00:00"/>
        <d v="2024-06-10T00:00:00"/>
        <d v="2024-06-11T00:00:00"/>
        <d v="2024-06-13T00:00:00"/>
        <d v="2024-06-15T00:00:00"/>
        <d v="2024-06-16T00:00:00"/>
        <d v="2024-06-19T00:00:00"/>
        <d v="2024-06-20T00:00:00"/>
        <d v="2024-06-23T00:00:00"/>
        <d v="2024-06-24T00:00:00"/>
        <d v="2024-06-29T00:00:00"/>
        <d v="2024-06-30T00:00:00"/>
        <d v="2024-07-01T00:00:00"/>
        <d v="2024-07-05T00:00:00"/>
        <d v="2024-07-07T00:00:00"/>
        <d v="2024-07-08T00:00:00"/>
        <d v="2024-07-10T00:00:00"/>
        <d v="2024-07-12T00:00:00"/>
        <d v="2024-07-13T00:00:00"/>
        <d v="2024-07-16T00:00:00"/>
        <d v="2024-07-20T00:00:00"/>
        <d v="2024-07-21T00:00:00"/>
        <d v="2024-07-25T00:00:00"/>
        <d v="2024-07-26T00:00:00"/>
        <d v="2024-07-28T00:00:00"/>
        <d v="2024-07-30T00:00:00"/>
        <d v="2024-08-01T00:00:00"/>
        <d v="2024-08-04T00:00:00"/>
        <d v="2024-08-05T00:00:00"/>
        <d v="2024-08-09T00:00:00"/>
        <d v="2024-08-10T00:00:00"/>
        <d v="2024-08-11T00:00:00"/>
        <d v="2024-08-12T00:00:00"/>
        <d v="2024-08-13T00:00:00"/>
        <d v="2024-08-14T00:00:00"/>
        <d v="2024-08-17T00:00:00"/>
        <d v="2024-08-18T00:00:00"/>
        <d v="2024-08-20T00:00:00"/>
        <d v="2024-08-21T00:00:00"/>
        <d v="2024-08-24T00:00:00"/>
        <d v="2024-08-26T00:00:00"/>
        <d v="2024-08-27T00:00:00"/>
        <d v="2024-08-28T00:00:00"/>
        <d v="2024-09-03T00:00:00"/>
        <d v="2024-09-04T00:00:00"/>
        <d v="2024-09-05T00:00:00"/>
        <d v="2024-09-07T00:00:00"/>
        <d v="2024-09-08T00:00:00"/>
        <d v="2024-09-09T00:00:00"/>
        <d v="2024-09-10T00:00:00"/>
        <d v="2024-09-13T00:00:00"/>
        <d v="2024-09-15T00:00:00"/>
        <d v="2024-09-16T00:00:00"/>
        <d v="2024-09-18T00:00:00"/>
        <d v="2024-09-23T00:00:00"/>
        <d v="2024-09-29T00:00:00"/>
        <d v="2024-10-03T00:00:00"/>
        <d v="2024-10-04T00:00:00"/>
        <d v="2024-10-06T00:00:00"/>
        <d v="2024-10-08T00:00:00"/>
        <d v="2024-10-14T00:00:00"/>
        <d v="2024-10-17T00:00:00"/>
        <d v="2024-10-18T00:00:00"/>
        <d v="2024-10-19T00:00:00"/>
        <d v="2024-10-20T00:00:00"/>
        <d v="2024-10-21T00:00:00"/>
        <d v="2024-10-22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3T00:00:00"/>
        <d v="2024-11-05T00:00:00"/>
        <d v="2024-11-06T00:00:00"/>
        <d v="2024-11-07T00:00:00"/>
        <d v="2024-11-09T00:00:00"/>
        <d v="2024-11-10T00:00:00"/>
        <d v="2024-11-11T00:00:00"/>
        <d v="2024-11-13T00:00:00"/>
        <d v="2024-11-15T00:00:00"/>
        <d v="2024-11-19T00:00:00"/>
        <d v="2024-11-22T00:00:00"/>
        <d v="2024-11-25T00:00:00"/>
        <d v="2024-11-26T00:00:00"/>
        <d v="2024-11-27T00:00:00"/>
        <d v="2024-11-28T00:00:00"/>
        <d v="2024-11-29T00:00:00"/>
        <d v="2024-12-01T00:00:00"/>
        <d v="2024-12-05T00:00:00"/>
        <d v="2024-12-06T00:00:00"/>
        <d v="2024-12-09T00:00:00"/>
        <d v="2024-12-10T00:00:00"/>
        <d v="2024-12-12T00:00:00"/>
        <d v="2024-12-14T00:00:00"/>
        <d v="2024-12-15T00:00:00"/>
        <d v="2024-12-16T00:00:00"/>
        <d v="2024-12-17T00:00:00"/>
        <d v="2024-12-23T00:00:00"/>
        <d v="2024-12-25T00:00:00"/>
        <d v="2024-12-28T00:00:00"/>
        <d v="2024-12-30T00:00:00"/>
        <d v="2024-12-31T00:00:00"/>
      </sharedItems>
      <fieldGroup par="20"/>
    </cacheField>
    <cacheField name="Ship Date" numFmtId="166">
      <sharedItems containsSemiMixedTypes="0" containsNonDate="0" containsDate="1" containsString="0" minDate="2021-01-06T00:00:00" maxDate="2025-01-07T00:00:00"/>
    </cacheField>
    <cacheField name="Ship Mode" numFmtId="0">
      <sharedItems/>
    </cacheField>
    <cacheField name="Customer ID" numFmtId="0">
      <sharedItems count="199">
        <s v="CU-1067"/>
        <s v="CU-1138"/>
        <s v="CU-1057"/>
        <s v="CU-1116"/>
        <s v="CU-1041"/>
        <s v="CU-1197"/>
        <s v="CU-1162"/>
        <s v="CU-1014"/>
        <s v="CU-1047"/>
        <s v="CU-1095"/>
        <s v="CU-1085"/>
        <s v="CU-1060"/>
        <s v="CU-1161"/>
        <s v="CU-1087"/>
        <s v="CU-1040"/>
        <s v="CU-1163"/>
        <s v="CU-1173"/>
        <s v="CU-1100"/>
        <s v="CU-1093"/>
        <s v="CU-1063"/>
        <s v="CU-1072"/>
        <s v="CU-1156"/>
        <s v="CU-1059"/>
        <s v="CU-1160"/>
        <s v="CU-1033"/>
        <s v="CU-1147"/>
        <s v="CU-1134"/>
        <s v="CU-1043"/>
        <s v="CU-1141"/>
        <s v="CU-1013"/>
        <s v="CU-1019"/>
        <s v="CU-1028"/>
        <s v="CU-1108"/>
        <s v="CU-1026"/>
        <s v="CU-1050"/>
        <s v="CU-1039"/>
        <s v="CU-1088"/>
        <s v="CU-1159"/>
        <s v="CU-1092"/>
        <s v="CU-1190"/>
        <s v="CU-1188"/>
        <s v="CU-1061"/>
        <s v="CU-1011"/>
        <s v="CU-1009"/>
        <s v="CU-1034"/>
        <s v="CU-1030"/>
        <s v="CU-1198"/>
        <s v="CU-1109"/>
        <s v="CU-1171"/>
        <s v="CU-1158"/>
        <s v="CU-1106"/>
        <s v="CU-1193"/>
        <s v="CU-1154"/>
        <s v="CU-1077"/>
        <s v="CU-1181"/>
        <s v="CU-1152"/>
        <s v="CU-1127"/>
        <s v="CU-1074"/>
        <s v="CU-1164"/>
        <s v="CU-1125"/>
        <s v="CU-1179"/>
        <s v="CU-1191"/>
        <s v="CU-1083"/>
        <s v="CU-1129"/>
        <s v="CU-1131"/>
        <s v="CU-1144"/>
        <s v="CU-1174"/>
        <s v="CU-1184"/>
        <s v="CU-1065"/>
        <s v="CU-1177"/>
        <s v="CU-1115"/>
        <s v="CU-1104"/>
        <s v="CU-1176"/>
        <s v="CU-1143"/>
        <s v="CU-1172"/>
        <s v="CU-1175"/>
        <s v="CU-1024"/>
        <s v="CU-1118"/>
        <s v="CU-1089"/>
        <s v="CU-1136"/>
        <s v="CU-1195"/>
        <s v="CU-1046"/>
        <s v="CU-1135"/>
        <s v="CU-1002"/>
        <s v="CU-1045"/>
        <s v="CU-1048"/>
        <s v="CU-1148"/>
        <s v="CU-1128"/>
        <s v="CU-1155"/>
        <s v="CU-1022"/>
        <s v="CU-1020"/>
        <s v="CU-1066"/>
        <s v="CU-1099"/>
        <s v="CU-1149"/>
        <s v="CU-1000"/>
        <s v="CU-1157"/>
        <s v="CU-1101"/>
        <s v="CU-1121"/>
        <s v="CU-1052"/>
        <s v="CU-1062"/>
        <s v="CU-1069"/>
        <s v="CU-1054"/>
        <s v="CU-1169"/>
        <s v="CU-1180"/>
        <s v="CU-1094"/>
        <s v="CU-1005"/>
        <s v="CU-1078"/>
        <s v="CU-1010"/>
        <s v="CU-1058"/>
        <s v="CU-1139"/>
        <s v="CU-1194"/>
        <s v="CU-1145"/>
        <s v="CU-1153"/>
        <s v="CU-1076"/>
        <s v="CU-1018"/>
        <s v="CU-1071"/>
        <s v="CU-1029"/>
        <s v="CU-1112"/>
        <s v="CU-1025"/>
        <s v="CU-1001"/>
        <s v="CU-1165"/>
        <s v="CU-1044"/>
        <s v="CU-1081"/>
        <s v="CU-1032"/>
        <s v="CU-1107"/>
        <s v="CU-1017"/>
        <s v="CU-1080"/>
        <s v="CU-1132"/>
        <s v="CU-1070"/>
        <s v="CU-1199"/>
        <s v="CU-1053"/>
        <s v="CU-1150"/>
        <s v="CU-1007"/>
        <s v="CU-1133"/>
        <s v="CU-1185"/>
        <s v="CU-1027"/>
        <s v="CU-1186"/>
        <s v="CU-1182"/>
        <s v="CU-1037"/>
        <s v="CU-1102"/>
        <s v="CU-1142"/>
        <s v="CU-1073"/>
        <s v="CU-1051"/>
        <s v="CU-1196"/>
        <s v="CU-1110"/>
        <s v="CU-1091"/>
        <s v="CU-1119"/>
        <s v="CU-1170"/>
        <s v="CU-1126"/>
        <s v="CU-1055"/>
        <s v="CU-1167"/>
        <s v="CU-1130"/>
        <s v="CU-1016"/>
        <s v="CU-1178"/>
        <s v="CU-1168"/>
        <s v="CU-1137"/>
        <s v="CU-1192"/>
        <s v="CU-1023"/>
        <s v="CU-1004"/>
        <s v="CU-1098"/>
        <s v="CU-1140"/>
        <s v="CU-1038"/>
        <s v="CU-1084"/>
        <s v="CU-1064"/>
        <s v="CU-1075"/>
        <s v="CU-1068"/>
        <s v="CU-1056"/>
        <s v="CU-1113"/>
        <s v="CU-1003"/>
        <s v="CU-1146"/>
        <s v="CU-1111"/>
        <s v="CU-1187"/>
        <s v="CU-1123"/>
        <s v="CU-1012"/>
        <s v="CU-1079"/>
        <s v="CU-1097"/>
        <s v="CU-1006"/>
        <s v="CU-1021"/>
        <s v="CU-1183"/>
        <s v="CU-1122"/>
        <s v="CU-1124"/>
        <s v="CU-1082"/>
        <s v="CU-1035"/>
        <s v="CU-1015"/>
        <s v="CU-1105"/>
        <s v="CU-1049"/>
        <s v="CU-1117"/>
        <s v="CU-1189"/>
        <s v="CU-1151"/>
        <s v="CU-1008"/>
        <s v="CU-1086"/>
        <s v="CU-1103"/>
        <s v="CU-1042"/>
        <s v="CU-1120"/>
        <s v="CU-1114"/>
        <s v="CU-1096"/>
        <s v="CU-1031"/>
        <s v="CU-1036"/>
        <s v="CU-1090"/>
      </sharedItems>
    </cacheField>
    <cacheField name="Customer Name" numFmtId="0">
      <sharedItems containsBlank="1" count="200">
        <s v="Karen Lee"/>
        <s v="Thomas Johnson"/>
        <s v="John Smith"/>
        <s v="Aisha Martin"/>
        <s v="Aisha Brown"/>
        <s v="William Moore"/>
        <s v="Jennifer Hernandez"/>
        <s v="Jessica Clark"/>
        <s v="Linda Martin"/>
        <s v="Maria Allen"/>
        <s v="Emma Hernandez"/>
        <s v="William Williams"/>
        <s v="John Jones"/>
        <s v="Ethan Martin"/>
        <s v="Sarah Anderson"/>
        <s v="Mary Williams"/>
        <s v="Thomas Wilson"/>
        <s v="Mary Brown"/>
        <s v="Lisa Hall"/>
        <s v="Susan Lewis"/>
        <s v="Elena Jones"/>
        <s v="Sofia Hall"/>
        <s v="Barbara Williams"/>
        <s v="Jennifer Lewis"/>
        <s v="Olivia Wilson"/>
        <s v="Ethan Davis"/>
        <s v="Linda Harris"/>
        <s v="Richard Martinez"/>
        <s v="Maria Clark"/>
        <s v="Carlos Brown"/>
        <s v="Wei Wright"/>
        <s v="Olivia Jackson"/>
        <s v="Elena Walker"/>
        <s v="Jennifer Garcia"/>
        <s v="Carlos Jones"/>
        <s v="Omar Miller"/>
        <s v="Charles Martin"/>
        <s v="Sofia Thompson"/>
        <s v="Wei Johnson"/>
        <s v="Susan Davis"/>
        <s v="William White"/>
        <s v="Jessica Martin"/>
        <s v="Karen Jones"/>
        <s v="Jennifer Harris"/>
        <s v="Richard Miller"/>
        <s v="Maria Johnson"/>
        <s v="Michael Davis"/>
        <s v="Susan Moore"/>
        <s v="Aisha Moore"/>
        <s v="James Taylor"/>
        <s v="John Lee"/>
        <s v="Omar Walker"/>
        <s v="Maria Hall"/>
        <s v="Jessica Hill"/>
        <s v="Carlos Harris"/>
        <s v="Maria Hill"/>
        <s v="Sarah Davis"/>
        <s v="Aisha Martinez"/>
        <s v="Priya Hernandez"/>
        <s v="Sofia Davis"/>
        <s v="Lucas Walker"/>
        <s v="Sarah Clark"/>
        <s v="Noah Wright"/>
        <s v="Patricia Miller"/>
        <s v="James Young"/>
        <s v="Emma Smith"/>
        <s v="Omar Williams"/>
        <s v="Barbara Young"/>
        <s v="Richard Wright"/>
        <s v="Charles Lewis"/>
        <s v="Ethan King"/>
        <s v="Mary Robinson"/>
        <s v="Olivia Walker"/>
        <s v="Jennifer Clark"/>
        <s v="Joseph Lee"/>
        <s v="Charles Clark"/>
        <s v="Noah Smith"/>
        <s v="Lucas Moore"/>
        <s v="Jennifer Wilson"/>
        <s v="Linda Wright"/>
        <s v="Sofia Allen"/>
        <s v="Susan Jones"/>
        <s v="Patricia Anderson"/>
        <s v="Jessica Harris"/>
        <s v="Sofia Hill"/>
        <s v="Noah Clark"/>
        <s v="David Robinson"/>
        <s v="Wei King"/>
        <s v="Sarah Hall"/>
        <s v="Susan Hill"/>
        <s v="Linda Moore"/>
        <s v="Mary Jackson"/>
        <s v="Wei Moore"/>
        <s v="Joseph Davis"/>
        <s v="Linda Johnson"/>
        <s v="John Wilson"/>
        <s v="John Johnson"/>
        <s v="Joseph Walker"/>
        <s v="Sarah Walker"/>
        <s v="Barbara Martin"/>
        <s v="Michael Hernandez"/>
        <s v="Thomas Davis"/>
        <s v="Lisa Jackson"/>
        <s v="Priya Miller"/>
        <s v="Joseph Moore"/>
        <s v="Maria Miller"/>
        <s v="Jennifer Martinez"/>
        <s v="Priya Anderson"/>
        <s v="Omar Hernandez"/>
        <s v="Susan Lopez"/>
        <s v="John Robinson"/>
        <s v="Noah Walker"/>
        <s v="Lisa Scott"/>
        <s v="Elena Clark"/>
        <s v="Barbara Anderson"/>
        <s v="John Hernandez"/>
        <s v="Noah King"/>
        <s v="Carlos Thomas"/>
        <s v="Priya Robinson"/>
        <s v="Michael Garcia"/>
        <s v="Susan Anderson"/>
        <s v="Olivia Brown"/>
        <s v="Richard Hall"/>
        <s v="Robert Hill"/>
        <s v="Emma Lewis"/>
        <s v="Joseph Wilson"/>
        <s v="Sarah Lopez"/>
        <s v="John Harris"/>
        <s v="Emma Davis"/>
        <s v="Raj Lewis"/>
        <s v="Lisa Smith"/>
        <s v="Emma Moore"/>
        <s v="Linda Hall"/>
        <s v="Lucas Jones"/>
        <s v="John Walker"/>
        <s v="William Lopez"/>
        <s v="Priya Lee"/>
        <s v="Lisa Young"/>
        <s v="Sarah Jackson"/>
        <s v="Linda White"/>
        <s v="Ethan Martinez"/>
        <s v="Linda Robinson"/>
        <s v="Olivia White"/>
        <s v="Omar Jones"/>
        <s v="Karen Clark"/>
        <s v="Olivia Wright"/>
        <s v="Richard Clark"/>
        <s v="Wei Lee"/>
        <s v="Patricia Taylor"/>
        <s v="Charles White"/>
        <s v="Thomas Smith"/>
        <m/>
        <s v="Olivia Thompson"/>
        <s v="Joseph Allen"/>
        <s v="Omar Lee"/>
        <s v="Emma Scott"/>
        <s v="William Young"/>
        <s v="Emma Jackson"/>
        <s v="David Hernandez"/>
        <s v="Wei Clark"/>
        <s v="Elena Scott"/>
        <s v="Elena Thomas"/>
        <s v="Lucas Wilson"/>
        <s v="David Miller"/>
        <s v="Wei Thomas"/>
        <s v="Linda Thompson"/>
        <s v="Maria Moore"/>
        <s v="Olivia Young"/>
        <s v="Jessica Moore"/>
        <s v="Sarah Wright"/>
        <s v="Jennifer White"/>
        <s v="William Scott"/>
        <s v="Lucas Hall"/>
        <s v="Lisa Harris"/>
        <s v="Elena Wilson"/>
        <s v="Ahmed Thompson"/>
        <s v="David Wright"/>
        <s v="Linda Miller"/>
        <s v="Karen Williams"/>
        <s v="Sofia King"/>
        <s v="James Miller"/>
        <s v="Elena Young"/>
        <s v="Lucas Taylor"/>
        <s v="Ethan Thompson"/>
        <s v="Sarah Miller"/>
        <s v="Thomas Allen"/>
        <s v="Noah Lee"/>
        <s v="Maria Taylor"/>
        <s v="Wei Jackson"/>
        <s v="Priya Jackson"/>
        <s v="Omar Thompson"/>
        <s v="David Davis"/>
        <s v="Thomas Wright"/>
        <s v="Jessica Lopez"/>
        <s v="Richard Garcia"/>
        <s v="Olivia Johnson"/>
        <s v="Jennifer Anderson"/>
        <s v="Robert Brown"/>
        <s v="Michael Brown"/>
        <s v="Barbara White"/>
      </sharedItems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ntainsBlank="1" count="5">
        <s v="South"/>
        <s v="East"/>
        <s v="Central"/>
        <s v="West"/>
        <m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Chairs"/>
        <s v="Copiers"/>
        <s v="Accessories"/>
        <s v="Tables"/>
        <s v="Storage"/>
        <s v="Appliances"/>
        <s v="Furnishings"/>
        <s v="Bookcases"/>
        <s v="Phones"/>
        <s v="Machines"/>
        <s v="Art"/>
        <s v="Envelopes"/>
        <s v="Binders"/>
        <s v="Labels"/>
        <s v="Supplies"/>
        <s v="Fasteners"/>
        <s v="Paper"/>
      </sharedItems>
    </cacheField>
    <cacheField name="Product ID" numFmtId="0">
      <sharedItems/>
    </cacheField>
    <cacheField name="Sales" numFmtId="165">
      <sharedItems containsSemiMixedTypes="0" containsString="0" containsNumber="1" minValue="2.81" maxValue="31188.799999999999" count="997">
        <n v="2328.75"/>
        <n v="1451.69"/>
        <n v="8500.1"/>
        <n v="580.85"/>
        <n v="560.62"/>
        <n v="1823.94"/>
        <n v="294.77"/>
        <n v="893.27"/>
        <n v="280.98"/>
        <n v="141.19"/>
        <n v="4422.34"/>
        <n v="3703.92"/>
        <n v="440.16"/>
        <n v="625.67999999999995"/>
        <n v="7792.22"/>
        <n v="371"/>
        <n v="2151.21"/>
        <n v="1459.1"/>
        <n v="115.16"/>
        <n v="6244.18"/>
        <n v="6.08"/>
        <n v="102.46"/>
        <n v="1344.14"/>
        <n v="1095.8800000000001"/>
        <n v="258.3"/>
        <n v="2043.72"/>
        <n v="559.67999999999995"/>
        <n v="9864.93"/>
        <n v="2487.34"/>
        <n v="203.49"/>
        <n v="189.76"/>
        <n v="117.38"/>
        <n v="16.16"/>
        <n v="5127.41"/>
        <n v="5000.8599999999997"/>
        <n v="1353.02"/>
        <n v="2468.64"/>
        <n v="138.1"/>
        <n v="413.33"/>
        <n v="171.36"/>
        <n v="1262.8499999999999"/>
        <n v="1190.7"/>
        <n v="1724.48"/>
        <n v="348.39"/>
        <n v="287.48"/>
        <n v="538.25"/>
        <n v="10836.72"/>
        <n v="10857.27"/>
        <n v="93.57"/>
        <n v="512.78"/>
        <n v="1082.83"/>
        <n v="113.47"/>
        <n v="234.96"/>
        <n v="1443"/>
        <n v="331.48"/>
        <n v="1339.76"/>
        <n v="1429.04"/>
        <n v="6427.9"/>
        <n v="609.95000000000005"/>
        <n v="757.76"/>
        <n v="1900.87"/>
        <n v="180.94"/>
        <n v="237.38"/>
        <n v="1377.12"/>
        <n v="1876.18"/>
        <n v="1450.68"/>
        <n v="30.18"/>
        <n v="5680.86"/>
        <n v="2107.77"/>
        <n v="279.36"/>
        <n v="58.77"/>
        <n v="314.82"/>
        <n v="468.96"/>
        <n v="2327.34"/>
        <n v="973.85"/>
        <n v="436.95"/>
        <n v="78.650000000000006"/>
        <n v="1120.77"/>
        <n v="28.38"/>
        <n v="158.59"/>
        <n v="449.76"/>
        <n v="2010.76"/>
        <n v="213.93"/>
        <n v="223.72"/>
        <n v="734.04"/>
        <n v="7150.32"/>
        <n v="724.05"/>
        <n v="1418.34"/>
        <n v="1230.48"/>
        <n v="3927"/>
        <n v="209.08"/>
        <n v="1933.22"/>
        <n v="1554.75"/>
        <n v="257.49"/>
        <n v="70.040000000000006"/>
        <n v="2765.08"/>
        <n v="714.7"/>
        <n v="1628.62"/>
        <n v="6242.9"/>
        <n v="973.98"/>
        <n v="1082.0899999999999"/>
        <n v="1163.96"/>
        <n v="12155.36"/>
        <n v="39"/>
        <n v="20.440000000000001"/>
        <n v="9.6199999999999992"/>
        <n v="10077.16"/>
        <n v="1153.53"/>
        <n v="34.97"/>
        <n v="1324.45"/>
        <n v="149.80000000000001"/>
        <n v="1922.99"/>
        <n v="18847.8"/>
        <n v="1573.09"/>
        <n v="182.68"/>
        <n v="458.38"/>
        <n v="253.73"/>
        <n v="1444.5"/>
        <n v="1250.93"/>
        <n v="1053.67"/>
        <n v="1727.45"/>
        <n v="5130.6499999999996"/>
        <n v="570.1"/>
        <n v="633.47"/>
        <n v="954.56"/>
        <n v="857.46"/>
        <n v="6022.24"/>
        <n v="290.57"/>
        <n v="138.49"/>
        <n v="67.64"/>
        <n v="527.04"/>
        <n v="8954.91"/>
        <n v="437.95"/>
        <n v="1932.7"/>
        <n v="264.52"/>
        <n v="258.44"/>
        <n v="26.87"/>
        <n v="17612.240000000002"/>
        <n v="1139.04"/>
        <n v="1594.77"/>
        <n v="3121.8"/>
        <n v="1584.88"/>
        <n v="714.96"/>
        <n v="56.34"/>
        <n v="1778.16"/>
        <n v="782.33"/>
        <n v="238.84"/>
        <n v="183.02"/>
        <n v="17571.900000000001"/>
        <n v="858.68"/>
        <n v="194.59"/>
        <n v="249.35"/>
        <n v="1790.42"/>
        <n v="940.42"/>
        <n v="173.61"/>
        <n v="948.24"/>
        <n v="39.89"/>
        <n v="91.08"/>
        <n v="434.35"/>
        <n v="228.51"/>
        <n v="53.42"/>
        <n v="1238.98"/>
        <n v="294.58"/>
        <n v="713.49"/>
        <n v="198.41"/>
        <n v="126.38"/>
        <n v="98.98"/>
        <n v="679.32"/>
        <n v="183.57"/>
        <n v="5111.7"/>
        <n v="289.29000000000002"/>
        <n v="1403.21"/>
        <n v="198.98"/>
        <n v="1263.32"/>
        <n v="1088.17"/>
        <n v="4153.9399999999996"/>
        <n v="142.22999999999999"/>
        <n v="2173.96"/>
        <n v="514.52"/>
        <n v="289.06"/>
        <n v="1525.5"/>
        <n v="305.04000000000002"/>
        <n v="1650.53"/>
        <n v="28.14"/>
        <n v="136.51"/>
        <n v="85.15"/>
        <n v="2689.39"/>
        <n v="125.41"/>
        <n v="2372.25"/>
        <n v="239.1"/>
        <n v="122.45"/>
        <n v="5776.15"/>
        <n v="526.05999999999995"/>
        <n v="206.31"/>
        <n v="126.76"/>
        <n v="13616.24"/>
        <n v="10066.43"/>
        <n v="373.77"/>
        <n v="3.28"/>
        <n v="4417.08"/>
        <n v="1434.82"/>
        <n v="3731.75"/>
        <n v="722.34"/>
        <n v="2395.36"/>
        <n v="43.27"/>
        <n v="699.92"/>
        <n v="32.799999999999997"/>
        <n v="2757.44"/>
        <n v="1741.34"/>
        <n v="6611.12"/>
        <n v="3065.86"/>
        <n v="302.19"/>
        <n v="1931.1"/>
        <n v="848.9"/>
        <n v="279.66000000000003"/>
        <n v="5442.92"/>
        <n v="516.41999999999996"/>
        <n v="794.92"/>
        <n v="438.9"/>
        <n v="1079.24"/>
        <n v="8619.17"/>
        <n v="1388.76"/>
        <n v="1516.96"/>
        <n v="235.14"/>
        <n v="9.76"/>
        <n v="1288.05"/>
        <n v="354.23"/>
        <n v="3230.01"/>
        <n v="2046.9"/>
        <n v="3591.79"/>
        <n v="392.67"/>
        <n v="2402.7600000000002"/>
        <n v="676.99"/>
        <n v="108.03"/>
        <n v="12483.55"/>
        <n v="27780.51"/>
        <n v="1770.51"/>
        <n v="1061.04"/>
        <n v="47.44"/>
        <n v="3924.7"/>
        <n v="1194.1500000000001"/>
        <n v="1188.08"/>
        <n v="6939.13"/>
        <n v="168.41"/>
        <n v="161.63999999999999"/>
        <n v="344.33"/>
        <n v="88.06"/>
        <n v="13410.29"/>
        <n v="64.98"/>
        <n v="393.36"/>
        <n v="3315.92"/>
        <n v="27.95"/>
        <n v="191.65"/>
        <n v="1025.3900000000001"/>
        <n v="988.53"/>
        <n v="5684.98"/>
        <n v="45.32"/>
        <n v="18.32"/>
        <n v="32.479999999999997"/>
        <n v="179.32"/>
        <n v="903.52"/>
        <n v="5289.08"/>
        <n v="7.2"/>
        <n v="6855.8"/>
        <n v="67.78"/>
        <n v="1286.51"/>
        <n v="70.150000000000006"/>
        <n v="3283.8"/>
        <n v="323.19"/>
        <n v="3694.48"/>
        <n v="1877.55"/>
        <n v="106.8"/>
        <n v="135.78"/>
        <n v="1658.31"/>
        <n v="89.19"/>
        <n v="196"/>
        <n v="1036.29"/>
        <n v="170.94"/>
        <n v="1458.74"/>
        <n v="2044.02"/>
        <n v="6633.15"/>
        <n v="218.2"/>
        <n v="178.59"/>
        <n v="857.95"/>
        <n v="741.63"/>
        <n v="2593.4699999999998"/>
        <n v="21.43"/>
        <n v="154.44999999999999"/>
        <n v="30.66"/>
        <n v="57.41"/>
        <n v="304.70999999999998"/>
        <n v="7941.51"/>
        <n v="329.22"/>
        <n v="167.14"/>
        <n v="56.46"/>
        <n v="887.56"/>
        <n v="1315.2"/>
        <n v="358.31"/>
        <n v="458.88"/>
        <n v="511.68"/>
        <n v="740.69"/>
        <n v="3905.75"/>
        <n v="406.3"/>
        <n v="88.74"/>
        <n v="4875.3900000000003"/>
        <n v="192.15"/>
        <n v="651.28"/>
        <n v="832.5"/>
        <n v="367.12"/>
        <n v="73.2"/>
        <n v="114.07"/>
        <n v="255.4"/>
        <n v="1156.75"/>
        <n v="391.67"/>
        <n v="1621.86"/>
        <n v="780.14"/>
        <n v="1576.15"/>
        <n v="6784.83"/>
        <n v="2566.35"/>
        <n v="1018.94"/>
        <n v="175.44"/>
        <n v="952.6"/>
        <n v="1876.7"/>
        <n v="1608.84"/>
        <n v="24.52"/>
        <n v="3338.72"/>
        <n v="15335.1"/>
        <n v="658.22"/>
        <n v="806.52"/>
        <n v="153.01"/>
        <n v="17.34"/>
        <n v="1372.46"/>
        <n v="463.8"/>
        <n v="2030.14"/>
        <n v="13410.77"/>
        <n v="33.57"/>
        <n v="1738.73"/>
        <n v="1924.62"/>
        <n v="77.209999999999994"/>
        <n v="243.8"/>
        <n v="604.55999999999995"/>
        <n v="2818.53"/>
        <n v="15435.36"/>
        <n v="1790.46"/>
        <n v="86.34"/>
        <n v="2896.6"/>
        <n v="43.7"/>
        <n v="315.43"/>
        <n v="1069.44"/>
        <n v="3329.26"/>
        <n v="277.13"/>
        <n v="4412.25"/>
        <n v="93.94"/>
        <n v="136.13999999999999"/>
        <n v="185.36"/>
        <n v="396.66"/>
        <n v="987.98"/>
        <n v="78.459999999999994"/>
        <n v="15292.94"/>
        <n v="28.77"/>
        <n v="740.65"/>
        <n v="575.84"/>
        <n v="1463.6"/>
        <n v="1008.9"/>
        <n v="709.14"/>
        <n v="569.70000000000005"/>
        <n v="2831.66"/>
        <n v="55.46"/>
        <n v="9898.7199999999993"/>
        <n v="15.03"/>
        <n v="343.64"/>
        <n v="186.2"/>
        <n v="247.18"/>
        <n v="834.25"/>
        <n v="78.08"/>
        <n v="458.22"/>
        <n v="86.1"/>
        <n v="138.55000000000001"/>
        <n v="310.8"/>
        <n v="7458.16"/>
        <n v="1368.86"/>
        <n v="215.53"/>
        <n v="946.79"/>
        <n v="150.86000000000001"/>
        <n v="5694.02"/>
        <n v="886.79"/>
        <n v="10111.14"/>
        <n v="296.63"/>
        <n v="536.24"/>
        <n v="202.49"/>
        <n v="1095.1199999999999"/>
        <n v="9448.7999999999993"/>
        <n v="17.11"/>
        <n v="2058.36"/>
        <n v="3078.42"/>
        <n v="613.85"/>
        <n v="466.7"/>
        <n v="1235.6600000000001"/>
        <n v="555.79"/>
        <n v="50.78"/>
        <n v="5979.49"/>
        <n v="487.95"/>
        <n v="2025.26"/>
        <n v="11804.56"/>
        <n v="21.1"/>
        <n v="391.48"/>
        <n v="3460.77"/>
        <n v="1058.8900000000001"/>
        <n v="11356.97"/>
        <n v="698.08"/>
        <n v="1345.15"/>
        <n v="383.13"/>
        <n v="382.97"/>
        <n v="177.83"/>
        <n v="306.08999999999997"/>
        <n v="16.48"/>
        <n v="27.72"/>
        <n v="40.26"/>
        <n v="9934.9"/>
        <n v="60.94"/>
        <n v="1528.5"/>
        <n v="152.55000000000001"/>
        <n v="886.06"/>
        <n v="15"/>
        <n v="335.64"/>
        <n v="4775.87"/>
        <n v="519.48"/>
        <n v="67.91"/>
        <n v="2572.54"/>
        <n v="3159.12"/>
        <n v="297.89999999999998"/>
        <n v="3001.72"/>
        <n v="534.29999999999995"/>
        <n v="1410"/>
        <n v="3549.64"/>
        <n v="249.23"/>
        <n v="731.5"/>
        <n v="301.56"/>
        <n v="647"/>
        <n v="96.6"/>
        <n v="651.78"/>
        <n v="1314.9"/>
        <n v="99.5"/>
        <n v="65.69"/>
        <n v="1663.26"/>
        <n v="358.57"/>
        <n v="949.05"/>
        <n v="17829.560000000001"/>
        <n v="216.49"/>
        <n v="654.5"/>
        <n v="383.04"/>
        <n v="981.64"/>
        <n v="277.55"/>
        <n v="110.74"/>
        <n v="6186.94"/>
        <n v="284.60000000000002"/>
        <n v="557.79"/>
        <n v="5959.52"/>
        <n v="29.43"/>
        <n v="2038.36"/>
        <n v="774.26"/>
        <n v="942.78"/>
        <n v="290.04000000000002"/>
        <n v="13343.33"/>
        <n v="974.85"/>
        <n v="1436"/>
        <n v="3360.3"/>
        <n v="282.45999999999998"/>
        <n v="262.38"/>
        <n v="25.57"/>
        <n v="182.8"/>
        <n v="745.87"/>
        <n v="985.74"/>
        <n v="55.05"/>
        <n v="550.45000000000005"/>
        <n v="15.96"/>
        <n v="381.8"/>
        <n v="136.69999999999999"/>
        <n v="63.1"/>
        <n v="357.12"/>
        <n v="1966.1"/>
        <n v="184.08"/>
        <n v="1491.35"/>
        <n v="132.47"/>
        <n v="1617.17"/>
        <n v="103.89"/>
        <n v="771.01"/>
        <n v="414.56"/>
        <n v="69.790000000000006"/>
        <n v="9840.74"/>
        <n v="76.88"/>
        <n v="3793.58"/>
        <n v="621.67999999999995"/>
        <n v="4233.2"/>
        <n v="880.39"/>
        <n v="474.98"/>
        <n v="2113.5300000000002"/>
        <n v="293.08"/>
        <n v="5319.54"/>
        <n v="71.180000000000007"/>
        <n v="66.59"/>
        <n v="5931.46"/>
        <n v="3640.63"/>
        <n v="261.52"/>
        <n v="1169.26"/>
        <n v="2247.6999999999998"/>
        <n v="850.62"/>
        <n v="170.5"/>
        <n v="898.72"/>
        <n v="470.12"/>
        <n v="1126.3"/>
        <n v="736.33"/>
        <n v="524.97"/>
        <n v="1294.48"/>
        <n v="3252.8"/>
        <n v="2803.7"/>
        <n v="268.33999999999997"/>
        <n v="122.11"/>
        <n v="149.69"/>
        <n v="3934.3"/>
        <n v="2511.14"/>
        <n v="1064.75"/>
        <n v="310.33999999999997"/>
        <n v="34.81"/>
        <n v="806.91"/>
        <n v="800.24"/>
        <n v="348.24"/>
        <n v="1296.24"/>
        <n v="6517.52"/>
        <n v="2635.61"/>
        <n v="4998.25"/>
        <n v="116.77"/>
        <n v="1083.1500000000001"/>
        <n v="394.6"/>
        <n v="134.96"/>
        <n v="15.45"/>
        <n v="73.22"/>
        <n v="354.44"/>
        <n v="886.89"/>
        <n v="3253.88"/>
        <n v="273.24"/>
        <n v="11203.54"/>
        <n v="1564.16"/>
        <n v="1530.05"/>
        <n v="826.7"/>
        <n v="6078.56"/>
        <n v="1452.91"/>
        <n v="39.270000000000003"/>
        <n v="192.46"/>
        <n v="3277.23"/>
        <n v="2628.31"/>
        <n v="1368.26"/>
        <n v="2306.33"/>
        <n v="314.5"/>
        <n v="1011.53"/>
        <n v="2445.38"/>
        <n v="90.08"/>
        <n v="637.74"/>
        <n v="926.4"/>
        <n v="72.95"/>
        <n v="15.88"/>
        <n v="41.47"/>
        <n v="15.64"/>
        <n v="6536.36"/>
        <n v="341.46"/>
        <n v="265.14"/>
        <n v="783"/>
        <n v="193.05"/>
        <n v="327.83"/>
        <n v="20.58"/>
        <n v="5263.68"/>
        <n v="1852.92"/>
        <n v="603.65"/>
        <n v="1475.09"/>
        <n v="327.36"/>
        <n v="856"/>
        <n v="1469.72"/>
        <n v="2944.8"/>
        <n v="2534.17"/>
        <n v="806.95"/>
        <n v="9305.49"/>
        <n v="5013.12"/>
        <n v="1773.74"/>
        <n v="3178.7"/>
        <n v="10474.709999999999"/>
        <n v="1765.94"/>
        <n v="6174.5"/>
        <n v="218.03"/>
        <n v="557.35"/>
        <n v="758.44"/>
        <n v="521.99"/>
        <n v="59.74"/>
        <n v="434.62"/>
        <n v="228.34"/>
        <n v="5737.98"/>
        <n v="2188.9699999999998"/>
        <n v="3562.86"/>
        <n v="297.17"/>
        <n v="1043.6400000000001"/>
        <n v="16699.12"/>
        <n v="2205.79"/>
        <n v="753.5"/>
        <n v="1230.8800000000001"/>
        <n v="797.41"/>
        <n v="378.43"/>
        <n v="652.24"/>
        <n v="13765.72"/>
        <n v="77.56"/>
        <n v="563.57000000000005"/>
        <n v="216.64"/>
        <n v="2447.52"/>
        <n v="8206.7000000000007"/>
        <n v="2546.84"/>
        <n v="536.38"/>
        <n v="2509.7800000000002"/>
        <n v="1893.93"/>
        <n v="438.84"/>
        <n v="174.73"/>
        <n v="630.19000000000005"/>
        <n v="1118"/>
        <n v="6402.16"/>
        <n v="101.44"/>
        <n v="643.84"/>
        <n v="413.09"/>
        <n v="820.36"/>
        <n v="206.15"/>
        <n v="2510.8000000000002"/>
        <n v="730.64"/>
        <n v="169.88"/>
        <n v="25401.06"/>
        <n v="1272.78"/>
        <n v="201.32"/>
        <n v="4655.1000000000004"/>
        <n v="1085.26"/>
        <n v="20214.740000000002"/>
        <n v="9249.39"/>
        <n v="1397.4"/>
        <n v="43.92"/>
        <n v="419.16"/>
        <n v="2660.39"/>
        <n v="1333.08"/>
        <n v="113.33"/>
        <n v="105"/>
        <n v="3169.82"/>
        <n v="3767.33"/>
        <n v="147.63"/>
        <n v="46.32"/>
        <n v="2568.36"/>
        <n v="620.91999999999996"/>
        <n v="306.39999999999998"/>
        <n v="22157.32"/>
        <n v="152.91"/>
        <n v="1048.52"/>
        <n v="1324.86"/>
        <n v="3327.48"/>
        <n v="3507.79"/>
        <n v="300.3"/>
        <n v="3615"/>
        <n v="31.67"/>
        <n v="483.17"/>
        <n v="806.44"/>
        <n v="54.2"/>
        <n v="17.260000000000002"/>
        <n v="317.92"/>
        <n v="7.47"/>
        <n v="1818.8"/>
        <n v="469.49"/>
        <n v="3188.85"/>
        <n v="335.92"/>
        <n v="48.12"/>
        <n v="1844.76"/>
        <n v="5266.17"/>
        <n v="505.89"/>
        <n v="352.44"/>
        <n v="217.5"/>
        <n v="5021.97"/>
        <n v="259.7"/>
        <n v="1465.76"/>
        <n v="1482.33"/>
        <n v="66.319999999999993"/>
        <n v="618.9"/>
        <n v="1725.18"/>
        <n v="1410.22"/>
        <n v="3570.24"/>
        <n v="73.62"/>
        <n v="487.35"/>
        <n v="15.04"/>
        <n v="220.75"/>
        <n v="3373.25"/>
        <n v="245.3"/>
        <n v="229.56"/>
        <n v="19820.400000000001"/>
        <n v="16675.64"/>
        <n v="599.6"/>
        <n v="8.39"/>
        <n v="86.2"/>
        <n v="759.4"/>
        <n v="173.23"/>
        <n v="2241.21"/>
        <n v="6738.84"/>
        <n v="397.4"/>
        <n v="2749.43"/>
        <n v="25163.5"/>
        <n v="4754.22"/>
        <n v="7846.92"/>
        <n v="7029.6"/>
        <n v="1878.14"/>
        <n v="23.31"/>
        <n v="47.46"/>
        <n v="1645.02"/>
        <n v="7257"/>
        <n v="211.18"/>
        <n v="4716.12"/>
        <n v="7040.1"/>
        <n v="2252.48"/>
        <n v="4491.84"/>
        <n v="784.46"/>
        <n v="2476.8000000000002"/>
        <n v="110.93"/>
        <n v="50.4"/>
        <n v="461.52"/>
        <n v="31188.799999999999"/>
        <n v="111.53"/>
        <n v="178.17"/>
        <n v="3066.84"/>
        <n v="983.28"/>
        <n v="1396.58"/>
        <n v="481.92"/>
        <n v="237.95"/>
        <n v="177.12"/>
        <n v="174.6"/>
        <n v="43.44"/>
        <n v="16308.48"/>
        <n v="397.73"/>
        <n v="377.99"/>
        <n v="89.51"/>
        <n v="15156.06"/>
        <n v="9090.36"/>
        <n v="3343.41"/>
        <n v="1222.47"/>
        <n v="126.5"/>
        <n v="711.4"/>
        <n v="5026.8999999999996"/>
        <n v="404.82"/>
        <n v="2185.5700000000002"/>
        <n v="290.58"/>
        <n v="200.88"/>
        <n v="377.16"/>
        <n v="117.65"/>
        <n v="2309.04"/>
        <n v="2531.04"/>
        <n v="3409.6"/>
        <n v="499.38"/>
        <n v="3615.93"/>
        <n v="301.26"/>
        <n v="1359.79"/>
        <n v="215.45"/>
        <n v="131.94"/>
        <n v="5988.89"/>
        <n v="4762.0600000000004"/>
        <n v="859.31"/>
        <n v="11096"/>
        <n v="351.98"/>
        <n v="4431.3"/>
        <n v="156.30000000000001"/>
        <n v="893.12"/>
        <n v="702.07"/>
        <n v="3070"/>
        <n v="741.22"/>
        <n v="79.78"/>
        <n v="4667.2"/>
        <n v="1333.87"/>
        <n v="645.12"/>
        <n v="87.67"/>
        <n v="2709.15"/>
        <n v="12.45"/>
        <n v="10950.97"/>
        <n v="749.14"/>
        <n v="2284.8000000000002"/>
        <n v="280.7"/>
        <n v="1625.49"/>
        <n v="908.26"/>
        <n v="73.760000000000005"/>
        <n v="52.36"/>
        <n v="7096.4"/>
        <n v="1193.3"/>
        <n v="864.05"/>
        <n v="61.67"/>
        <n v="381.17"/>
        <n v="103.44"/>
        <n v="4786.28"/>
        <n v="1604.88"/>
        <n v="1007.76"/>
        <n v="15719.69"/>
        <n v="615.45000000000005"/>
        <n v="624.5"/>
        <n v="415.32"/>
        <n v="2268.0700000000002"/>
        <n v="945.45"/>
        <n v="2487.9"/>
        <n v="570.05999999999995"/>
        <n v="936.35"/>
        <n v="1063.5"/>
        <n v="2616.0500000000002"/>
        <n v="125.16"/>
        <n v="15.65"/>
        <n v="9278.06"/>
        <n v="1360.45"/>
        <n v="587.16"/>
        <n v="6663.87"/>
        <n v="766.38"/>
        <n v="232.32"/>
        <n v="2320.1799999999998"/>
        <n v="136.04"/>
        <n v="12.31"/>
        <n v="1030.05"/>
        <n v="91.6"/>
        <n v="288.55"/>
        <n v="191.62"/>
        <n v="24.17"/>
        <n v="199.43"/>
        <n v="209.9"/>
        <n v="243.83"/>
        <n v="163.34"/>
        <n v="9707.8799999999992"/>
        <n v="1225.1199999999999"/>
        <n v="685.55"/>
        <n v="10346.89"/>
        <n v="325.35000000000002"/>
        <n v="31.86"/>
        <n v="764.88"/>
        <n v="138.81"/>
        <n v="3380.4"/>
        <n v="80.650000000000006"/>
        <n v="1624.97"/>
        <n v="1025.3499999999999"/>
        <n v="506.49"/>
        <n v="637.4"/>
        <n v="1500.58"/>
        <n v="400.57"/>
        <n v="1648.87"/>
        <n v="230"/>
        <n v="475.2"/>
        <n v="1070.55"/>
        <n v="104.65"/>
        <n v="2808.34"/>
        <n v="992.97"/>
        <n v="768.51"/>
        <n v="838.39"/>
        <n v="485.72"/>
        <n v="5385.73"/>
        <n v="1168.2"/>
        <n v="398.24"/>
        <n v="361"/>
        <n v="2103.0700000000002"/>
        <n v="1745.76"/>
        <n v="1425.62"/>
        <n v="632.07000000000005"/>
        <n v="5325.48"/>
        <n v="50.06"/>
        <n v="294.83999999999997"/>
        <n v="49.19"/>
        <n v="127.82"/>
        <n v="3679.32"/>
        <n v="305.89"/>
        <n v="2772.35"/>
        <n v="17326"/>
        <n v="276.11"/>
        <n v="493.16"/>
        <n v="13.27"/>
        <n v="20784.259999999998"/>
        <n v="1357.11"/>
        <n v="410.48"/>
        <n v="420.84"/>
        <n v="2530.36"/>
        <n v="34.200000000000003"/>
        <n v="2.81"/>
        <n v="6992.64"/>
        <n v="40.799999999999997"/>
        <n v="77.7"/>
        <n v="110.3"/>
        <n v="1111.52"/>
        <n v="1147.1600000000001"/>
        <n v="239.69"/>
        <n v="10.34"/>
        <n v="1428.52"/>
        <n v="232.72"/>
        <n v="1700.4"/>
        <n v="814.38"/>
        <n v="252.6"/>
        <n v="386.23"/>
        <n v="1767.08"/>
        <n v="1396.32"/>
        <n v="2000.97"/>
        <n v="320.04000000000002"/>
        <n v="630.79999999999995"/>
        <n v="36.979999999999997"/>
        <n v="5050.08"/>
        <n v="995.3"/>
        <n v="19007.45"/>
        <n v="7430.9"/>
        <n v="195.48"/>
        <n v="1607.06"/>
        <n v="207.8"/>
        <n v="286.17"/>
        <n v="30.58"/>
        <n v="7423.02"/>
        <n v="92.15"/>
        <n v="482.08"/>
        <n v="5391.14"/>
        <n v="1723.63"/>
        <n v="81.06"/>
        <n v="4452.5200000000004"/>
        <n v="100.84"/>
        <n v="3773.8"/>
        <n v="14"/>
        <n v="2953.78"/>
        <n v="100.89"/>
        <n v="586.66"/>
        <n v="71.23"/>
        <n v="1706.3"/>
        <n v="389.31"/>
        <n v="3053.68"/>
        <n v="8277.08"/>
        <n v="2901.61"/>
        <n v="2610.15"/>
        <n v="258.27"/>
        <n v="3124.63"/>
        <n v="104.85"/>
        <n v="3497.42"/>
        <n v="1150.6400000000001"/>
        <n v="1420.58"/>
        <n v="1707.23"/>
        <n v="8199.7999999999993"/>
        <n v="887.98"/>
        <n v="165.09"/>
        <n v="6100.29"/>
        <n v="1774.9"/>
        <n v="357.53"/>
        <n v="11229.88"/>
        <n v="179.83"/>
        <n v="11418.26"/>
        <n v="29.4"/>
        <n v="1483.95"/>
        <n v="92.79"/>
        <n v="1556.32"/>
        <n v="2701.17"/>
        <n v="95.6"/>
        <n v="4037.83"/>
        <n v="120.87"/>
        <n v="142.38999999999999"/>
        <n v="150.38999999999999"/>
        <n v="3040.43"/>
        <n v="116.7"/>
        <n v="484.02"/>
        <n v="6573.74"/>
        <n v="669.9"/>
        <n v="1771.85"/>
        <n v="556.78"/>
        <n v="7529.43"/>
        <n v="4260.6899999999996"/>
        <n v="107.06"/>
        <n v="121.24"/>
        <n v="497.24"/>
        <n v="274.75"/>
        <n v="103.42"/>
        <n v="1977.2"/>
        <n v="5725.27"/>
        <n v="17920.25"/>
        <n v="573.79"/>
        <n v="146.01"/>
        <n v="975.04"/>
        <n v="4924.47"/>
        <n v="393.12"/>
        <n v="5138.25"/>
        <n v="68.44"/>
        <n v="628.54999999999995"/>
        <n v="1320.17"/>
        <n v="417.74"/>
        <n v="14.26"/>
        <n v="563.52"/>
        <n v="2751.72"/>
        <n v="2109.8000000000002"/>
        <n v="18.989999999999998"/>
        <n v="811.35"/>
        <n v="2265.15"/>
        <n v="2169.9899999999998"/>
        <n v="1218.8499999999999"/>
        <n v="6754.08"/>
        <n v="154.58000000000001"/>
        <n v="166.91"/>
        <n v="2415.1999999999998"/>
        <n v="991.49"/>
        <n v="8.82"/>
        <n v="23704.11"/>
        <n v="7.6"/>
        <n v="2144.38"/>
      </sharedItems>
    </cacheField>
    <cacheField name="Quantity" numFmtId="1">
      <sharedItems containsSemiMixedTypes="0" containsString="0" containsNumber="1" containsInteger="1" minValue="-10" maxValue="10"/>
    </cacheField>
    <cacheField name="Discount" numFmtId="9">
      <sharedItems containsSemiMixedTypes="0" containsString="0" containsNumber="1" minValue="0" maxValue="1.47"/>
    </cacheField>
    <cacheField name="Profit" numFmtId="165">
      <sharedItems containsString="0" containsBlank="1" containsNumber="1" minValue="-9831.98" maxValue="7669.92"/>
    </cacheField>
    <cacheField name="flag date" numFmtId="0">
      <sharedItems/>
    </cacheField>
    <cacheField name="Months (Order Date)" numFmtId="0" databaseField="0">
      <fieldGroup base="1">
        <rangePr groupBy="months" startDate="2021-01-03T00:00:00" endDate="2025-01-01T00:00:00"/>
        <groupItems count="14">
          <s v="&lt;03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 Date)" numFmtId="0" databaseField="0">
      <fieldGroup base="1">
        <rangePr groupBy="quarters" startDate="2021-01-03T00:00:00" endDate="2025-01-01T00:00:00"/>
        <groupItems count="6">
          <s v="&lt;03-01-2021"/>
          <s v="Qtr1"/>
          <s v="Qtr2"/>
          <s v="Qtr3"/>
          <s v="Qtr4"/>
          <s v="&gt;01-01-2025"/>
        </groupItems>
      </fieldGroup>
    </cacheField>
    <cacheField name="Years (Order Date)" numFmtId="0" databaseField="0">
      <fieldGroup base="1">
        <rangePr groupBy="years" startDate="2021-01-03T00:00:00" endDate="2025-01-01T00:00:00"/>
        <groupItems count="7">
          <s v="&lt;03-01-2021"/>
          <s v="2021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chowdhury" refreshedDate="46141.51467222222" createdVersion="8" refreshedVersion="8" minRefreshableVersion="3" recordCount="1005" xr:uid="{CCA97922-A261-4EFC-9873-3B8E44BFFFA9}">
  <cacheSource type="worksheet">
    <worksheetSource ref="A1:J1006" sheet="Customer_Table"/>
  </cacheSource>
  <cacheFields count="10"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ity" numFmtId="0">
      <sharedItems containsBlank="1" count="52">
        <s v="Columbus"/>
        <s v="Houston"/>
        <s v="Boston"/>
        <s v="Boulder"/>
        <s v="Detroit"/>
        <s v="Richmond"/>
        <s v="Bridgeport"/>
        <s v="Worcester"/>
        <s v="New York City"/>
        <s v="Virginia Beach"/>
        <s v="Las Vegas"/>
        <s v="Minneapolis"/>
        <s v="San Francisco"/>
        <s v="Tucson"/>
        <s v="Memphis"/>
        <s v="Nashville"/>
        <s v="Indianapolis"/>
        <s v="Springfield"/>
        <s v="Portland"/>
        <s v="Milwaukee"/>
        <s v="Los Angeles"/>
        <s v="Austin"/>
        <s v="Salem"/>
        <s v="Madison"/>
        <s v="Philadelphia"/>
        <s v="Orlando"/>
        <s v="Birmingham"/>
        <s v="Montgomery"/>
        <s v="Reno"/>
        <s v="Hartford"/>
        <s v="Raleigh"/>
        <s v="Denver"/>
        <s v="San Diego"/>
        <s v="Chicago"/>
        <s v="Cleveland"/>
        <s v="Buffalo"/>
        <s v="Jersey City"/>
        <s v="Spokane"/>
        <s v="Dallas"/>
        <s v="Savannah"/>
        <s v="Saint Paul"/>
        <s v="Fort Wayne"/>
        <s v="Seattle"/>
        <s v="Charlotte"/>
        <s v="Miami"/>
        <s v="Tampa"/>
        <s v="Grand Rapids"/>
        <s v="Atlanta"/>
        <s v="Phoenix"/>
        <s v="Pittsburgh"/>
        <s v="Newark"/>
        <m/>
      </sharedItems>
    </cacheField>
    <cacheField name="State" numFmtId="0">
      <sharedItems containsBlank="1"/>
    </cacheField>
    <cacheField name="Region" numFmtId="0">
      <sharedItems containsBlank="1" count="5">
        <s v="Central"/>
        <s v="South"/>
        <s v="East"/>
        <s v="West"/>
        <m/>
      </sharedItems>
    </cacheField>
    <cacheField name="first name" numFmtId="0">
      <sharedItems containsBlank="1"/>
    </cacheField>
    <cacheField name="last name" numFmtId="0">
      <sharedItems containsBlank="1"/>
    </cacheField>
    <cacheField name="Total Orders per Customer" numFmtId="0">
      <sharedItems containsSemiMixedTypes="0" containsString="0" containsNumber="1" containsInteger="1" minValue="0" maxValue="13"/>
    </cacheField>
    <cacheField name="Total Revenue per Customer" numFmtId="0">
      <sharedItems containsSemiMixedTypes="0" containsString="0" containsNumber="1" minValue="0" maxValue="24822.21" count="14">
        <n v="24822.21"/>
        <n v="16322.11"/>
        <n v="13853.470000000001"/>
        <n v="13071.14"/>
        <n v="6132.01"/>
        <n v="4668.41"/>
        <n v="4531.71"/>
        <n v="2686.9500000000003"/>
        <n v="2576.0200000000004"/>
        <n v="2449.5200000000004"/>
        <n v="1089.73"/>
        <n v="348.51"/>
        <n v="274.7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ORD-1206"/>
    <x v="0"/>
    <d v="2021-01-09T00:00:00"/>
    <s v="Standard Class"/>
    <x v="0"/>
    <x v="0"/>
    <s v="Consumer"/>
    <s v="Montgomery"/>
    <s v="Alabama"/>
    <x v="0"/>
    <x v="0"/>
    <x v="0"/>
    <s v="PROD-8179"/>
    <x v="0"/>
    <n v="6"/>
    <n v="0.1"/>
    <n v="346.92"/>
    <s v="OK"/>
  </r>
  <r>
    <s v="ORD-1664"/>
    <x v="0"/>
    <d v="2021-01-06T00:00:00"/>
    <s v="Same Day"/>
    <x v="1"/>
    <x v="1"/>
    <s v="Home Office"/>
    <s v="Philadelphia"/>
    <s v="Pennsylvania"/>
    <x v="1"/>
    <x v="0"/>
    <x v="0"/>
    <s v="PROD-5739"/>
    <x v="1"/>
    <n v="7"/>
    <n v="0.4"/>
    <n v="-271.64999999999998"/>
    <s v="OK"/>
  </r>
  <r>
    <s v="ORD-1203"/>
    <x v="1"/>
    <d v="2021-01-07T00:00:00"/>
    <s v="Same Day"/>
    <x v="2"/>
    <x v="2"/>
    <s v="Consumer"/>
    <s v="Cleveland"/>
    <s v="Ohio"/>
    <x v="2"/>
    <x v="1"/>
    <x v="1"/>
    <s v="PROD-1530"/>
    <x v="2"/>
    <n v="5"/>
    <n v="0"/>
    <n v="2563.35"/>
    <s v="OK"/>
  </r>
  <r>
    <s v="ORD-1091"/>
    <x v="2"/>
    <d v="2021-01-12T00:00:00"/>
    <s v="Second Class"/>
    <x v="3"/>
    <x v="3"/>
    <s v="Corporate"/>
    <s v="Saint Paul"/>
    <s v="Minnesota"/>
    <x v="2"/>
    <x v="1"/>
    <x v="2"/>
    <s v="PROD-2196"/>
    <x v="3"/>
    <n v="5"/>
    <n v="0"/>
    <n v="242.01"/>
    <s v="OK"/>
  </r>
  <r>
    <s v="ORD-1690"/>
    <x v="3"/>
    <d v="2021-01-13T00:00:00"/>
    <s v="Second Class"/>
    <x v="4"/>
    <x v="4"/>
    <s v="Corporate"/>
    <s v="Denver"/>
    <s v="Colorado"/>
    <x v="3"/>
    <x v="0"/>
    <x v="3"/>
    <s v="PROD-4772"/>
    <x v="4"/>
    <n v="1"/>
    <n v="0.3"/>
    <n v="-124.22"/>
    <s v="OK"/>
  </r>
  <r>
    <s v="ORD-1268"/>
    <x v="4"/>
    <d v="2021-01-16T00:00:00"/>
    <s v="Standard Class"/>
    <x v="5"/>
    <x v="5"/>
    <s v="Corporate"/>
    <s v="Madison"/>
    <s v="Wisconsin"/>
    <x v="2"/>
    <x v="2"/>
    <x v="4"/>
    <s v="PROD-8091"/>
    <x v="5"/>
    <n v="9"/>
    <n v="0"/>
    <n v="503.01"/>
    <s v="OK"/>
  </r>
  <r>
    <s v="ORD-1727"/>
    <x v="5"/>
    <d v="2021-01-16T00:00:00"/>
    <s v="Standard Class"/>
    <x v="6"/>
    <x v="6"/>
    <s v="Corporate"/>
    <s v="Hartford"/>
    <s v="Connecticut"/>
    <x v="1"/>
    <x v="1"/>
    <x v="2"/>
    <s v="PROD-4305"/>
    <x v="6"/>
    <n v="5"/>
    <n v="0.3"/>
    <n v="72.27"/>
    <s v="OK"/>
  </r>
  <r>
    <s v="ORD-1806"/>
    <x v="6"/>
    <d v="2021-01-15T00:00:00"/>
    <s v="First Class"/>
    <x v="7"/>
    <x v="7"/>
    <s v="Corporate"/>
    <s v="Tucson"/>
    <s v="Arizona"/>
    <x v="3"/>
    <x v="2"/>
    <x v="5"/>
    <s v="PROD-4050"/>
    <x v="7"/>
    <n v="6"/>
    <n v="0.1"/>
    <n v="340.81"/>
    <s v="OK"/>
  </r>
  <r>
    <s v="ORD-1616"/>
    <x v="7"/>
    <d v="2021-01-13T00:00:00"/>
    <s v="Same Day"/>
    <x v="8"/>
    <x v="8"/>
    <s v="Corporate"/>
    <s v="Boston"/>
    <s v="Massachusetts"/>
    <x v="1"/>
    <x v="0"/>
    <x v="6"/>
    <s v="PROD-1217"/>
    <x v="8"/>
    <n v="2"/>
    <n v="0.2"/>
    <n v="40.22"/>
    <s v="OK"/>
  </r>
  <r>
    <s v="ORD-1948"/>
    <x v="8"/>
    <d v="2021-01-16T00:00:00"/>
    <s v="Same Day"/>
    <x v="9"/>
    <x v="9"/>
    <s v="Home Office"/>
    <s v="Denver"/>
    <s v="Colorado"/>
    <x v="3"/>
    <x v="0"/>
    <x v="6"/>
    <s v="PROD-8540"/>
    <x v="9"/>
    <n v="7"/>
    <n v="0"/>
    <n v="47.37"/>
    <s v="OK"/>
  </r>
  <r>
    <s v="ORD-1633"/>
    <x v="9"/>
    <d v="2021-01-18T00:00:00"/>
    <s v="Second Class"/>
    <x v="10"/>
    <x v="10"/>
    <s v="Corporate"/>
    <s v="Tampa"/>
    <s v="Florida"/>
    <x v="0"/>
    <x v="0"/>
    <x v="7"/>
    <s v="PROD-6592"/>
    <x v="10"/>
    <n v="8"/>
    <n v="0.2"/>
    <n v="591.08000000000004"/>
    <s v="OK"/>
  </r>
  <r>
    <s v="ORD-1419"/>
    <x v="9"/>
    <d v="2021-01-19T00:00:00"/>
    <s v="Second Class"/>
    <x v="11"/>
    <x v="11"/>
    <s v="Corporate"/>
    <s v="Detroit"/>
    <s v="Michigan"/>
    <x v="2"/>
    <x v="0"/>
    <x v="3"/>
    <s v="PROD-5556"/>
    <x v="11"/>
    <n v="8"/>
    <n v="0"/>
    <n v="310.41000000000003"/>
    <s v="OK"/>
  </r>
  <r>
    <s v="ORD-1490"/>
    <x v="10"/>
    <d v="2021-01-18T00:00:00"/>
    <s v="Second Class"/>
    <x v="12"/>
    <x v="12"/>
    <s v="Consumer"/>
    <s v="Tucson"/>
    <s v="Arizona"/>
    <x v="3"/>
    <x v="1"/>
    <x v="8"/>
    <s v="PROD-5648"/>
    <x v="12"/>
    <n v="1"/>
    <n v="0.3"/>
    <n v="92.49"/>
    <s v="OK"/>
  </r>
  <r>
    <s v="ORD-1757"/>
    <x v="10"/>
    <d v="2021-01-20T00:00:00"/>
    <s v="Standard Class"/>
    <x v="13"/>
    <x v="13"/>
    <s v="Home Office"/>
    <s v="Milwaukee"/>
    <s v="Wisconsin"/>
    <x v="2"/>
    <x v="0"/>
    <x v="0"/>
    <s v="PROD-4458"/>
    <x v="13"/>
    <n v="2"/>
    <n v="0"/>
    <n v="219.13"/>
    <s v="OK"/>
  </r>
  <r>
    <s v="ORD-1717"/>
    <x v="11"/>
    <d v="2021-01-20T00:00:00"/>
    <s v="Second Class"/>
    <x v="14"/>
    <x v="14"/>
    <s v="Consumer"/>
    <s v="Raleigh"/>
    <s v="North Carolina"/>
    <x v="0"/>
    <x v="1"/>
    <x v="9"/>
    <s v="PROD-2048"/>
    <x v="14"/>
    <n v="9"/>
    <n v="0.3"/>
    <n v="-713.21"/>
    <s v="OK"/>
  </r>
  <r>
    <s v="ORD-1838"/>
    <x v="12"/>
    <d v="2021-01-27T00:00:00"/>
    <s v="Standard Class"/>
    <x v="5"/>
    <x v="5"/>
    <s v="Corporate"/>
    <s v="Madison"/>
    <s v="Wisconsin"/>
    <x v="2"/>
    <x v="0"/>
    <x v="6"/>
    <s v="PROD-6544"/>
    <x v="15"/>
    <n v="10"/>
    <n v="0"/>
    <n v="101.36"/>
    <s v="OK"/>
  </r>
  <r>
    <s v="ORD-1723"/>
    <x v="13"/>
    <d v="2021-01-24T00:00:00"/>
    <s v="First Class"/>
    <x v="15"/>
    <x v="15"/>
    <s v="Corporate"/>
    <s v="Springfield"/>
    <s v="Illinois"/>
    <x v="2"/>
    <x v="1"/>
    <x v="8"/>
    <s v="PROD-3236"/>
    <x v="16"/>
    <n v="7"/>
    <n v="0.05"/>
    <n v="784.7"/>
    <s v="OK"/>
  </r>
  <r>
    <s v="ORD-1470"/>
    <x v="14"/>
    <d v="2021-01-26T00:00:00"/>
    <s v="Same Day"/>
    <x v="16"/>
    <x v="16"/>
    <s v="Corporate"/>
    <s v="Hartford"/>
    <s v="Connecticut"/>
    <x v="1"/>
    <x v="1"/>
    <x v="1"/>
    <s v="PROD-9605"/>
    <x v="17"/>
    <n v="1"/>
    <n v="0"/>
    <n v="287.33999999999997"/>
    <s v="OK"/>
  </r>
  <r>
    <s v="ORD-1504"/>
    <x v="15"/>
    <d v="2021-01-27T00:00:00"/>
    <s v="Same Day"/>
    <x v="17"/>
    <x v="17"/>
    <s v="Home Office"/>
    <s v="Columbus"/>
    <s v="Ohio"/>
    <x v="2"/>
    <x v="2"/>
    <x v="10"/>
    <s v="PROD-3174"/>
    <x v="18"/>
    <n v="4"/>
    <n v="0"/>
    <n v="50.74"/>
    <s v="OK"/>
  </r>
  <r>
    <s v="ORD-1168"/>
    <x v="16"/>
    <d v="2021-01-31T00:00:00"/>
    <s v="First Class"/>
    <x v="18"/>
    <x v="18"/>
    <s v="Corporate"/>
    <s v="Nashville"/>
    <s v="Tennessee"/>
    <x v="0"/>
    <x v="1"/>
    <x v="1"/>
    <s v="PROD-1652"/>
    <x v="19"/>
    <n v="2"/>
    <n v="0"/>
    <n v="1473.76"/>
    <s v="OK"/>
  </r>
  <r>
    <s v="ORD-1728"/>
    <x v="17"/>
    <d v="2021-02-01T00:00:00"/>
    <s v="First Class"/>
    <x v="19"/>
    <x v="19"/>
    <s v="Corporate"/>
    <s v="Birmingham"/>
    <s v="Alabama"/>
    <x v="0"/>
    <x v="2"/>
    <x v="11"/>
    <s v="PROD-2035"/>
    <x v="20"/>
    <n v="1"/>
    <n v="0.2"/>
    <n v="2.85"/>
    <s v="OK"/>
  </r>
  <r>
    <s v="ORD-1360"/>
    <x v="18"/>
    <d v="2021-02-01T00:00:00"/>
    <s v="Same Day"/>
    <x v="20"/>
    <x v="20"/>
    <s v="Home Office"/>
    <s v="Fort Wayne"/>
    <s v="Indiana"/>
    <x v="2"/>
    <x v="2"/>
    <x v="12"/>
    <s v="PROD-6601"/>
    <x v="21"/>
    <n v="1"/>
    <n v="1.41"/>
    <n v="42.66"/>
    <s v="OK"/>
  </r>
  <r>
    <s v="ORD-1866"/>
    <x v="18"/>
    <d v="2021-02-04T00:00:00"/>
    <s v="Second Class"/>
    <x v="21"/>
    <x v="21"/>
    <s v="Corporate"/>
    <s v="Birmingham"/>
    <s v="Alabama"/>
    <x v="0"/>
    <x v="1"/>
    <x v="2"/>
    <s v="PROD-9964"/>
    <x v="22"/>
    <n v="10"/>
    <n v="0.3"/>
    <n v="315.70999999999998"/>
    <s v="OK"/>
  </r>
  <r>
    <s v="ORD-1977"/>
    <x v="18"/>
    <d v="2021-02-03T00:00:00"/>
    <s v="Second Class"/>
    <x v="22"/>
    <x v="22"/>
    <s v="Corporate"/>
    <s v="Indianapolis"/>
    <s v="Indiana"/>
    <x v="2"/>
    <x v="0"/>
    <x v="7"/>
    <s v="PROD-2255"/>
    <x v="23"/>
    <n v="9"/>
    <n v="0.5"/>
    <n v="-169.48"/>
    <s v="OK"/>
  </r>
  <r>
    <s v="ORD-1832"/>
    <x v="19"/>
    <d v="2021-02-09T00:00:00"/>
    <s v="Standard Class"/>
    <x v="23"/>
    <x v="23"/>
    <s v="Home Office"/>
    <s v="Savannah"/>
    <s v="Georgia"/>
    <x v="0"/>
    <x v="0"/>
    <x v="6"/>
    <s v="PROD-7258"/>
    <x v="24"/>
    <n v="5"/>
    <n v="0"/>
    <n v="92.74"/>
    <s v="OK"/>
  </r>
  <r>
    <s v="ORD-1912"/>
    <x v="20"/>
    <d v="2021-02-09T00:00:00"/>
    <s v="Standard Class"/>
    <x v="24"/>
    <x v="24"/>
    <s v="Corporate"/>
    <s v="Orlando"/>
    <s v="Florida"/>
    <x v="0"/>
    <x v="2"/>
    <x v="5"/>
    <s v="PROD-2558"/>
    <x v="25"/>
    <n v="9"/>
    <n v="0"/>
    <n v="911.54"/>
    <s v="OK"/>
  </r>
  <r>
    <s v="ORD-1288"/>
    <x v="21"/>
    <d v="2021-02-07T00:00:00"/>
    <s v="Same Day"/>
    <x v="25"/>
    <x v="25"/>
    <s v="Home Office"/>
    <s v="Hartford"/>
    <s v="Connecticut"/>
    <x v="1"/>
    <x v="0"/>
    <x v="6"/>
    <s v="PROD-2938"/>
    <x v="26"/>
    <n v="8"/>
    <n v="0.2"/>
    <n v="91.45"/>
    <s v="OK"/>
  </r>
  <r>
    <s v="ORD-1849"/>
    <x v="22"/>
    <d v="2021-02-09T00:00:00"/>
    <s v="First Class"/>
    <x v="26"/>
    <x v="26"/>
    <s v="Consumer"/>
    <s v="Portland"/>
    <s v="Oregon"/>
    <x v="3"/>
    <x v="1"/>
    <x v="1"/>
    <s v="PROD-8764"/>
    <x v="27"/>
    <n v="4"/>
    <n v="0.15"/>
    <n v="2083.7199999999998"/>
    <s v="OK"/>
  </r>
  <r>
    <s v="ORD-1911"/>
    <x v="23"/>
    <d v="2021-02-12T00:00:00"/>
    <s v="Standard Class"/>
    <x v="27"/>
    <x v="27"/>
    <s v="Home Office"/>
    <s v="San Diego"/>
    <s v="California"/>
    <x v="3"/>
    <x v="1"/>
    <x v="9"/>
    <s v="PROD-5659"/>
    <x v="28"/>
    <n v="4"/>
    <n v="0.5"/>
    <n v="-1111.3599999999999"/>
    <s v="OK"/>
  </r>
  <r>
    <s v="ORD-1662"/>
    <x v="24"/>
    <d v="2021-02-12T00:00:00"/>
    <s v="First Class"/>
    <x v="28"/>
    <x v="28"/>
    <s v="Corporate"/>
    <s v="Pittsburgh"/>
    <s v="Pennsylvania"/>
    <x v="1"/>
    <x v="2"/>
    <x v="10"/>
    <s v="PROD-2663"/>
    <x v="29"/>
    <n v="7"/>
    <n v="0.05"/>
    <n v="71.5"/>
    <s v="OK"/>
  </r>
  <r>
    <s v="ORD-1398"/>
    <x v="25"/>
    <d v="2021-02-13T00:00:00"/>
    <s v="First Class"/>
    <x v="29"/>
    <x v="29"/>
    <s v="Corporate"/>
    <s v="San Francisco"/>
    <s v="California"/>
    <x v="3"/>
    <x v="2"/>
    <x v="5"/>
    <s v="PROD-7332"/>
    <x v="30"/>
    <n v="5"/>
    <n v="0.15"/>
    <n v="47.26"/>
    <s v="OK"/>
  </r>
  <r>
    <s v="ORD-1897"/>
    <x v="26"/>
    <d v="2021-02-15T00:00:00"/>
    <s v="Same Day"/>
    <x v="30"/>
    <x v="30"/>
    <s v="Home Office"/>
    <s v="Indianapolis"/>
    <s v="Indiana"/>
    <x v="2"/>
    <x v="2"/>
    <x v="13"/>
    <s v="PROD-8971"/>
    <x v="31"/>
    <n v="4"/>
    <n v="0.2"/>
    <n v="46.06"/>
    <s v="OK"/>
  </r>
  <r>
    <s v="ORD-1515"/>
    <x v="27"/>
    <d v="2021-02-20T00:00:00"/>
    <s v="Second Class"/>
    <x v="24"/>
    <x v="24"/>
    <s v="Corporate"/>
    <s v="Orlando"/>
    <s v="Florida"/>
    <x v="0"/>
    <x v="2"/>
    <x v="13"/>
    <s v="PROD-6503"/>
    <x v="32"/>
    <n v="1"/>
    <n v="0.1"/>
    <n v="7.18"/>
    <s v="OK"/>
  </r>
  <r>
    <s v="ORD-1514"/>
    <x v="28"/>
    <d v="2021-02-19T00:00:00"/>
    <s v="First Class"/>
    <x v="31"/>
    <x v="31"/>
    <s v="Corporate"/>
    <s v="Madison"/>
    <s v="Wisconsin"/>
    <x v="2"/>
    <x v="1"/>
    <x v="1"/>
    <s v="PROD-9870"/>
    <x v="33"/>
    <n v="4"/>
    <n v="0.4"/>
    <n v="-1900.02"/>
    <s v="OK"/>
  </r>
  <r>
    <s v="ORD-1711"/>
    <x v="29"/>
    <d v="2021-02-22T00:00:00"/>
    <s v="Standard Class"/>
    <x v="32"/>
    <x v="32"/>
    <s v="Corporate"/>
    <s v="Birmingham"/>
    <s v="Alabama"/>
    <x v="0"/>
    <x v="1"/>
    <x v="8"/>
    <s v="PROD-3518"/>
    <x v="34"/>
    <n v="9"/>
    <n v="0.1"/>
    <n v="1710.45"/>
    <s v="OK"/>
  </r>
  <r>
    <s v="ORD-1471"/>
    <x v="30"/>
    <d v="2021-02-23T00:00:00"/>
    <s v="Standard Class"/>
    <x v="33"/>
    <x v="33"/>
    <s v="Consumer"/>
    <s v="Austin"/>
    <s v="Texas"/>
    <x v="0"/>
    <x v="1"/>
    <x v="8"/>
    <s v="PROD-4552"/>
    <x v="35"/>
    <n v="5"/>
    <n v="0.1"/>
    <n v="494.77"/>
    <s v="OK"/>
  </r>
  <r>
    <s v="ORD-1965"/>
    <x v="31"/>
    <d v="2021-02-24T00:00:00"/>
    <s v="Standard Class"/>
    <x v="2"/>
    <x v="2"/>
    <s v="Consumer"/>
    <s v="Cleveland"/>
    <s v="Ohio"/>
    <x v="2"/>
    <x v="0"/>
    <x v="0"/>
    <s v="PROD-1544"/>
    <x v="36"/>
    <n v="9"/>
    <n v="0.05"/>
    <n v="769.79"/>
    <s v="OK"/>
  </r>
  <r>
    <s v="ORD-1679"/>
    <x v="31"/>
    <d v="2021-02-22T00:00:00"/>
    <s v="First Class"/>
    <x v="34"/>
    <x v="34"/>
    <s v="Consumer"/>
    <s v="Richmond"/>
    <s v="Virginia"/>
    <x v="1"/>
    <x v="0"/>
    <x v="6"/>
    <s v="PROD-5049"/>
    <x v="37"/>
    <n v="2"/>
    <n v="0"/>
    <n v="44.63"/>
    <s v="OK"/>
  </r>
  <r>
    <s v="ORD-1952"/>
    <x v="32"/>
    <d v="2021-02-22T00:00:00"/>
    <s v="Same Day"/>
    <x v="35"/>
    <x v="35"/>
    <s v="Consumer"/>
    <s v="Hartford"/>
    <s v="Connecticut"/>
    <x v="1"/>
    <x v="1"/>
    <x v="2"/>
    <s v="PROD-1911"/>
    <x v="38"/>
    <n v="4"/>
    <n v="0.05"/>
    <n v="179.88"/>
    <s v="OK"/>
  </r>
  <r>
    <s v="ORD-1520"/>
    <x v="33"/>
    <d v="2021-02-23T00:00:00"/>
    <s v="Same Day"/>
    <x v="36"/>
    <x v="36"/>
    <s v="Home Office"/>
    <s v="Grand Rapids"/>
    <s v="Michigan"/>
    <x v="2"/>
    <x v="0"/>
    <x v="6"/>
    <s v="PROD-3381"/>
    <x v="39"/>
    <n v="3"/>
    <n v="0.4"/>
    <n v="-13.78"/>
    <s v="OK"/>
  </r>
  <r>
    <s v="ORD-1997"/>
    <x v="34"/>
    <d v="2021-03-01T00:00:00"/>
    <s v="Standard Class"/>
    <x v="37"/>
    <x v="37"/>
    <s v="Home Office"/>
    <s v="Fort Wayne"/>
    <s v="Indiana"/>
    <x v="2"/>
    <x v="0"/>
    <x v="0"/>
    <s v="PROD-4464"/>
    <x v="40"/>
    <n v="5"/>
    <n v="0"/>
    <n v="270.38"/>
    <s v="OK"/>
  </r>
  <r>
    <s v="ORD-1212"/>
    <x v="34"/>
    <d v="2021-02-25T00:00:00"/>
    <s v="Second Class"/>
    <x v="38"/>
    <x v="38"/>
    <s v="Corporate"/>
    <s v="Charlotte"/>
    <s v="North Carolina"/>
    <x v="0"/>
    <x v="0"/>
    <x v="3"/>
    <s v="PROD-5781"/>
    <x v="41"/>
    <n v="10"/>
    <n v="0.3"/>
    <n v="-258.45999999999998"/>
    <s v="OK"/>
  </r>
  <r>
    <s v="ORD-1406"/>
    <x v="35"/>
    <d v="2021-02-27T00:00:00"/>
    <s v="First Class"/>
    <x v="39"/>
    <x v="39"/>
    <s v="Corporate"/>
    <s v="Philadelphia"/>
    <s v="Pennsylvania"/>
    <x v="1"/>
    <x v="1"/>
    <x v="9"/>
    <s v="PROD-4783"/>
    <x v="42"/>
    <n v="4"/>
    <n v="0"/>
    <n v="446.56"/>
    <s v="OK"/>
  </r>
  <r>
    <s v="ORD-1351"/>
    <x v="36"/>
    <d v="2021-03-07T00:00:00"/>
    <s v="Standard Class"/>
    <x v="40"/>
    <x v="40"/>
    <s v="Home Office"/>
    <s v="Boston"/>
    <s v="Massachusetts"/>
    <x v="1"/>
    <x v="2"/>
    <x v="4"/>
    <s v="PROD-6846"/>
    <x v="43"/>
    <n v="3"/>
    <n v="0.4"/>
    <n v="-60.48"/>
    <s v="OK"/>
  </r>
  <r>
    <s v="ORD-1765"/>
    <x v="37"/>
    <d v="2021-03-05T00:00:00"/>
    <s v="Second Class"/>
    <x v="41"/>
    <x v="41"/>
    <s v="Home Office"/>
    <s v="Jersey City"/>
    <s v="New Jersey"/>
    <x v="1"/>
    <x v="0"/>
    <x v="0"/>
    <s v="PROD-7283"/>
    <x v="44"/>
    <n v="2"/>
    <n v="0"/>
    <n v="83.49"/>
    <s v="OK"/>
  </r>
  <r>
    <s v="ORD-1443"/>
    <x v="38"/>
    <d v="2021-03-09T00:00:00"/>
    <s v="Standard Class"/>
    <x v="18"/>
    <x v="18"/>
    <s v="Corporate"/>
    <s v="Nashville"/>
    <s v="Tennessee"/>
    <x v="0"/>
    <x v="2"/>
    <x v="12"/>
    <s v="PROD-2849"/>
    <x v="45"/>
    <n v="6"/>
    <n v="0.15"/>
    <n v="150.37"/>
    <s v="OK"/>
  </r>
  <r>
    <s v="ORD-1057"/>
    <x v="39"/>
    <d v="2021-03-07T00:00:00"/>
    <s v="Same Day"/>
    <x v="42"/>
    <x v="42"/>
    <s v="Consumer"/>
    <s v="Las Vegas"/>
    <s v="Nevada"/>
    <x v="3"/>
    <x v="1"/>
    <x v="9"/>
    <s v="PROD-9938"/>
    <x v="46"/>
    <n v="10"/>
    <n v="0.2"/>
    <n v="-255.98"/>
    <s v="OK"/>
  </r>
  <r>
    <s v="ORD-1874"/>
    <x v="40"/>
    <d v="2021-03-07T00:00:00"/>
    <s v="Same Day"/>
    <x v="43"/>
    <x v="43"/>
    <s v="Corporate"/>
    <s v="Virginia Beach"/>
    <s v="Virginia"/>
    <x v="1"/>
    <x v="1"/>
    <x v="1"/>
    <s v="PROD-6922"/>
    <x v="47"/>
    <n v="3"/>
    <n v="0.05"/>
    <n v="2614.54"/>
    <s v="OK"/>
  </r>
  <r>
    <s v="ORD-1499"/>
    <x v="41"/>
    <d v="2021-03-13T00:00:00"/>
    <s v="Standard Class"/>
    <x v="44"/>
    <x v="44"/>
    <s v="Corporate"/>
    <s v="Bridgeport"/>
    <s v="Connecticut"/>
    <x v="1"/>
    <x v="2"/>
    <x v="11"/>
    <s v="PROD-3236"/>
    <x v="48"/>
    <n v="5"/>
    <n v="0.05"/>
    <n v="46.91"/>
    <s v="OK"/>
  </r>
  <r>
    <s v="ORD-1557"/>
    <x v="42"/>
    <d v="2021-03-14T00:00:00"/>
    <s v="Second Class"/>
    <x v="45"/>
    <x v="45"/>
    <s v="Consumer"/>
    <s v="Las Vegas"/>
    <s v="Nevada"/>
    <x v="3"/>
    <x v="2"/>
    <x v="4"/>
    <s v="PROD-5965"/>
    <x v="49"/>
    <n v="7"/>
    <n v="0.3"/>
    <n v="41.35"/>
    <s v="OK"/>
  </r>
  <r>
    <s v="ORD-1325"/>
    <x v="43"/>
    <d v="2021-03-15T00:00:00"/>
    <s v="Second Class"/>
    <x v="46"/>
    <x v="46"/>
    <s v="Consumer"/>
    <s v="Boulder"/>
    <s v="Colorado"/>
    <x v="3"/>
    <x v="0"/>
    <x v="3"/>
    <s v="PROD-3776"/>
    <x v="50"/>
    <n v="4"/>
    <n v="0.4"/>
    <n v="-479.63"/>
    <s v="OK"/>
  </r>
  <r>
    <s v="ORD-1905"/>
    <x v="44"/>
    <d v="2021-03-15T00:00:00"/>
    <s v="First Class"/>
    <x v="47"/>
    <x v="47"/>
    <s v="Home Office"/>
    <s v="Raleigh"/>
    <s v="North Carolina"/>
    <x v="0"/>
    <x v="0"/>
    <x v="6"/>
    <s v="PROD-7714"/>
    <x v="51"/>
    <n v="2"/>
    <n v="0.3"/>
    <n v="11.87"/>
    <s v="OK"/>
  </r>
  <r>
    <s v="ORD-1726"/>
    <x v="45"/>
    <d v="2021-03-16T00:00:00"/>
    <s v="Second Class"/>
    <x v="48"/>
    <x v="48"/>
    <s v="Home Office"/>
    <s v="Boston"/>
    <s v="Massachusetts"/>
    <x v="1"/>
    <x v="0"/>
    <x v="6"/>
    <s v="PROD-1782"/>
    <x v="52"/>
    <n v="6"/>
    <n v="0"/>
    <n v="85.84"/>
    <s v="OK"/>
  </r>
  <r>
    <s v="ORD-1420"/>
    <x v="46"/>
    <d v="2021-03-20T00:00:00"/>
    <s v="Second Class"/>
    <x v="49"/>
    <x v="49"/>
    <s v="Consumer"/>
    <s v="Birmingham"/>
    <s v="Alabama"/>
    <x v="0"/>
    <x v="1"/>
    <x v="1"/>
    <s v="PROD-5889"/>
    <x v="53"/>
    <n v="3"/>
    <n v="0"/>
    <n v="325.36"/>
    <s v="OK"/>
  </r>
  <r>
    <s v="ORD-1377"/>
    <x v="47"/>
    <d v="2021-03-31T00:00:00"/>
    <s v="Standard Class"/>
    <x v="38"/>
    <x v="38"/>
    <s v="Corporate"/>
    <s v="Charlotte"/>
    <s v="North Carolina"/>
    <x v="0"/>
    <x v="1"/>
    <x v="8"/>
    <s v="PROD-2276"/>
    <x v="54"/>
    <n v="1"/>
    <n v="0.5"/>
    <n v="-54.71"/>
    <s v="OK"/>
  </r>
  <r>
    <s v="ORD-1993"/>
    <x v="48"/>
    <d v="2021-03-30T00:00:00"/>
    <s v="Second Class"/>
    <x v="22"/>
    <x v="22"/>
    <s v="Corporate"/>
    <s v="Indianapolis"/>
    <s v="Indiana"/>
    <x v="2"/>
    <x v="0"/>
    <x v="7"/>
    <s v="PROD-5244"/>
    <x v="55"/>
    <n v="9"/>
    <n v="0.3"/>
    <n v="71.23"/>
    <s v="OK"/>
  </r>
  <r>
    <s v="ORD-1973"/>
    <x v="48"/>
    <d v="2021-04-01T00:00:00"/>
    <s v="Standard Class"/>
    <x v="50"/>
    <x v="50"/>
    <s v="Consumer"/>
    <s v="Montgomery"/>
    <s v="Alabama"/>
    <x v="0"/>
    <x v="1"/>
    <x v="2"/>
    <s v="PROD-9136"/>
    <x v="56"/>
    <n v="8"/>
    <n v="0"/>
    <n v="624.09"/>
    <s v="OK"/>
  </r>
  <r>
    <s v="ORD-1631"/>
    <x v="48"/>
    <d v="2021-04-01T00:00:00"/>
    <s v="Standard Class"/>
    <x v="51"/>
    <x v="51"/>
    <s v="Home Office"/>
    <s v="Richmond"/>
    <s v="Virginia"/>
    <x v="1"/>
    <x v="0"/>
    <x v="7"/>
    <s v="PROD-2934"/>
    <x v="57"/>
    <n v="10"/>
    <n v="0"/>
    <n v="1916.94"/>
    <s v="OK"/>
  </r>
  <r>
    <s v="ORD-1411"/>
    <x v="49"/>
    <d v="2021-04-02T00:00:00"/>
    <s v="Second Class"/>
    <x v="17"/>
    <x v="17"/>
    <s v="Home Office"/>
    <s v="Columbus"/>
    <s v="Ohio"/>
    <x v="2"/>
    <x v="1"/>
    <x v="2"/>
    <s v="PROD-9812"/>
    <x v="58"/>
    <n v="8"/>
    <n v="0.3"/>
    <n v="41.54"/>
    <s v="OK"/>
  </r>
  <r>
    <s v="ORD-1316"/>
    <x v="50"/>
    <d v="2021-03-31T00:00:00"/>
    <s v="Same Day"/>
    <x v="52"/>
    <x v="52"/>
    <s v="Home Office"/>
    <s v="Atlanta"/>
    <s v="Georgia"/>
    <x v="0"/>
    <x v="1"/>
    <x v="2"/>
    <s v="PROD-8899"/>
    <x v="59"/>
    <n v="7"/>
    <n v="0.4"/>
    <n v="16.02"/>
    <s v="OK"/>
  </r>
  <r>
    <s v="ORD-1823"/>
    <x v="51"/>
    <d v="2021-04-03T00:00:00"/>
    <s v="Second Class"/>
    <x v="53"/>
    <x v="53"/>
    <s v="Home Office"/>
    <s v="Birmingham"/>
    <s v="Alabama"/>
    <x v="0"/>
    <x v="1"/>
    <x v="8"/>
    <s v="PROD-7851"/>
    <x v="60"/>
    <n v="4"/>
    <n v="0.4"/>
    <n v="-175.27"/>
    <s v="OK"/>
  </r>
  <r>
    <s v="ORD-1416"/>
    <x v="51"/>
    <d v="2021-04-04T00:00:00"/>
    <s v="Second Class"/>
    <x v="54"/>
    <x v="54"/>
    <s v="Home Office"/>
    <s v="Bridgeport"/>
    <s v="Connecticut"/>
    <x v="1"/>
    <x v="2"/>
    <x v="14"/>
    <s v="PROD-3459"/>
    <x v="61"/>
    <n v="3"/>
    <n v="0.2"/>
    <n v="20.8"/>
    <s v="OK"/>
  </r>
  <r>
    <s v="ORD-1722"/>
    <x v="52"/>
    <d v="2021-04-03T00:00:00"/>
    <s v="Same Day"/>
    <x v="51"/>
    <x v="51"/>
    <s v="Home Office"/>
    <s v="Richmond"/>
    <s v="Virginia"/>
    <x v="1"/>
    <x v="0"/>
    <x v="6"/>
    <s v="PROD-2199"/>
    <x v="62"/>
    <n v="3"/>
    <n v="0.1"/>
    <n v="70.37"/>
    <s v="OK"/>
  </r>
  <r>
    <s v="ORD-1932"/>
    <x v="53"/>
    <d v="2021-04-10T00:00:00"/>
    <s v="Standard Class"/>
    <x v="55"/>
    <x v="55"/>
    <s v="Home Office"/>
    <s v="Springfield"/>
    <s v="Illinois"/>
    <x v="2"/>
    <x v="2"/>
    <x v="4"/>
    <s v="PROD-5762"/>
    <x v="63"/>
    <n v="8"/>
    <n v="0.05"/>
    <n v="441.24"/>
    <s v="OK"/>
  </r>
  <r>
    <s v="ORD-1932"/>
    <x v="53"/>
    <d v="2021-04-10T00:00:00"/>
    <s v="Standard Class"/>
    <x v="55"/>
    <x v="55"/>
    <s v="Home Office"/>
    <s v="Springfield"/>
    <s v="Illinois"/>
    <x v="2"/>
    <x v="2"/>
    <x v="4"/>
    <s v="PROD-5762"/>
    <x v="63"/>
    <n v="8"/>
    <n v="0.05"/>
    <n v="441.24"/>
    <s v="OK"/>
  </r>
  <r>
    <s v="ORD-1253"/>
    <x v="54"/>
    <d v="2021-04-09T00:00:00"/>
    <s v="Standard Class"/>
    <x v="38"/>
    <x v="38"/>
    <s v="Corporate"/>
    <s v="Charlotte"/>
    <s v="North Carolina"/>
    <x v="0"/>
    <x v="1"/>
    <x v="9"/>
    <s v="PROD-3793"/>
    <x v="64"/>
    <n v="2"/>
    <n v="0"/>
    <n v="269.8"/>
    <s v="OK"/>
  </r>
  <r>
    <s v="ORD-1566"/>
    <x v="55"/>
    <d v="2021-04-12T00:00:00"/>
    <s v="First Class"/>
    <x v="56"/>
    <x v="56"/>
    <s v="Home Office"/>
    <s v="Nashville"/>
    <s v="Tennessee"/>
    <x v="0"/>
    <x v="1"/>
    <x v="2"/>
    <s v="PROD-7586"/>
    <x v="65"/>
    <n v="9"/>
    <n v="0.05"/>
    <n v="586.41999999999996"/>
    <s v="OK"/>
  </r>
  <r>
    <s v="ORD-1390"/>
    <x v="56"/>
    <d v="2021-04-13T00:00:00"/>
    <s v="Same Day"/>
    <x v="57"/>
    <x v="57"/>
    <s v="Home Office"/>
    <s v="Spokane"/>
    <s v="Washington"/>
    <x v="3"/>
    <x v="2"/>
    <x v="12"/>
    <s v="PROD-2393"/>
    <x v="66"/>
    <n v="2"/>
    <n v="0.3"/>
    <n v="2.95"/>
    <s v="OK"/>
  </r>
  <r>
    <s v="ORD-1803"/>
    <x v="57"/>
    <d v="2021-04-17T00:00:00"/>
    <s v="Same Day"/>
    <x v="27"/>
    <x v="27"/>
    <s v="Home Office"/>
    <s v="San Diego"/>
    <s v="California"/>
    <x v="3"/>
    <x v="1"/>
    <x v="1"/>
    <s v="PROD-7211"/>
    <x v="67"/>
    <n v="6"/>
    <n v="0"/>
    <n v="1407.78"/>
    <s v="OK"/>
  </r>
  <r>
    <s v="ORD-1495"/>
    <x v="58"/>
    <d v="2021-04-21T00:00:00"/>
    <s v="Second Class"/>
    <x v="20"/>
    <x v="20"/>
    <s v="Home Office"/>
    <s v="Fort Wayne"/>
    <s v="Indiana"/>
    <x v="2"/>
    <x v="0"/>
    <x v="3"/>
    <s v="PROD-1476"/>
    <x v="68"/>
    <n v="10"/>
    <n v="0.3"/>
    <n v="-382.2"/>
    <s v="OK"/>
  </r>
  <r>
    <s v="ORD-1655"/>
    <x v="59"/>
    <d v="2021-04-23T00:00:00"/>
    <s v="Second Class"/>
    <x v="58"/>
    <x v="58"/>
    <s v="Home Office"/>
    <s v="Spokane"/>
    <s v="Washington"/>
    <x v="3"/>
    <x v="1"/>
    <x v="2"/>
    <s v="PROD-9235"/>
    <x v="69"/>
    <n v="10"/>
    <n v="0.4"/>
    <n v="-5.73"/>
    <s v="OK"/>
  </r>
  <r>
    <s v="ORD-1554"/>
    <x v="59"/>
    <d v="2021-04-25T00:00:00"/>
    <s v="Standard Class"/>
    <x v="59"/>
    <x v="59"/>
    <s v="Consumer"/>
    <s v="Virginia Beach"/>
    <s v="Virginia"/>
    <x v="1"/>
    <x v="2"/>
    <x v="11"/>
    <s v="PROD-1438"/>
    <x v="70"/>
    <n v="3"/>
    <n v="0"/>
    <n v="33.15"/>
    <s v="OK"/>
  </r>
  <r>
    <s v="ORD-1776"/>
    <x v="60"/>
    <d v="2021-04-24T00:00:00"/>
    <s v="First Class"/>
    <x v="60"/>
    <x v="60"/>
    <s v="Home Office"/>
    <s v="Fort Wayne"/>
    <s v="Indiana"/>
    <x v="2"/>
    <x v="1"/>
    <x v="8"/>
    <s v="PROD-3681"/>
    <x v="71"/>
    <n v="6"/>
    <n v="0.5"/>
    <n v="-112.41"/>
    <s v="OK"/>
  </r>
  <r>
    <s v="ORD-1440"/>
    <x v="60"/>
    <d v="2021-04-27T00:00:00"/>
    <s v="Standard Class"/>
    <x v="1"/>
    <x v="1"/>
    <s v="Home Office"/>
    <s v="Philadelphia"/>
    <s v="Pennsylvania"/>
    <x v="1"/>
    <x v="2"/>
    <x v="5"/>
    <s v="PROD-7421"/>
    <x v="72"/>
    <n v="8"/>
    <n v="0"/>
    <n v="226.53"/>
    <s v="OK"/>
  </r>
  <r>
    <s v="ORD-1287"/>
    <x v="61"/>
    <d v="2021-04-26T00:00:00"/>
    <s v="Second Class"/>
    <x v="61"/>
    <x v="61"/>
    <s v="Consumer"/>
    <s v="Pittsburgh"/>
    <s v="Pennsylvania"/>
    <x v="1"/>
    <x v="1"/>
    <x v="1"/>
    <s v="PROD-2154"/>
    <x v="73"/>
    <n v="6"/>
    <n v="0"/>
    <n v="735.43"/>
    <s v="OK"/>
  </r>
  <r>
    <s v="ORD-1606"/>
    <x v="62"/>
    <d v="2021-05-01T00:00:00"/>
    <s v="Standard Class"/>
    <x v="62"/>
    <x v="62"/>
    <s v="Consumer"/>
    <s v="Boston"/>
    <s v="Massachusetts"/>
    <x v="1"/>
    <x v="1"/>
    <x v="1"/>
    <s v="PROD-7248"/>
    <x v="74"/>
    <n v="1"/>
    <n v="0.1"/>
    <n v="192.92"/>
    <s v="OK"/>
  </r>
  <r>
    <s v="ORD-1974"/>
    <x v="62"/>
    <d v="2021-04-29T00:00:00"/>
    <s v="Standard Class"/>
    <x v="63"/>
    <x v="63"/>
    <s v="Corporate"/>
    <s v="Phoenix"/>
    <s v="Arizona"/>
    <x v="3"/>
    <x v="0"/>
    <x v="6"/>
    <s v="PROD-9752"/>
    <x v="75"/>
    <n v="5"/>
    <n v="0.05"/>
    <n v="159.4"/>
    <s v="OK"/>
  </r>
  <r>
    <s v="ORD-1525"/>
    <x v="63"/>
    <d v="2021-04-28T00:00:00"/>
    <s v="First Class"/>
    <x v="64"/>
    <x v="64"/>
    <s v="Corporate"/>
    <s v="Montgomery"/>
    <s v="Alabama"/>
    <x v="0"/>
    <x v="2"/>
    <x v="11"/>
    <s v="PROD-3423"/>
    <x v="76"/>
    <n v="10"/>
    <n v="0.5"/>
    <n v="-0.28999999999999998"/>
    <s v="OK"/>
  </r>
  <r>
    <s v="ORD-1199"/>
    <x v="64"/>
    <d v="2021-05-01T00:00:00"/>
    <s v="Second Class"/>
    <x v="65"/>
    <x v="65"/>
    <s v="Consumer"/>
    <s v="Charlotte"/>
    <s v="North Carolina"/>
    <x v="0"/>
    <x v="0"/>
    <x v="3"/>
    <s v="PROD-4584"/>
    <x v="77"/>
    <n v="-3"/>
    <n v="0.3"/>
    <n v="-201.86"/>
    <s v="OK"/>
  </r>
  <r>
    <s v="ORD-1870"/>
    <x v="65"/>
    <d v="2021-05-02T00:00:00"/>
    <s v="Second Class"/>
    <x v="66"/>
    <x v="66"/>
    <s v="Consumer"/>
    <s v="Minneapolis"/>
    <s v="Minnesota"/>
    <x v="2"/>
    <x v="2"/>
    <x v="14"/>
    <s v="PROD-1130"/>
    <x v="78"/>
    <n v="1"/>
    <n v="0.5"/>
    <n v="-15.69"/>
    <s v="OK"/>
  </r>
  <r>
    <s v="ORD-1759"/>
    <x v="66"/>
    <d v="2021-05-01T00:00:00"/>
    <s v="First Class"/>
    <x v="66"/>
    <x v="66"/>
    <s v="Consumer"/>
    <s v="Minneapolis"/>
    <s v="Minnesota"/>
    <x v="2"/>
    <x v="2"/>
    <x v="13"/>
    <s v="PROD-2641"/>
    <x v="79"/>
    <n v="6"/>
    <n v="0.2"/>
    <n v="53.41"/>
    <s v="OK"/>
  </r>
  <r>
    <s v="ORD-1151"/>
    <x v="67"/>
    <d v="2021-05-06T00:00:00"/>
    <s v="First Class"/>
    <x v="54"/>
    <x v="54"/>
    <s v="Home Office"/>
    <s v="Bridgeport"/>
    <s v="Connecticut"/>
    <x v="1"/>
    <x v="1"/>
    <x v="8"/>
    <s v="PROD-5605"/>
    <x v="80"/>
    <n v="3"/>
    <n v="0.05"/>
    <n v="132.47999999999999"/>
    <s v="OK"/>
  </r>
  <r>
    <s v="ORD-1735"/>
    <x v="68"/>
    <d v="2021-05-07T00:00:00"/>
    <s v="Second Class"/>
    <x v="22"/>
    <x v="22"/>
    <s v="Corporate"/>
    <s v="Indianapolis"/>
    <s v="Indiana"/>
    <x v="2"/>
    <x v="0"/>
    <x v="7"/>
    <s v="PROD-9171"/>
    <x v="81"/>
    <n v="7"/>
    <n v="0.05"/>
    <n v="594.41999999999996"/>
    <s v="OK"/>
  </r>
  <r>
    <s v="ORD-1854"/>
    <x v="68"/>
    <d v="2021-05-10T00:00:00"/>
    <s v="Standard Class"/>
    <x v="67"/>
    <x v="67"/>
    <s v="Corporate"/>
    <s v="Virginia Beach"/>
    <s v="Virginia"/>
    <x v="1"/>
    <x v="2"/>
    <x v="4"/>
    <s v="PROD-3843"/>
    <x v="82"/>
    <n v="1"/>
    <n v="0.1"/>
    <n v="74.209999999999994"/>
    <s v="OK"/>
  </r>
  <r>
    <s v="ORD-1474"/>
    <x v="69"/>
    <d v="2021-05-07T00:00:00"/>
    <s v="First Class"/>
    <x v="68"/>
    <x v="68"/>
    <s v="Consumer"/>
    <s v="Detroit"/>
    <s v="Michigan"/>
    <x v="2"/>
    <x v="0"/>
    <x v="7"/>
    <s v="PROD-3915"/>
    <x v="83"/>
    <n v="1"/>
    <n v="0.2"/>
    <n v="46.93"/>
    <s v="OK"/>
  </r>
  <r>
    <s v="ORD-1397"/>
    <x v="69"/>
    <d v="2021-05-06T00:00:00"/>
    <s v="First Class"/>
    <x v="69"/>
    <x v="69"/>
    <s v="Consumer"/>
    <s v="Richmond"/>
    <s v="Virginia"/>
    <x v="1"/>
    <x v="1"/>
    <x v="2"/>
    <s v="PROD-5444"/>
    <x v="84"/>
    <n v="9"/>
    <n v="0"/>
    <n v="322.33999999999997"/>
    <s v="OK"/>
  </r>
  <r>
    <s v="ORD-1019"/>
    <x v="70"/>
    <d v="2021-05-08T00:00:00"/>
    <s v="Same Day"/>
    <x v="70"/>
    <x v="70"/>
    <s v="Consumer"/>
    <s v="Buffalo"/>
    <s v="New York"/>
    <x v="1"/>
    <x v="1"/>
    <x v="1"/>
    <s v="PROD-6626"/>
    <x v="85"/>
    <n v="8"/>
    <n v="0.4"/>
    <n v="-1121.8599999999999"/>
    <s v="OK"/>
  </r>
  <r>
    <s v="ORD-1409"/>
    <x v="71"/>
    <d v="2021-05-20T00:00:00"/>
    <s v="Second Class"/>
    <x v="71"/>
    <x v="71"/>
    <s v="Consumer"/>
    <s v="Charlotte"/>
    <s v="North Carolina"/>
    <x v="0"/>
    <x v="0"/>
    <x v="6"/>
    <s v="PROD-9027"/>
    <x v="86"/>
    <n v="4"/>
    <n v="0.05"/>
    <n v="174.35"/>
    <s v="OK"/>
  </r>
  <r>
    <s v="ORD-1532"/>
    <x v="72"/>
    <d v="2021-05-21T00:00:00"/>
    <s v="First Class"/>
    <x v="72"/>
    <x v="72"/>
    <s v="Corporate"/>
    <s v="Cleveland"/>
    <s v="Ohio"/>
    <x v="2"/>
    <x v="1"/>
    <x v="1"/>
    <s v="PROD-8872"/>
    <x v="87"/>
    <n v="5"/>
    <n v="0.3"/>
    <n v="-261.57"/>
    <s v="OK"/>
  </r>
  <r>
    <s v="ORD-1532"/>
    <x v="72"/>
    <d v="2021-05-21T00:00:00"/>
    <s v="First Class"/>
    <x v="72"/>
    <x v="72"/>
    <s v="Corporate"/>
    <s v="Cleveland"/>
    <s v="Ohio"/>
    <x v="2"/>
    <x v="1"/>
    <x v="1"/>
    <s v="PROD-8872"/>
    <x v="87"/>
    <n v="5"/>
    <n v="0.3"/>
    <n v="-261.57"/>
    <s v="OK"/>
  </r>
  <r>
    <s v="ORD-1427"/>
    <x v="73"/>
    <d v="2021-05-22T00:00:00"/>
    <s v="First Class"/>
    <x v="73"/>
    <x v="73"/>
    <s v="Corporate"/>
    <s v="Detroit"/>
    <s v="Michigan"/>
    <x v="2"/>
    <x v="1"/>
    <x v="1"/>
    <s v="PROD-9301"/>
    <x v="88"/>
    <n v="4"/>
    <n v="0.1"/>
    <n v="258.8"/>
    <s v="OK"/>
  </r>
  <r>
    <s v="ORD-1037"/>
    <x v="73"/>
    <d v="2021-05-21T00:00:00"/>
    <s v="First Class"/>
    <x v="42"/>
    <x v="42"/>
    <s v="Consumer"/>
    <s v="Las Vegas"/>
    <s v="Nevada"/>
    <x v="3"/>
    <x v="1"/>
    <x v="8"/>
    <s v="PROD-2698"/>
    <x v="89"/>
    <n v="5"/>
    <n v="0"/>
    <n v="1582.05"/>
    <s v="OK"/>
  </r>
  <r>
    <s v="ORD-1036"/>
    <x v="73"/>
    <d v="2021-05-25T00:00:00"/>
    <s v="Standard Class"/>
    <x v="41"/>
    <x v="41"/>
    <s v="Home Office"/>
    <s v="Jersey City"/>
    <s v="New Jersey"/>
    <x v="1"/>
    <x v="1"/>
    <x v="8"/>
    <s v="PROD-8702"/>
    <x v="90"/>
    <n v="2"/>
    <n v="0.4"/>
    <n v="-33.43"/>
    <s v="OK"/>
  </r>
  <r>
    <s v="ORD-1313"/>
    <x v="74"/>
    <d v="2021-05-25T00:00:00"/>
    <s v="Second Class"/>
    <x v="37"/>
    <x v="37"/>
    <s v="Home Office"/>
    <s v="Fort Wayne"/>
    <s v="Indiana"/>
    <x v="2"/>
    <x v="1"/>
    <x v="9"/>
    <s v="PROD-7315"/>
    <x v="91"/>
    <n v="6"/>
    <n v="0.3"/>
    <n v="-318.83"/>
    <s v="OK"/>
  </r>
  <r>
    <s v="ORD-1178"/>
    <x v="75"/>
    <d v="2021-05-24T00:00:00"/>
    <s v="Same Day"/>
    <x v="74"/>
    <x v="74"/>
    <s v="Home Office"/>
    <s v="Phoenix"/>
    <s v="Arizona"/>
    <x v="3"/>
    <x v="0"/>
    <x v="0"/>
    <s v="PROD-6090"/>
    <x v="92"/>
    <n v="9"/>
    <n v="0"/>
    <n v="322.37"/>
    <s v="OK"/>
  </r>
  <r>
    <s v="ORD-1092"/>
    <x v="75"/>
    <d v="2021-05-23T00:00:00"/>
    <s v="Same Day"/>
    <x v="42"/>
    <x v="42"/>
    <s v="Consumer"/>
    <s v="Las Vegas"/>
    <s v="Nevada"/>
    <x v="3"/>
    <x v="2"/>
    <x v="13"/>
    <s v="PROD-5703"/>
    <x v="93"/>
    <n v="9"/>
    <n v="0"/>
    <n v="97.97"/>
    <s v="OK"/>
  </r>
  <r>
    <s v="ORD-1549"/>
    <x v="76"/>
    <d v="2021-05-26T00:00:00"/>
    <s v="Same Day"/>
    <x v="75"/>
    <x v="75"/>
    <s v="Consumer"/>
    <s v="Miami"/>
    <s v="Florida"/>
    <x v="0"/>
    <x v="2"/>
    <x v="11"/>
    <s v="PROD-7020"/>
    <x v="94"/>
    <n v="5"/>
    <n v="0.2"/>
    <n v="30.62"/>
    <s v="OK"/>
  </r>
  <r>
    <s v="ORD-1930"/>
    <x v="76"/>
    <d v="2021-05-26T00:00:00"/>
    <s v="Second Class"/>
    <x v="76"/>
    <x v="76"/>
    <s v="Consumer"/>
    <s v="Milwaukee"/>
    <s v="Wisconsin"/>
    <x v="2"/>
    <x v="0"/>
    <x v="3"/>
    <s v="PROD-6442"/>
    <x v="95"/>
    <n v="4"/>
    <n v="0"/>
    <n v="358.3"/>
    <s v="OK"/>
  </r>
  <r>
    <s v="ORD-1238"/>
    <x v="77"/>
    <d v="2021-05-27T00:00:00"/>
    <s v="Same Day"/>
    <x v="77"/>
    <x v="77"/>
    <s v="Consumer"/>
    <s v="Detroit"/>
    <s v="Michigan"/>
    <x v="2"/>
    <x v="0"/>
    <x v="3"/>
    <s v="PROD-9199"/>
    <x v="96"/>
    <n v="10"/>
    <n v="0.5"/>
    <n v="-673.37"/>
    <s v="OK"/>
  </r>
  <r>
    <s v="ORD-1439"/>
    <x v="77"/>
    <d v="2021-05-30T00:00:00"/>
    <s v="First Class"/>
    <x v="78"/>
    <x v="78"/>
    <s v="Home Office"/>
    <s v="Spokane"/>
    <s v="Washington"/>
    <x v="3"/>
    <x v="1"/>
    <x v="9"/>
    <s v="PROD-6549"/>
    <x v="97"/>
    <n v="5"/>
    <n v="0.5"/>
    <n v="-844.19"/>
    <s v="OK"/>
  </r>
  <r>
    <s v="ORD-1289"/>
    <x v="78"/>
    <d v="2021-06-02T00:00:00"/>
    <s v="First Class"/>
    <x v="79"/>
    <x v="79"/>
    <s v="Corporate"/>
    <s v="Saint Paul"/>
    <s v="Minnesota"/>
    <x v="2"/>
    <x v="0"/>
    <x v="7"/>
    <s v="PROD-2738"/>
    <x v="98"/>
    <n v="10"/>
    <n v="0"/>
    <n v="1984.36"/>
    <s v="OK"/>
  </r>
  <r>
    <s v="ORD-1972"/>
    <x v="79"/>
    <d v="2021-06-05T00:00:00"/>
    <s v="Standard Class"/>
    <x v="80"/>
    <x v="80"/>
    <s v="Corporate"/>
    <s v="Birmingham"/>
    <s v="Alabama"/>
    <x v="0"/>
    <x v="0"/>
    <x v="0"/>
    <s v="PROD-2159"/>
    <x v="99"/>
    <n v="6"/>
    <n v="0"/>
    <n v="313.91000000000003"/>
    <s v="OK"/>
  </r>
  <r>
    <s v="ORD-1294"/>
    <x v="79"/>
    <d v="2021-06-03T00:00:00"/>
    <s v="First Class"/>
    <x v="81"/>
    <x v="81"/>
    <s v="Corporate"/>
    <s v="Hartford"/>
    <s v="Connecticut"/>
    <x v="1"/>
    <x v="1"/>
    <x v="2"/>
    <s v="PROD-2103"/>
    <x v="100"/>
    <n v="9"/>
    <n v="0.3"/>
    <n v="118.8"/>
    <s v="OK"/>
  </r>
  <r>
    <s v="ORD-1117"/>
    <x v="80"/>
    <d v="2021-06-06T00:00:00"/>
    <s v="First Class"/>
    <x v="82"/>
    <x v="82"/>
    <s v="Corporate"/>
    <s v="Fort Wayne"/>
    <s v="Indiana"/>
    <x v="2"/>
    <x v="0"/>
    <x v="0"/>
    <s v="PROD-1539"/>
    <x v="101"/>
    <n v="10"/>
    <n v="0.3"/>
    <n v="27.64"/>
    <s v="OK"/>
  </r>
  <r>
    <s v="ORD-1260"/>
    <x v="81"/>
    <d v="2021-06-05T00:00:00"/>
    <s v="Same Day"/>
    <x v="83"/>
    <x v="83"/>
    <s v="Home Office"/>
    <s v="Boston"/>
    <s v="Massachusetts"/>
    <x v="1"/>
    <x v="1"/>
    <x v="1"/>
    <s v="PROD-4946"/>
    <x v="102"/>
    <n v="8"/>
    <n v="0.3"/>
    <n v="-1894.61"/>
    <s v="OK"/>
  </r>
  <r>
    <s v="ORD-1555"/>
    <x v="82"/>
    <d v="2021-06-08T00:00:00"/>
    <s v="Same Day"/>
    <x v="84"/>
    <x v="84"/>
    <s v="Consumer"/>
    <s v="San Diego"/>
    <s v="California"/>
    <x v="3"/>
    <x v="2"/>
    <x v="13"/>
    <s v="PROD-4308"/>
    <x v="103"/>
    <n v="10"/>
    <n v="0.5"/>
    <n v="1.1399999999999999"/>
    <s v="OK"/>
  </r>
  <r>
    <s v="ORD-1513"/>
    <x v="83"/>
    <d v="2021-06-12T00:00:00"/>
    <s v="Standard Class"/>
    <x v="85"/>
    <x v="85"/>
    <s v="Consumer"/>
    <s v="Cleveland"/>
    <s v="Ohio"/>
    <x v="2"/>
    <x v="2"/>
    <x v="10"/>
    <s v="PROD-5521"/>
    <x v="104"/>
    <n v="3"/>
    <n v="0.1"/>
    <n v="6.28"/>
    <s v="OK"/>
  </r>
  <r>
    <s v="ORD-1385"/>
    <x v="84"/>
    <d v="2021-06-11T00:00:00"/>
    <s v="First Class"/>
    <x v="22"/>
    <x v="22"/>
    <s v="Corporate"/>
    <s v="Indianapolis"/>
    <s v="Indiana"/>
    <x v="2"/>
    <x v="2"/>
    <x v="15"/>
    <s v="PROD-3832"/>
    <x v="105"/>
    <n v="7"/>
    <n v="0.5"/>
    <n v="-1.68"/>
    <s v="OK"/>
  </r>
  <r>
    <s v="ORD-1306"/>
    <x v="85"/>
    <d v="2021-06-12T00:00:00"/>
    <s v="First Class"/>
    <x v="86"/>
    <x v="86"/>
    <s v="Consumer"/>
    <s v="Worcester"/>
    <s v="Massachusetts"/>
    <x v="1"/>
    <x v="1"/>
    <x v="1"/>
    <s v="PROD-4651"/>
    <x v="106"/>
    <n v="7"/>
    <n v="0.15"/>
    <n v="1019.23"/>
    <s v="OK"/>
  </r>
  <r>
    <s v="ORD-1981"/>
    <x v="86"/>
    <d v="2021-06-13T00:00:00"/>
    <s v="Second Class"/>
    <x v="87"/>
    <x v="87"/>
    <s v="Corporate"/>
    <s v="Savannah"/>
    <s v="Georgia"/>
    <x v="0"/>
    <x v="0"/>
    <x v="7"/>
    <s v="PROD-9535"/>
    <x v="107"/>
    <n v="7"/>
    <n v="0.5"/>
    <n v="-340.97"/>
    <s v="OK"/>
  </r>
  <r>
    <s v="ORD-1376"/>
    <x v="87"/>
    <d v="2021-06-16T00:00:00"/>
    <s v="Same Day"/>
    <x v="88"/>
    <x v="88"/>
    <s v="Corporate"/>
    <s v="Denver"/>
    <s v="Colorado"/>
    <x v="3"/>
    <x v="1"/>
    <x v="2"/>
    <s v="PROD-1994"/>
    <x v="108"/>
    <n v="4"/>
    <n v="0.3"/>
    <n v="1.57"/>
    <s v="OK"/>
  </r>
  <r>
    <s v="ORD-1942"/>
    <x v="88"/>
    <d v="2021-06-17T00:00:00"/>
    <s v="First Class"/>
    <x v="89"/>
    <x v="89"/>
    <s v="Home Office"/>
    <s v="Bridgeport"/>
    <s v="Connecticut"/>
    <x v="1"/>
    <x v="1"/>
    <x v="9"/>
    <s v="PROD-1526"/>
    <x v="109"/>
    <n v="4"/>
    <n v="0.2"/>
    <n v="-22.57"/>
    <s v="OK"/>
  </r>
  <r>
    <s v="ORD-1115"/>
    <x v="88"/>
    <d v="2021-06-20T00:00:00"/>
    <s v="Standard Class"/>
    <x v="90"/>
    <x v="90"/>
    <s v="Corporate"/>
    <s v="Springfield"/>
    <s v="Illinois"/>
    <x v="2"/>
    <x v="2"/>
    <x v="16"/>
    <s v="PROD-7640"/>
    <x v="110"/>
    <n v="4"/>
    <n v="0.05"/>
    <n v="76.010000000000005"/>
    <s v="OK"/>
  </r>
  <r>
    <s v="ORD-1285"/>
    <x v="89"/>
    <d v="2021-06-23T00:00:00"/>
    <s v="Standard Class"/>
    <x v="64"/>
    <x v="64"/>
    <s v="Corporate"/>
    <s v="Montgomery"/>
    <s v="Alabama"/>
    <x v="0"/>
    <x v="1"/>
    <x v="8"/>
    <s v="PROD-9814"/>
    <x v="111"/>
    <n v="5"/>
    <n v="0.05"/>
    <n v="726.18"/>
    <s v="OK"/>
  </r>
  <r>
    <s v="ORD-1464"/>
    <x v="90"/>
    <d v="2021-06-27T00:00:00"/>
    <s v="Second Class"/>
    <x v="91"/>
    <x v="91"/>
    <s v="Consumer"/>
    <s v="Savannah"/>
    <s v="Georgia"/>
    <x v="0"/>
    <x v="1"/>
    <x v="1"/>
    <s v="PROD-3525"/>
    <x v="112"/>
    <n v="9"/>
    <n v="0"/>
    <n v="5185.87"/>
    <s v="OK"/>
  </r>
  <r>
    <s v="ORD-1125"/>
    <x v="91"/>
    <d v="2021-06-28T00:00:00"/>
    <s v="Second Class"/>
    <x v="55"/>
    <x v="55"/>
    <s v="Home Office"/>
    <s v="Springfield"/>
    <s v="Illinois"/>
    <x v="2"/>
    <x v="1"/>
    <x v="9"/>
    <s v="PROD-9537"/>
    <x v="113"/>
    <n v="1"/>
    <n v="0.1"/>
    <n v="198.89"/>
    <s v="OK"/>
  </r>
  <r>
    <s v="ORD-1860"/>
    <x v="92"/>
    <d v="2021-07-01T00:00:00"/>
    <s v="Standard Class"/>
    <x v="55"/>
    <x v="55"/>
    <s v="Home Office"/>
    <s v="Springfield"/>
    <s v="Illinois"/>
    <x v="2"/>
    <x v="0"/>
    <x v="6"/>
    <s v="PROD-8926"/>
    <x v="114"/>
    <n v="4"/>
    <n v="0"/>
    <n v="66.05"/>
    <s v="OK"/>
  </r>
  <r>
    <s v="ORD-1171"/>
    <x v="93"/>
    <d v="2021-06-27T00:00:00"/>
    <s v="Same Day"/>
    <x v="17"/>
    <x v="17"/>
    <s v="Home Office"/>
    <s v="Columbus"/>
    <s v="Ohio"/>
    <x v="2"/>
    <x v="1"/>
    <x v="2"/>
    <s v="PROD-8428"/>
    <x v="115"/>
    <n v="7"/>
    <n v="0.05"/>
    <n v="203"/>
    <s v="OK"/>
  </r>
  <r>
    <s v="ORD-1402"/>
    <x v="94"/>
    <d v="2021-07-02T00:00:00"/>
    <s v="Same Day"/>
    <x v="92"/>
    <x v="92"/>
    <s v="Corporate"/>
    <s v="Atlanta"/>
    <s v="Georgia"/>
    <x v="0"/>
    <x v="0"/>
    <x v="6"/>
    <s v="PROD-4726"/>
    <x v="116"/>
    <n v="6"/>
    <n v="0.2"/>
    <n v="30.1"/>
    <s v="OK"/>
  </r>
  <r>
    <s v="ORD-1205"/>
    <x v="95"/>
    <d v="2021-07-04T00:00:00"/>
    <s v="First Class"/>
    <x v="39"/>
    <x v="39"/>
    <s v="Corporate"/>
    <s v="Philadelphia"/>
    <s v="Pennsylvania"/>
    <x v="1"/>
    <x v="0"/>
    <x v="0"/>
    <s v="PROD-1186"/>
    <x v="117"/>
    <n v="6"/>
    <n v="0"/>
    <n v="372.98"/>
    <s v="OK"/>
  </r>
  <r>
    <s v="ORD-1124"/>
    <x v="96"/>
    <d v="2021-07-07T00:00:00"/>
    <s v="First Class"/>
    <x v="8"/>
    <x v="8"/>
    <s v="Corporate"/>
    <s v="Boston"/>
    <s v="Massachusetts"/>
    <x v="1"/>
    <x v="2"/>
    <x v="4"/>
    <s v="PROD-2524"/>
    <x v="118"/>
    <n v="9"/>
    <n v="0.2"/>
    <n v="333.8"/>
    <s v="OK"/>
  </r>
  <r>
    <s v="ORD-1666"/>
    <x v="96"/>
    <d v="2021-07-06T00:00:00"/>
    <s v="Same Day"/>
    <x v="93"/>
    <x v="93"/>
    <s v="Consumer"/>
    <s v="Austin"/>
    <s v="Texas"/>
    <x v="0"/>
    <x v="1"/>
    <x v="9"/>
    <s v="PROD-3014"/>
    <x v="119"/>
    <n v="9"/>
    <n v="0.5"/>
    <n v="-487.2"/>
    <s v="OK"/>
  </r>
  <r>
    <s v="ORD-1018"/>
    <x v="97"/>
    <d v="2021-07-06T00:00:00"/>
    <s v="Same Day"/>
    <x v="70"/>
    <x v="70"/>
    <s v="Consumer"/>
    <s v="Buffalo"/>
    <s v="New York"/>
    <x v="1"/>
    <x v="0"/>
    <x v="7"/>
    <s v="PROD-1672"/>
    <x v="120"/>
    <n v="5"/>
    <n v="0"/>
    <n v="564.62"/>
    <s v="OK"/>
  </r>
  <r>
    <s v="ORD-1251"/>
    <x v="97"/>
    <d v="2021-07-11T00:00:00"/>
    <s v="Standard Class"/>
    <x v="94"/>
    <x v="94"/>
    <s v="Consumer"/>
    <s v="Columbus"/>
    <s v="Ohio"/>
    <x v="2"/>
    <x v="0"/>
    <x v="7"/>
    <s v="PROD-2659"/>
    <x v="121"/>
    <n v="10"/>
    <n v="0.3"/>
    <n v="777.93"/>
    <s v="OK"/>
  </r>
  <r>
    <s v="ORD-1750"/>
    <x v="98"/>
    <d v="2021-07-11T00:00:00"/>
    <s v="Same Day"/>
    <x v="66"/>
    <x v="66"/>
    <s v="Consumer"/>
    <s v="Minneapolis"/>
    <s v="Minnesota"/>
    <x v="2"/>
    <x v="0"/>
    <x v="6"/>
    <s v="PROD-2316"/>
    <x v="122"/>
    <n v="10"/>
    <n v="0"/>
    <n v="226.91"/>
    <s v="OK"/>
  </r>
  <r>
    <s v="ORD-1750"/>
    <x v="98"/>
    <d v="2021-07-11T00:00:00"/>
    <s v="Same Day"/>
    <x v="66"/>
    <x v="66"/>
    <s v="Consumer"/>
    <s v="Minneapolis"/>
    <s v="Minnesota"/>
    <x v="2"/>
    <x v="0"/>
    <x v="6"/>
    <s v="PROD-2316"/>
    <x v="122"/>
    <n v="10"/>
    <n v="0"/>
    <n v="226.91"/>
    <s v="OK"/>
  </r>
  <r>
    <s v="ORD-1154"/>
    <x v="99"/>
    <d v="2021-07-13T00:00:00"/>
    <s v="Same Day"/>
    <x v="59"/>
    <x v="59"/>
    <s v="Consumer"/>
    <s v="Virginia Beach"/>
    <s v="Virginia"/>
    <x v="1"/>
    <x v="0"/>
    <x v="6"/>
    <s v="PROD-5558"/>
    <x v="123"/>
    <n v="7"/>
    <n v="0.3"/>
    <n v="79.56"/>
    <s v="OK"/>
  </r>
  <r>
    <s v="ORD-1315"/>
    <x v="99"/>
    <d v="2021-07-13T00:00:00"/>
    <s v="Same Day"/>
    <x v="95"/>
    <x v="95"/>
    <s v="Consumer"/>
    <s v="Springfield"/>
    <s v="Illinois"/>
    <x v="2"/>
    <x v="1"/>
    <x v="2"/>
    <s v="PROD-3135"/>
    <x v="124"/>
    <n v="9"/>
    <n v="0.4"/>
    <n v="-64.239999999999995"/>
    <s v="OK"/>
  </r>
  <r>
    <s v="ORD-1155"/>
    <x v="99"/>
    <d v="2021-07-13T00:00:00"/>
    <s v="Same Day"/>
    <x v="69"/>
    <x v="69"/>
    <s v="Consumer"/>
    <s v="Richmond"/>
    <s v="Virginia"/>
    <x v="1"/>
    <x v="2"/>
    <x v="4"/>
    <s v="PROD-6869"/>
    <x v="125"/>
    <n v="6"/>
    <n v="0.5"/>
    <n v="-120.72"/>
    <s v="OK"/>
  </r>
  <r>
    <s v="ORD-1778"/>
    <x v="100"/>
    <d v="2021-07-19T00:00:00"/>
    <s v="First Class"/>
    <x v="16"/>
    <x v="16"/>
    <s v="Corporate"/>
    <s v="Hartford"/>
    <s v="Connecticut"/>
    <x v="1"/>
    <x v="0"/>
    <x v="3"/>
    <s v="PROD-3943"/>
    <x v="126"/>
    <n v="7"/>
    <n v="0"/>
    <n v="191.76"/>
    <s v="OK"/>
  </r>
  <r>
    <s v="ORD-1343"/>
    <x v="101"/>
    <d v="2021-07-20T00:00:00"/>
    <s v="Same Day"/>
    <x v="96"/>
    <x v="96"/>
    <s v="Home Office"/>
    <s v="Seattle"/>
    <s v="Washington"/>
    <x v="3"/>
    <x v="0"/>
    <x v="0"/>
    <s v="PROD-6483"/>
    <x v="127"/>
    <n v="5"/>
    <n v="0.3"/>
    <n v="-30.82"/>
    <s v="OK"/>
  </r>
  <r>
    <s v="ORD-1943"/>
    <x v="102"/>
    <d v="2021-07-23T00:00:00"/>
    <s v="First Class"/>
    <x v="97"/>
    <x v="97"/>
    <s v="Home Office"/>
    <s v="Portland"/>
    <s v="Oregon"/>
    <x v="3"/>
    <x v="2"/>
    <x v="11"/>
    <s v="PROD-6091"/>
    <x v="128"/>
    <n v="7"/>
    <n v="0.2"/>
    <n v="54.73"/>
    <s v="OK"/>
  </r>
  <r>
    <s v="ORD-1822"/>
    <x v="103"/>
    <d v="2021-07-29T00:00:00"/>
    <s v="Standard Class"/>
    <x v="12"/>
    <x v="12"/>
    <s v="Consumer"/>
    <s v="Tucson"/>
    <s v="Arizona"/>
    <x v="3"/>
    <x v="1"/>
    <x v="2"/>
    <s v="PROD-6618"/>
    <x v="129"/>
    <n v="4"/>
    <n v="0.05"/>
    <n v="22.59"/>
    <s v="OK"/>
  </r>
  <r>
    <s v="ORD-1632"/>
    <x v="104"/>
    <d v="2021-07-28T00:00:00"/>
    <s v="Second Class"/>
    <x v="98"/>
    <x v="98"/>
    <s v="Home Office"/>
    <s v="Cleveland"/>
    <s v="Ohio"/>
    <x v="2"/>
    <x v="2"/>
    <x v="12"/>
    <s v="PROD-6959"/>
    <x v="130"/>
    <n v="8"/>
    <n v="0.4"/>
    <n v="-17.34"/>
    <s v="OK"/>
  </r>
  <r>
    <s v="ORD-1252"/>
    <x v="105"/>
    <d v="2021-07-27T00:00:00"/>
    <s v="Second Class"/>
    <x v="68"/>
    <x v="68"/>
    <s v="Consumer"/>
    <s v="Detroit"/>
    <s v="Michigan"/>
    <x v="2"/>
    <x v="1"/>
    <x v="1"/>
    <s v="PROD-5760"/>
    <x v="131"/>
    <n v="5"/>
    <n v="0.1"/>
    <n v="1549.35"/>
    <s v="OK"/>
  </r>
  <r>
    <s v="ORD-1196"/>
    <x v="106"/>
    <d v="2021-07-30T00:00:00"/>
    <s v="Second Class"/>
    <x v="7"/>
    <x v="7"/>
    <s v="Corporate"/>
    <s v="Tucson"/>
    <s v="Arizona"/>
    <x v="3"/>
    <x v="2"/>
    <x v="14"/>
    <s v="PROD-4951"/>
    <x v="132"/>
    <n v="10"/>
    <n v="0.05"/>
    <n v="80.290000000000006"/>
    <s v="OK"/>
  </r>
  <r>
    <s v="ORD-1732"/>
    <x v="107"/>
    <d v="2021-08-01T00:00:00"/>
    <s v="Second Class"/>
    <x v="42"/>
    <x v="42"/>
    <s v="Consumer"/>
    <s v="Las Vegas"/>
    <s v="Nevada"/>
    <x v="3"/>
    <x v="0"/>
    <x v="0"/>
    <s v="PROD-2552"/>
    <x v="133"/>
    <n v="10"/>
    <n v="0.3"/>
    <n v="-268.64"/>
    <s v="OK"/>
  </r>
  <r>
    <s v="ORD-1914"/>
    <x v="108"/>
    <d v="2021-08-04T00:00:00"/>
    <s v="Standard Class"/>
    <x v="17"/>
    <x v="17"/>
    <s v="Home Office"/>
    <s v="Columbus"/>
    <s v="Ohio"/>
    <x v="2"/>
    <x v="2"/>
    <x v="4"/>
    <s v="PROD-1783"/>
    <x v="134"/>
    <n v="2"/>
    <n v="0.15"/>
    <n v="40.450000000000003"/>
    <s v="OK"/>
  </r>
  <r>
    <s v="ORD-1840"/>
    <x v="108"/>
    <d v="2021-08-01T00:00:00"/>
    <s v="First Class"/>
    <x v="99"/>
    <x v="99"/>
    <s v="Consumer"/>
    <s v="Spokane"/>
    <s v="Washington"/>
    <x v="3"/>
    <x v="0"/>
    <x v="6"/>
    <s v="PROD-9381"/>
    <x v="135"/>
    <n v="2"/>
    <n v="0"/>
    <n v="69.27"/>
    <s v="OK"/>
  </r>
  <r>
    <s v="ORD-1476"/>
    <x v="109"/>
    <d v="2021-08-05T00:00:00"/>
    <s v="Standard Class"/>
    <x v="1"/>
    <x v="1"/>
    <s v="Home Office"/>
    <s v="Philadelphia"/>
    <s v="Pennsylvania"/>
    <x v="1"/>
    <x v="2"/>
    <x v="11"/>
    <s v="PROD-2153"/>
    <x v="136"/>
    <n v="2"/>
    <n v="0.3"/>
    <n v="6.36"/>
    <s v="OK"/>
  </r>
  <r>
    <s v="ORD-1204"/>
    <x v="110"/>
    <d v="2021-08-03T00:00:00"/>
    <s v="Same Day"/>
    <x v="81"/>
    <x v="81"/>
    <s v="Corporate"/>
    <s v="Hartford"/>
    <s v="Connecticut"/>
    <x v="1"/>
    <x v="1"/>
    <x v="9"/>
    <s v="PROD-6425"/>
    <x v="137"/>
    <n v="10"/>
    <n v="0.05"/>
    <n v="2366.65"/>
    <s v="OK"/>
  </r>
  <r>
    <s v="ORD-1185"/>
    <x v="111"/>
    <d v="2021-08-09T00:00:00"/>
    <s v="Second Class"/>
    <x v="100"/>
    <x v="100"/>
    <s v="Corporate"/>
    <s v="Saint Paul"/>
    <s v="Minnesota"/>
    <x v="2"/>
    <x v="0"/>
    <x v="7"/>
    <s v="PROD-8635"/>
    <x v="138"/>
    <n v="3"/>
    <n v="0.5"/>
    <n v="-199.19"/>
    <s v="OK"/>
  </r>
  <r>
    <s v="ORD-1081"/>
    <x v="112"/>
    <d v="2021-08-11T00:00:00"/>
    <s v="First Class"/>
    <x v="8"/>
    <x v="8"/>
    <s v="Corporate"/>
    <s v="Boston"/>
    <s v="Massachusetts"/>
    <x v="1"/>
    <x v="1"/>
    <x v="9"/>
    <s v="PROD-8444"/>
    <x v="139"/>
    <n v="-1"/>
    <n v="0.1"/>
    <n v="157.93"/>
    <s v="OK"/>
  </r>
  <r>
    <s v="ORD-1546"/>
    <x v="112"/>
    <d v="2021-08-12T00:00:00"/>
    <s v="Second Class"/>
    <x v="101"/>
    <x v="101"/>
    <s v="Corporate"/>
    <s v="Hartford"/>
    <s v="Connecticut"/>
    <x v="1"/>
    <x v="1"/>
    <x v="8"/>
    <s v="PROD-7219"/>
    <x v="140"/>
    <n v="10"/>
    <n v="0"/>
    <n v="1216.42"/>
    <s v="OK"/>
  </r>
  <r>
    <s v="ORD-1872"/>
    <x v="113"/>
    <d v="2021-08-12T00:00:00"/>
    <s v="Same Day"/>
    <x v="78"/>
    <x v="78"/>
    <s v="Home Office"/>
    <s v="Spokane"/>
    <s v="Washington"/>
    <x v="3"/>
    <x v="2"/>
    <x v="4"/>
    <s v="PROD-4268"/>
    <x v="141"/>
    <n v="8"/>
    <n v="0"/>
    <n v="659.74"/>
    <s v="OK"/>
  </r>
  <r>
    <s v="ORD-1232"/>
    <x v="113"/>
    <d v="2021-08-11T00:00:00"/>
    <s v="Same Day"/>
    <x v="102"/>
    <x v="102"/>
    <s v="Consumer"/>
    <s v="Charlotte"/>
    <s v="North Carolina"/>
    <x v="0"/>
    <x v="2"/>
    <x v="14"/>
    <s v="PROD-6509"/>
    <x v="142"/>
    <n v="10"/>
    <n v="0.1"/>
    <n v="184.49"/>
    <s v="OK"/>
  </r>
  <r>
    <s v="ORD-1994"/>
    <x v="114"/>
    <d v="2021-08-19T00:00:00"/>
    <s v="Standard Class"/>
    <x v="68"/>
    <x v="68"/>
    <s v="Consumer"/>
    <s v="Detroit"/>
    <s v="Michigan"/>
    <x v="2"/>
    <x v="0"/>
    <x v="6"/>
    <s v="PROD-8271"/>
    <x v="143"/>
    <n v="1"/>
    <n v="0.5"/>
    <n v="-15.5"/>
    <s v="OK"/>
  </r>
  <r>
    <s v="ORD-1558"/>
    <x v="115"/>
    <d v="2021-08-16T00:00:00"/>
    <s v="Same Day"/>
    <x v="103"/>
    <x v="103"/>
    <s v="Home Office"/>
    <s v="Denver"/>
    <s v="Colorado"/>
    <x v="3"/>
    <x v="0"/>
    <x v="3"/>
    <s v="PROD-9837"/>
    <x v="144"/>
    <n v="5"/>
    <n v="0.2"/>
    <n v="-217.81"/>
    <s v="OK"/>
  </r>
  <r>
    <s v="ORD-1842"/>
    <x v="116"/>
    <d v="2021-08-17T00:00:00"/>
    <s v="Second Class"/>
    <x v="2"/>
    <x v="2"/>
    <s v="Consumer"/>
    <s v="Cleveland"/>
    <s v="Ohio"/>
    <x v="2"/>
    <x v="1"/>
    <x v="8"/>
    <s v="PROD-5617"/>
    <x v="145"/>
    <n v="2"/>
    <n v="0.3"/>
    <n v="148.49"/>
    <s v="OK"/>
  </r>
  <r>
    <s v="ORD-1715"/>
    <x v="117"/>
    <d v="2021-08-20T00:00:00"/>
    <s v="Second Class"/>
    <x v="104"/>
    <x v="104"/>
    <s v="Corporate"/>
    <s v="Charlotte"/>
    <s v="North Carolina"/>
    <x v="0"/>
    <x v="1"/>
    <x v="2"/>
    <s v="PROD-7855"/>
    <x v="146"/>
    <n v="7"/>
    <n v="0.2"/>
    <n v="76.09"/>
    <s v="OK"/>
  </r>
  <r>
    <s v="ORD-1694"/>
    <x v="118"/>
    <d v="2021-08-18T00:00:00"/>
    <s v="First Class"/>
    <x v="105"/>
    <x v="105"/>
    <s v="Corporate"/>
    <s v="Richmond"/>
    <s v="Virginia"/>
    <x v="1"/>
    <x v="0"/>
    <x v="6"/>
    <s v="PROD-5998"/>
    <x v="147"/>
    <n v="1"/>
    <n v="0"/>
    <n v="62.11"/>
    <s v="OK"/>
  </r>
  <r>
    <s v="ORD-1395"/>
    <x v="118"/>
    <d v="2021-08-19T00:00:00"/>
    <s v="First Class"/>
    <x v="99"/>
    <x v="99"/>
    <s v="Consumer"/>
    <s v="Spokane"/>
    <s v="Washington"/>
    <x v="3"/>
    <x v="1"/>
    <x v="1"/>
    <s v="PROD-8719"/>
    <x v="148"/>
    <n v="5"/>
    <n v="0"/>
    <n v="4833.62"/>
    <s v="OK"/>
  </r>
  <r>
    <s v="ORD-1927"/>
    <x v="118"/>
    <d v="2021-08-19T00:00:00"/>
    <s v="Second Class"/>
    <x v="82"/>
    <x v="82"/>
    <s v="Corporate"/>
    <s v="Fort Wayne"/>
    <s v="Indiana"/>
    <x v="2"/>
    <x v="1"/>
    <x v="8"/>
    <s v="PROD-1870"/>
    <x v="149"/>
    <n v="2"/>
    <n v="0"/>
    <n v="306.19"/>
    <s v="OK"/>
  </r>
  <r>
    <s v="ORD-1541"/>
    <x v="119"/>
    <d v="2021-08-22T00:00:00"/>
    <s v="Standard Class"/>
    <x v="106"/>
    <x v="106"/>
    <s v="Home Office"/>
    <s v="Chicago"/>
    <s v="Illinois"/>
    <x v="2"/>
    <x v="0"/>
    <x v="0"/>
    <s v="PROD-8934"/>
    <x v="150"/>
    <n v="2"/>
    <n v="0.2"/>
    <n v="12.03"/>
    <s v="OK"/>
  </r>
  <r>
    <s v="ORD-1601"/>
    <x v="120"/>
    <d v="2021-08-22T00:00:00"/>
    <s v="Second Class"/>
    <x v="107"/>
    <x v="107"/>
    <s v="Home Office"/>
    <s v="Detroit"/>
    <s v="Michigan"/>
    <x v="2"/>
    <x v="2"/>
    <x v="13"/>
    <s v="PROD-6727"/>
    <x v="151"/>
    <n v="9"/>
    <n v="0.3"/>
    <n v="55.84"/>
    <s v="OK"/>
  </r>
  <r>
    <s v="ORD-1096"/>
    <x v="121"/>
    <d v="2021-08-27T00:00:00"/>
    <s v="Standard Class"/>
    <x v="108"/>
    <x v="108"/>
    <s v="Home Office"/>
    <s v="New York City"/>
    <s v="New York"/>
    <x v="1"/>
    <x v="0"/>
    <x v="3"/>
    <s v="PROD-7868"/>
    <x v="152"/>
    <n v="5"/>
    <n v="0.05"/>
    <n v="-37.659999999999997"/>
    <s v="OK"/>
  </r>
  <r>
    <s v="ORD-1447"/>
    <x v="122"/>
    <d v="2021-08-25T00:00:00"/>
    <s v="Same Day"/>
    <x v="109"/>
    <x v="109"/>
    <s v="Home Office"/>
    <s v="Atlanta"/>
    <s v="Georgia"/>
    <x v="0"/>
    <x v="1"/>
    <x v="1"/>
    <s v="PROD-2599"/>
    <x v="153"/>
    <n v="2"/>
    <n v="0.5"/>
    <n v="-571.54999999999995"/>
    <s v="OK"/>
  </r>
  <r>
    <s v="ORD-1814"/>
    <x v="123"/>
    <d v="2021-08-28T00:00:00"/>
    <s v="First Class"/>
    <x v="110"/>
    <x v="110"/>
    <s v="Consumer"/>
    <s v="Birmingham"/>
    <s v="Alabama"/>
    <x v="0"/>
    <x v="2"/>
    <x v="11"/>
    <s v="PROD-5052"/>
    <x v="154"/>
    <n v="9"/>
    <n v="0"/>
    <n v="93.76"/>
    <s v="OK"/>
  </r>
  <r>
    <s v="ORD-1764"/>
    <x v="124"/>
    <d v="2021-08-28T00:00:00"/>
    <s v="Same Day"/>
    <x v="89"/>
    <x v="89"/>
    <s v="Home Office"/>
    <s v="Bridgeport"/>
    <s v="Connecticut"/>
    <x v="1"/>
    <x v="2"/>
    <x v="14"/>
    <s v="PROD-9858"/>
    <x v="155"/>
    <n v="8"/>
    <n v="0"/>
    <n v="224.33"/>
    <s v="OK"/>
  </r>
  <r>
    <s v="ORD-1175"/>
    <x v="124"/>
    <d v="2021-08-30T00:00:00"/>
    <s v="Second Class"/>
    <x v="111"/>
    <x v="111"/>
    <s v="Consumer"/>
    <s v="Montgomery"/>
    <s v="Alabama"/>
    <x v="0"/>
    <x v="0"/>
    <x v="6"/>
    <s v="PROD-9336"/>
    <x v="156"/>
    <n v="2"/>
    <n v="0.5"/>
    <n v="-16.579999999999998"/>
    <s v="OK"/>
  </r>
  <r>
    <s v="ORD-1590"/>
    <x v="125"/>
    <d v="2021-09-05T00:00:00"/>
    <s v="Standard Class"/>
    <x v="112"/>
    <x v="112"/>
    <s v="Corporate"/>
    <s v="Boulder"/>
    <s v="Colorado"/>
    <x v="3"/>
    <x v="2"/>
    <x v="12"/>
    <s v="PROD-9615"/>
    <x v="157"/>
    <n v="6"/>
    <n v="0"/>
    <n v="28.09"/>
    <s v="OK"/>
  </r>
  <r>
    <s v="ORD-1150"/>
    <x v="125"/>
    <d v="2021-09-01T00:00:00"/>
    <s v="Second Class"/>
    <x v="113"/>
    <x v="113"/>
    <s v="Home Office"/>
    <s v="Raleigh"/>
    <s v="North Carolina"/>
    <x v="0"/>
    <x v="0"/>
    <x v="3"/>
    <s v="PROD-6744"/>
    <x v="158"/>
    <n v="2"/>
    <n v="0.3"/>
    <n v="-160.37"/>
    <s v="OK"/>
  </r>
  <r>
    <s v="ORD-1318"/>
    <x v="126"/>
    <d v="2021-09-05T00:00:00"/>
    <s v="Standard Class"/>
    <x v="20"/>
    <x v="20"/>
    <s v="Home Office"/>
    <s v="Fort Wayne"/>
    <s v="Indiana"/>
    <x v="2"/>
    <x v="1"/>
    <x v="8"/>
    <s v="PROD-4365"/>
    <x v="159"/>
    <n v="1"/>
    <n v="0"/>
    <n v="83.98"/>
    <s v="OK"/>
  </r>
  <r>
    <s v="ORD-1804"/>
    <x v="126"/>
    <d v="2021-09-02T00:00:00"/>
    <s v="First Class"/>
    <x v="27"/>
    <x v="27"/>
    <s v="Home Office"/>
    <s v="San Diego"/>
    <s v="California"/>
    <x v="3"/>
    <x v="2"/>
    <x v="10"/>
    <s v="PROD-8915"/>
    <x v="160"/>
    <n v="4"/>
    <n v="0.4"/>
    <n v="-0.55000000000000004"/>
    <s v="OK"/>
  </r>
  <r>
    <s v="ORD-1173"/>
    <x v="126"/>
    <d v="2021-09-05T00:00:00"/>
    <s v="Standard Class"/>
    <x v="36"/>
    <x v="36"/>
    <s v="Home Office"/>
    <s v="Grand Rapids"/>
    <s v="Michigan"/>
    <x v="2"/>
    <x v="1"/>
    <x v="9"/>
    <s v="PROD-8034"/>
    <x v="161"/>
    <n v="3"/>
    <n v="0.1"/>
    <n v="86.36"/>
    <s v="OK"/>
  </r>
  <r>
    <s v="ORD-1779"/>
    <x v="127"/>
    <d v="2021-09-05T00:00:00"/>
    <s v="Second Class"/>
    <x v="29"/>
    <x v="29"/>
    <s v="Corporate"/>
    <s v="San Francisco"/>
    <s v="California"/>
    <x v="3"/>
    <x v="0"/>
    <x v="6"/>
    <s v="PROD-9005"/>
    <x v="162"/>
    <n v="3"/>
    <n v="0.2"/>
    <n v="59.21"/>
    <s v="OK"/>
  </r>
  <r>
    <s v="ORD-1917"/>
    <x v="128"/>
    <d v="2021-09-07T00:00:00"/>
    <s v="Second Class"/>
    <x v="72"/>
    <x v="72"/>
    <s v="Corporate"/>
    <s v="Cleveland"/>
    <s v="Ohio"/>
    <x v="2"/>
    <x v="1"/>
    <x v="8"/>
    <s v="PROD-3424"/>
    <x v="163"/>
    <n v="3"/>
    <n v="0"/>
    <n v="261.60000000000002"/>
    <s v="OK"/>
  </r>
  <r>
    <s v="ORD-1387"/>
    <x v="129"/>
    <d v="2021-09-09T00:00:00"/>
    <s v="Second Class"/>
    <x v="5"/>
    <x v="5"/>
    <s v="Corporate"/>
    <s v="Madison"/>
    <s v="Wisconsin"/>
    <x v="2"/>
    <x v="2"/>
    <x v="13"/>
    <s v="PROD-1187"/>
    <x v="164"/>
    <n v="7"/>
    <n v="0.2"/>
    <n v="44.93"/>
    <s v="OK"/>
  </r>
  <r>
    <s v="ORD-1660"/>
    <x v="130"/>
    <d v="2021-09-10T00:00:00"/>
    <s v="Standard Class"/>
    <x v="113"/>
    <x v="113"/>
    <s v="Home Office"/>
    <s v="Raleigh"/>
    <s v="North Carolina"/>
    <x v="0"/>
    <x v="2"/>
    <x v="10"/>
    <s v="PROD-4925"/>
    <x v="165"/>
    <n v="7"/>
    <n v="0.15"/>
    <n v="50.36"/>
    <s v="OK"/>
  </r>
  <r>
    <s v="ORD-1344"/>
    <x v="131"/>
    <d v="2021-09-10T00:00:00"/>
    <s v="First Class"/>
    <x v="91"/>
    <x v="91"/>
    <s v="Consumer"/>
    <s v="Savannah"/>
    <s v="Georgia"/>
    <x v="0"/>
    <x v="2"/>
    <x v="13"/>
    <s v="PROD-4259"/>
    <x v="166"/>
    <n v="5"/>
    <n v="0.15"/>
    <n v="43.88"/>
    <s v="OK"/>
  </r>
  <r>
    <s v="ORD-1362"/>
    <x v="132"/>
    <d v="2021-09-11T00:00:00"/>
    <s v="Second Class"/>
    <x v="114"/>
    <x v="114"/>
    <s v="Corporate"/>
    <s v="Nashville"/>
    <s v="Tennessee"/>
    <x v="0"/>
    <x v="1"/>
    <x v="8"/>
    <s v="PROD-8257"/>
    <x v="167"/>
    <n v="5"/>
    <n v="0.2"/>
    <n v="108.25"/>
    <s v="OK"/>
  </r>
  <r>
    <s v="ORD-1247"/>
    <x v="133"/>
    <d v="2021-09-14T00:00:00"/>
    <s v="First Class"/>
    <x v="102"/>
    <x v="102"/>
    <s v="Consumer"/>
    <s v="Charlotte"/>
    <s v="North Carolina"/>
    <x v="0"/>
    <x v="0"/>
    <x v="7"/>
    <s v="PROD-3508"/>
    <x v="168"/>
    <n v="2"/>
    <n v="0.2"/>
    <n v="36.47"/>
    <s v="OK"/>
  </r>
  <r>
    <s v="ORD-1725"/>
    <x v="134"/>
    <d v="2021-09-13T00:00:00"/>
    <s v="Same Day"/>
    <x v="115"/>
    <x v="115"/>
    <s v="Corporate"/>
    <s v="Boston"/>
    <s v="Massachusetts"/>
    <x v="1"/>
    <x v="0"/>
    <x v="0"/>
    <s v="PROD-2271"/>
    <x v="169"/>
    <n v="10"/>
    <n v="0"/>
    <n v="1695.26"/>
    <s v="OK"/>
  </r>
  <r>
    <s v="ORD-1882"/>
    <x v="135"/>
    <d v="2021-09-16T00:00:00"/>
    <s v="Same Day"/>
    <x v="104"/>
    <x v="104"/>
    <s v="Corporate"/>
    <s v="Charlotte"/>
    <s v="North Carolina"/>
    <x v="0"/>
    <x v="2"/>
    <x v="5"/>
    <s v="PROD-8471"/>
    <x v="170"/>
    <n v="5"/>
    <n v="0.4"/>
    <n v="-14.97"/>
    <s v="OK"/>
  </r>
  <r>
    <s v="ORD-1856"/>
    <x v="136"/>
    <d v="2021-09-18T00:00:00"/>
    <s v="Second Class"/>
    <x v="32"/>
    <x v="32"/>
    <s v="Corporate"/>
    <s v="Birmingham"/>
    <s v="Alabama"/>
    <x v="0"/>
    <x v="0"/>
    <x v="6"/>
    <s v="PROD-1917"/>
    <x v="171"/>
    <n v="9"/>
    <n v="1.27"/>
    <n v="76.36"/>
    <s v="OK"/>
  </r>
  <r>
    <s v="ORD-1640"/>
    <x v="137"/>
    <d v="2021-09-18T00:00:00"/>
    <s v="First Class"/>
    <x v="46"/>
    <x v="46"/>
    <s v="Consumer"/>
    <s v="Boulder"/>
    <s v="Colorado"/>
    <x v="3"/>
    <x v="0"/>
    <x v="6"/>
    <s v="PROD-2520"/>
    <x v="172"/>
    <n v="9"/>
    <n v="0.15"/>
    <n v="43.92"/>
    <s v="OK"/>
  </r>
  <r>
    <s v="ORD-1901"/>
    <x v="138"/>
    <d v="2021-09-20T00:00:00"/>
    <s v="First Class"/>
    <x v="116"/>
    <x v="116"/>
    <s v="Consumer"/>
    <s v="Philadelphia"/>
    <s v="Pennsylvania"/>
    <x v="4"/>
    <x v="0"/>
    <x v="7"/>
    <s v="PROD-8890"/>
    <x v="173"/>
    <n v="4"/>
    <n v="0"/>
    <n v="396.13"/>
    <s v="OK"/>
  </r>
  <r>
    <s v="ORD-1444"/>
    <x v="139"/>
    <d v="2021-09-24T00:00:00"/>
    <s v="Standard Class"/>
    <x v="78"/>
    <x v="78"/>
    <s v="Home Office"/>
    <s v="Spokane"/>
    <s v="Washington"/>
    <x v="3"/>
    <x v="2"/>
    <x v="4"/>
    <s v="PROD-2752"/>
    <x v="174"/>
    <n v="5"/>
    <n v="0.15"/>
    <n v="234.65"/>
    <s v="OK"/>
  </r>
  <r>
    <s v="ORD-1647"/>
    <x v="139"/>
    <d v="2021-09-21T00:00:00"/>
    <s v="Same Day"/>
    <x v="117"/>
    <x v="117"/>
    <s v="Corporate"/>
    <s v="Orlando"/>
    <s v="Florida"/>
    <x v="0"/>
    <x v="1"/>
    <x v="8"/>
    <s v="PROD-8499"/>
    <x v="175"/>
    <n v="7"/>
    <n v="0"/>
    <n v="1814.88"/>
    <s v="OK"/>
  </r>
  <r>
    <s v="ORD-1269"/>
    <x v="140"/>
    <d v="2021-09-26T00:00:00"/>
    <s v="Standard Class"/>
    <x v="93"/>
    <x v="93"/>
    <s v="Consumer"/>
    <s v="Austin"/>
    <s v="Texas"/>
    <x v="0"/>
    <x v="2"/>
    <x v="14"/>
    <s v="PROD-6273"/>
    <x v="176"/>
    <n v="3"/>
    <n v="0.5"/>
    <n v="-42.04"/>
    <s v="OK"/>
  </r>
  <r>
    <s v="ORD-1785"/>
    <x v="141"/>
    <d v="2021-09-26T00:00:00"/>
    <s v="Second Class"/>
    <x v="81"/>
    <x v="81"/>
    <s v="Corporate"/>
    <s v="Hartford"/>
    <s v="Connecticut"/>
    <x v="1"/>
    <x v="1"/>
    <x v="1"/>
    <s v="PROD-3641"/>
    <x v="177"/>
    <n v="8"/>
    <n v="0.15"/>
    <n v="410.02"/>
    <s v="OK"/>
  </r>
  <r>
    <s v="ORD-1279"/>
    <x v="142"/>
    <d v="2021-09-29T00:00:00"/>
    <s v="Second Class"/>
    <x v="40"/>
    <x v="40"/>
    <s v="Home Office"/>
    <s v="Boston"/>
    <s v="Massachusetts"/>
    <x v="1"/>
    <x v="1"/>
    <x v="2"/>
    <s v="PROD-5178"/>
    <x v="178"/>
    <n v="7"/>
    <n v="0.1"/>
    <n v="166.33"/>
    <s v="OK"/>
  </r>
  <r>
    <s v="ORD-1472"/>
    <x v="142"/>
    <d v="2021-09-27T00:00:00"/>
    <s v="Same Day"/>
    <x v="112"/>
    <x v="112"/>
    <s v="Corporate"/>
    <s v="Boulder"/>
    <s v="Colorado"/>
    <x v="3"/>
    <x v="1"/>
    <x v="2"/>
    <s v="PROD-4027"/>
    <x v="179"/>
    <n v="2"/>
    <n v="0"/>
    <n v="99.14"/>
    <s v="OK"/>
  </r>
  <r>
    <s v="ORD-1645"/>
    <x v="142"/>
    <d v="2021-09-25T00:00:00"/>
    <s v="Same Day"/>
    <x v="118"/>
    <x v="118"/>
    <s v="Home Office"/>
    <s v="Los Angeles"/>
    <s v="California"/>
    <x v="3"/>
    <x v="0"/>
    <x v="3"/>
    <s v="PROD-8309"/>
    <x v="180"/>
    <n v="2"/>
    <n v="0"/>
    <n v="259.41000000000003"/>
    <s v="OK"/>
  </r>
  <r>
    <s v="ORD-1596"/>
    <x v="143"/>
    <d v="2021-10-05T00:00:00"/>
    <s v="Standard Class"/>
    <x v="119"/>
    <x v="119"/>
    <s v="Consumer"/>
    <s v="Houston"/>
    <s v="Texas"/>
    <x v="0"/>
    <x v="2"/>
    <x v="14"/>
    <s v="PROD-3938"/>
    <x v="181"/>
    <n v="5"/>
    <n v="0.2"/>
    <n v="27.68"/>
    <s v="OK"/>
  </r>
  <r>
    <s v="ORD-1158"/>
    <x v="143"/>
    <d v="2021-09-30T00:00:00"/>
    <s v="First Class"/>
    <x v="117"/>
    <x v="117"/>
    <s v="Corporate"/>
    <s v="Orlando"/>
    <s v="Florida"/>
    <x v="0"/>
    <x v="2"/>
    <x v="5"/>
    <s v="PROD-5489"/>
    <x v="182"/>
    <n v="7"/>
    <n v="0.05"/>
    <n v="505.04"/>
    <s v="OK"/>
  </r>
  <r>
    <s v="ORD-1167"/>
    <x v="143"/>
    <d v="2021-10-01T00:00:00"/>
    <s v="Same Day"/>
    <x v="41"/>
    <x v="41"/>
    <s v="Home Office"/>
    <s v="Jersey City"/>
    <s v="New Jersey"/>
    <x v="1"/>
    <x v="2"/>
    <x v="10"/>
    <s v="PROD-7895"/>
    <x v="183"/>
    <n v="1"/>
    <n v="0.15"/>
    <n v="7.63"/>
    <s v="OK"/>
  </r>
  <r>
    <s v="ORD-1160"/>
    <x v="144"/>
    <d v="2021-10-04T00:00:00"/>
    <s v="Second Class"/>
    <x v="47"/>
    <x v="47"/>
    <s v="Home Office"/>
    <s v="Raleigh"/>
    <s v="North Carolina"/>
    <x v="0"/>
    <x v="1"/>
    <x v="2"/>
    <s v="PROD-8291"/>
    <x v="184"/>
    <n v="1"/>
    <n v="0.05"/>
    <n v="50.82"/>
    <s v="OK"/>
  </r>
  <r>
    <s v="ORD-1162"/>
    <x v="145"/>
    <d v="2021-10-03T00:00:00"/>
    <s v="Second Class"/>
    <x v="33"/>
    <x v="33"/>
    <s v="Consumer"/>
    <s v="Austin"/>
    <s v="Texas"/>
    <x v="0"/>
    <x v="2"/>
    <x v="13"/>
    <s v="PROD-9691"/>
    <x v="185"/>
    <n v="3"/>
    <n v="0.2"/>
    <n v="21.95"/>
    <s v="OK"/>
  </r>
  <r>
    <s v="ORD-1587"/>
    <x v="146"/>
    <d v="2021-10-03T00:00:00"/>
    <s v="First Class"/>
    <x v="55"/>
    <x v="55"/>
    <s v="Home Office"/>
    <s v="Springfield"/>
    <s v="Illinois"/>
    <x v="2"/>
    <x v="1"/>
    <x v="8"/>
    <s v="PROD-6367"/>
    <x v="186"/>
    <n v="6"/>
    <n v="0.3"/>
    <n v="320.66000000000003"/>
    <s v="OK"/>
  </r>
  <r>
    <s v="ORD-1310"/>
    <x v="147"/>
    <d v="2021-10-10T00:00:00"/>
    <s v="Standard Class"/>
    <x v="120"/>
    <x v="120"/>
    <s v="Corporate"/>
    <s v="San Diego"/>
    <s v="California"/>
    <x v="3"/>
    <x v="2"/>
    <x v="5"/>
    <s v="PROD-3406"/>
    <x v="187"/>
    <n v="3"/>
    <n v="0.5"/>
    <n v="-23.78"/>
    <s v="OK"/>
  </r>
  <r>
    <s v="ORD-1352"/>
    <x v="148"/>
    <d v="2021-10-09T00:00:00"/>
    <s v="Second Class"/>
    <x v="62"/>
    <x v="62"/>
    <s v="Consumer"/>
    <s v="Boston"/>
    <s v="Massachusetts"/>
    <x v="1"/>
    <x v="2"/>
    <x v="4"/>
    <s v="PROD-8480"/>
    <x v="188"/>
    <n v="9"/>
    <n v="0.1"/>
    <n v="638.49"/>
    <s v="OK"/>
  </r>
  <r>
    <s v="ORD-1455"/>
    <x v="149"/>
    <d v="2021-10-11T00:00:00"/>
    <s v="Standard Class"/>
    <x v="114"/>
    <x v="114"/>
    <s v="Corporate"/>
    <s v="Nashville"/>
    <s v="Tennessee"/>
    <x v="0"/>
    <x v="1"/>
    <x v="2"/>
    <s v="PROD-7813"/>
    <x v="189"/>
    <n v="8"/>
    <n v="0.2"/>
    <m/>
    <s v="OK"/>
  </r>
  <r>
    <s v="ORD-1354"/>
    <x v="150"/>
    <d v="2021-10-10T00:00:00"/>
    <s v="First Class"/>
    <x v="106"/>
    <x v="106"/>
    <s v="Home Office"/>
    <s v="Chicago"/>
    <s v="Illinois"/>
    <x v="2"/>
    <x v="2"/>
    <x v="16"/>
    <s v="PROD-8687"/>
    <x v="190"/>
    <n v="5"/>
    <n v="0"/>
    <n v="71.02"/>
    <s v="OK"/>
  </r>
  <r>
    <s v="ORD-1529"/>
    <x v="151"/>
    <d v="2021-10-11T00:00:00"/>
    <s v="Second Class"/>
    <x v="71"/>
    <x v="71"/>
    <s v="Consumer"/>
    <s v="Charlotte"/>
    <s v="North Carolina"/>
    <x v="0"/>
    <x v="1"/>
    <x v="9"/>
    <s v="PROD-7254"/>
    <x v="191"/>
    <n v="9"/>
    <n v="0.3"/>
    <n v="-1102.75"/>
    <s v="OK"/>
  </r>
  <r>
    <s v="ORD-1032"/>
    <x v="152"/>
    <d v="2021-10-15T00:00:00"/>
    <s v="Standard Class"/>
    <x v="9"/>
    <x v="9"/>
    <s v="Home Office"/>
    <s v="Denver"/>
    <s v="Colorado"/>
    <x v="3"/>
    <x v="0"/>
    <x v="7"/>
    <s v="PROD-8740"/>
    <x v="192"/>
    <n v="2"/>
    <n v="0.15"/>
    <n v="94.92"/>
    <s v="OK"/>
  </r>
  <r>
    <s v="ORD-1172"/>
    <x v="152"/>
    <d v="2021-10-14T00:00:00"/>
    <s v="Standard Class"/>
    <x v="21"/>
    <x v="21"/>
    <s v="Corporate"/>
    <s v="Birmingham"/>
    <s v="Alabama"/>
    <x v="0"/>
    <x v="1"/>
    <x v="2"/>
    <s v="PROD-9133"/>
    <x v="193"/>
    <n v="3"/>
    <n v="0"/>
    <n v="98.61"/>
    <s v="OK"/>
  </r>
  <r>
    <s v="ORD-1652"/>
    <x v="153"/>
    <d v="2021-10-13T00:00:00"/>
    <s v="Same Day"/>
    <x v="65"/>
    <x v="65"/>
    <s v="Consumer"/>
    <s v="Charlotte"/>
    <s v="North Carolina"/>
    <x v="0"/>
    <x v="2"/>
    <x v="13"/>
    <s v="PROD-8357"/>
    <x v="194"/>
    <n v="8"/>
    <n v="0.5"/>
    <n v="2.2200000000000002"/>
    <s v="OK"/>
  </r>
  <r>
    <s v="ORD-1959"/>
    <x v="154"/>
    <d v="2021-10-18T00:00:00"/>
    <s v="First Class"/>
    <x v="121"/>
    <x v="121"/>
    <s v="Home Office"/>
    <s v="Chicago"/>
    <s v="Illinois"/>
    <x v="2"/>
    <x v="1"/>
    <x v="1"/>
    <s v="PROD-5963"/>
    <x v="195"/>
    <n v="10"/>
    <n v="0.15"/>
    <n v="1705.77"/>
    <s v="OK"/>
  </r>
  <r>
    <s v="ORD-1119"/>
    <x v="154"/>
    <d v="2021-10-21T00:00:00"/>
    <s v="Standard Class"/>
    <x v="4"/>
    <x v="4"/>
    <s v="Corporate"/>
    <s v="Denver"/>
    <s v="Colorado"/>
    <x v="3"/>
    <x v="1"/>
    <x v="1"/>
    <s v="PROD-6666"/>
    <x v="196"/>
    <n v="7"/>
    <n v="0.4"/>
    <n v="-2064.91"/>
    <s v="OK"/>
  </r>
  <r>
    <s v="ORD-1763"/>
    <x v="155"/>
    <d v="2021-10-26T00:00:00"/>
    <s v="Standard Class"/>
    <x v="97"/>
    <x v="97"/>
    <s v="Home Office"/>
    <s v="Portland"/>
    <s v="Oregon"/>
    <x v="3"/>
    <x v="1"/>
    <x v="2"/>
    <s v="PROD-9158"/>
    <x v="197"/>
    <n v="5"/>
    <n v="0.5"/>
    <n v="-38.29"/>
    <s v="OK"/>
  </r>
  <r>
    <s v="ORD-1658"/>
    <x v="156"/>
    <d v="2021-10-26T00:00:00"/>
    <s v="Second Class"/>
    <x v="122"/>
    <x v="122"/>
    <s v="Consumer"/>
    <s v="Charlotte"/>
    <s v="North Carolina"/>
    <x v="0"/>
    <x v="2"/>
    <x v="15"/>
    <s v="PROD-2468"/>
    <x v="198"/>
    <n v="2"/>
    <n v="0.4"/>
    <n v="0.73"/>
    <s v="OK"/>
  </r>
  <r>
    <s v="ORD-1850"/>
    <x v="157"/>
    <d v="2021-10-24T00:00:00"/>
    <s v="Same Day"/>
    <x v="44"/>
    <x v="44"/>
    <s v="Corporate"/>
    <s v="Bridgeport"/>
    <s v="Connecticut"/>
    <x v="1"/>
    <x v="0"/>
    <x v="7"/>
    <s v="PROD-4452"/>
    <x v="199"/>
    <n v="6"/>
    <n v="0"/>
    <n v="1691.07"/>
    <s v="OK"/>
  </r>
  <r>
    <s v="ORD-1066"/>
    <x v="157"/>
    <d v="2021-10-28T00:00:00"/>
    <s v="Second Class"/>
    <x v="123"/>
    <x v="123"/>
    <s v="Consumer"/>
    <s v="Salem"/>
    <s v="Oregon"/>
    <x v="3"/>
    <x v="0"/>
    <x v="3"/>
    <s v="PROD-9341"/>
    <x v="200"/>
    <n v="6"/>
    <n v="0.4"/>
    <n v="-885.35"/>
    <s v="OK"/>
  </r>
  <r>
    <s v="ORD-1291"/>
    <x v="157"/>
    <d v="2021-10-27T00:00:00"/>
    <s v="First Class"/>
    <x v="79"/>
    <x v="79"/>
    <s v="Corporate"/>
    <s v="Saint Paul"/>
    <s v="Minnesota"/>
    <x v="2"/>
    <x v="0"/>
    <x v="0"/>
    <s v="PROD-7113"/>
    <x v="201"/>
    <n v="9"/>
    <n v="0.1"/>
    <n v="441.09"/>
    <s v="OK"/>
  </r>
  <r>
    <s v="ORD-1126"/>
    <x v="158"/>
    <d v="2021-10-31T00:00:00"/>
    <s v="Standard Class"/>
    <x v="27"/>
    <x v="27"/>
    <s v="Home Office"/>
    <s v="San Diego"/>
    <s v="California"/>
    <x v="3"/>
    <x v="1"/>
    <x v="8"/>
    <s v="PROD-8121"/>
    <x v="202"/>
    <n v="5"/>
    <n v="0.1"/>
    <n v="254.47"/>
    <s v="OK"/>
  </r>
  <r>
    <s v="ORD-1361"/>
    <x v="159"/>
    <d v="2021-11-02T00:00:00"/>
    <s v="Standard Class"/>
    <x v="124"/>
    <x v="124"/>
    <s v="Consumer"/>
    <s v="Virginia Beach"/>
    <s v="Virginia"/>
    <x v="1"/>
    <x v="2"/>
    <x v="4"/>
    <s v="PROD-7429"/>
    <x v="203"/>
    <n v="8"/>
    <n v="0"/>
    <n v="903.43"/>
    <s v="OK"/>
  </r>
  <r>
    <s v="ORD-1923"/>
    <x v="160"/>
    <d v="2021-10-30T00:00:00"/>
    <s v="Same Day"/>
    <x v="125"/>
    <x v="125"/>
    <s v="Consumer"/>
    <s v="Houston"/>
    <s v="Texas"/>
    <x v="0"/>
    <x v="2"/>
    <x v="16"/>
    <s v="PROD-2805"/>
    <x v="204"/>
    <n v="5"/>
    <n v="0.5"/>
    <n v="-2.06"/>
    <s v="OK"/>
  </r>
  <r>
    <s v="ORD-1841"/>
    <x v="160"/>
    <d v="2021-11-02T00:00:00"/>
    <s v="First Class"/>
    <x v="50"/>
    <x v="50"/>
    <s v="Consumer"/>
    <s v="Montgomery"/>
    <s v="Alabama"/>
    <x v="0"/>
    <x v="0"/>
    <x v="7"/>
    <s v="PROD-5699"/>
    <x v="205"/>
    <n v="1"/>
    <n v="0.05"/>
    <n v="229.62"/>
    <s v="OK"/>
  </r>
  <r>
    <s v="ORD-1845"/>
    <x v="161"/>
    <d v="2021-11-05T00:00:00"/>
    <s v="Second Class"/>
    <x v="102"/>
    <x v="102"/>
    <s v="Consumer"/>
    <s v="Charlotte"/>
    <s v="North Carolina"/>
    <x v="0"/>
    <x v="2"/>
    <x v="15"/>
    <s v="PROD-3421"/>
    <x v="206"/>
    <n v="2"/>
    <n v="0"/>
    <n v="13.85"/>
    <s v="OK"/>
  </r>
  <r>
    <s v="ORD-1341"/>
    <x v="162"/>
    <d v="2021-11-04T00:00:00"/>
    <s v="Same Day"/>
    <x v="11"/>
    <x v="11"/>
    <s v="Corporate"/>
    <s v="Detroit"/>
    <s v="Michigan"/>
    <x v="2"/>
    <x v="1"/>
    <x v="8"/>
    <s v="PROD-3893"/>
    <x v="207"/>
    <n v="4"/>
    <n v="0"/>
    <n v="915.45"/>
    <s v="OK"/>
  </r>
  <r>
    <s v="ORD-1176"/>
    <x v="163"/>
    <d v="2021-11-07T00:00:00"/>
    <s v="Second Class"/>
    <x v="94"/>
    <x v="94"/>
    <s v="Consumer"/>
    <s v="Columbus"/>
    <s v="Ohio"/>
    <x v="2"/>
    <x v="0"/>
    <x v="7"/>
    <s v="PROD-7870"/>
    <x v="208"/>
    <n v="8"/>
    <n v="0.15"/>
    <n v="448.08"/>
    <s v="OK"/>
  </r>
  <r>
    <s v="ORD-1998"/>
    <x v="163"/>
    <d v="2021-11-07T00:00:00"/>
    <s v="Same Day"/>
    <x v="126"/>
    <x v="126"/>
    <s v="Home Office"/>
    <s v="Virginia Beach"/>
    <s v="Virginia"/>
    <x v="1"/>
    <x v="1"/>
    <x v="9"/>
    <s v="PROD-2285"/>
    <x v="209"/>
    <n v="7"/>
    <n v="0.5"/>
    <n v="-2977.85"/>
    <s v="OK"/>
  </r>
  <r>
    <s v="ORD-1239"/>
    <x v="164"/>
    <d v="2021-11-08T00:00:00"/>
    <s v="Second Class"/>
    <x v="45"/>
    <x v="45"/>
    <s v="Consumer"/>
    <s v="Las Vegas"/>
    <s v="Nevada"/>
    <x v="3"/>
    <x v="1"/>
    <x v="8"/>
    <s v="PROD-6614"/>
    <x v="210"/>
    <n v="7"/>
    <n v="0"/>
    <n v="983.11"/>
    <s v="OK"/>
  </r>
  <r>
    <s v="ORD-1599"/>
    <x v="165"/>
    <d v="2021-11-07T00:00:00"/>
    <s v="Same Day"/>
    <x v="127"/>
    <x v="127"/>
    <s v="Home Office"/>
    <s v="Saint Paul"/>
    <s v="Minnesota"/>
    <x v="2"/>
    <x v="2"/>
    <x v="16"/>
    <s v="PROD-4095"/>
    <x v="211"/>
    <n v="6"/>
    <n v="0.3"/>
    <n v="68.13"/>
    <s v="OK"/>
  </r>
  <r>
    <s v="ORD-1463"/>
    <x v="165"/>
    <d v="2021-11-08T00:00:00"/>
    <s v="Same Day"/>
    <x v="128"/>
    <x v="128"/>
    <s v="Corporate"/>
    <s v="Nashville"/>
    <s v="Tennessee"/>
    <x v="0"/>
    <x v="2"/>
    <x v="5"/>
    <s v="PROD-3873"/>
    <x v="212"/>
    <n v="10"/>
    <n v="0"/>
    <n v="684.34"/>
    <s v="OK"/>
  </r>
  <r>
    <s v="ORD-1604"/>
    <x v="166"/>
    <d v="2021-11-16T00:00:00"/>
    <s v="Standard Class"/>
    <x v="20"/>
    <x v="20"/>
    <s v="Home Office"/>
    <s v="Fort Wayne"/>
    <s v="Indiana"/>
    <x v="2"/>
    <x v="1"/>
    <x v="2"/>
    <s v="PROD-8540"/>
    <x v="213"/>
    <n v="10"/>
    <n v="0"/>
    <n v="293.79000000000002"/>
    <s v="OK"/>
  </r>
  <r>
    <s v="ORD-1434"/>
    <x v="167"/>
    <d v="2021-11-16T00:00:00"/>
    <s v="Second Class"/>
    <x v="129"/>
    <x v="129"/>
    <s v="Home Office"/>
    <s v="Raleigh"/>
    <s v="North Carolina"/>
    <x v="0"/>
    <x v="0"/>
    <x v="7"/>
    <s v="PROD-8921"/>
    <x v="214"/>
    <n v="1"/>
    <n v="0.3"/>
    <n v="-5.91"/>
    <s v="OK"/>
  </r>
  <r>
    <s v="ORD-1366"/>
    <x v="168"/>
    <d v="2021-11-16T00:00:00"/>
    <s v="First Class"/>
    <x v="96"/>
    <x v="96"/>
    <s v="Home Office"/>
    <s v="Seattle"/>
    <s v="Washington"/>
    <x v="3"/>
    <x v="0"/>
    <x v="7"/>
    <s v="PROD-5075"/>
    <x v="215"/>
    <n v="10"/>
    <n v="0.3"/>
    <n v="154.38"/>
    <s v="OK"/>
  </r>
  <r>
    <s v="ORD-1394"/>
    <x v="169"/>
    <d v="2021-11-21T00:00:00"/>
    <s v="Standard Class"/>
    <x v="37"/>
    <x v="37"/>
    <s v="Home Office"/>
    <s v="Fort Wayne"/>
    <s v="Indiana"/>
    <x v="2"/>
    <x v="0"/>
    <x v="3"/>
    <s v="PROD-1893"/>
    <x v="216"/>
    <n v="4"/>
    <n v="0.05"/>
    <n v="11.06"/>
    <s v="OK"/>
  </r>
  <r>
    <s v="ORD-1648"/>
    <x v="170"/>
    <d v="2021-11-20T00:00:00"/>
    <s v="First Class"/>
    <x v="24"/>
    <x v="24"/>
    <s v="Corporate"/>
    <s v="Orlando"/>
    <s v="Florida"/>
    <x v="0"/>
    <x v="1"/>
    <x v="2"/>
    <s v="PROD-7694"/>
    <x v="217"/>
    <n v="8"/>
    <n v="0.3"/>
    <n v="198.48"/>
    <s v="OK"/>
  </r>
  <r>
    <s v="ORD-1308"/>
    <x v="171"/>
    <d v="2021-11-23T00:00:00"/>
    <s v="First Class"/>
    <x v="117"/>
    <x v="117"/>
    <s v="Corporate"/>
    <s v="Orlando"/>
    <s v="Florida"/>
    <x v="0"/>
    <x v="0"/>
    <x v="0"/>
    <s v="PROD-2938"/>
    <x v="218"/>
    <n v="5"/>
    <n v="0.05"/>
    <n v="132.11000000000001"/>
    <s v="OK"/>
  </r>
  <r>
    <s v="ORD-1586"/>
    <x v="172"/>
    <d v="2021-11-25T00:00:00"/>
    <s v="Second Class"/>
    <x v="94"/>
    <x v="94"/>
    <s v="Consumer"/>
    <s v="Columbus"/>
    <s v="Ohio"/>
    <x v="2"/>
    <x v="2"/>
    <x v="11"/>
    <s v="PROD-3131"/>
    <x v="70"/>
    <n v="6"/>
    <n v="0.5"/>
    <n v="7.86"/>
    <s v="OK"/>
  </r>
  <r>
    <s v="ORD-1628"/>
    <x v="173"/>
    <d v="2021-11-26T00:00:00"/>
    <s v="Second Class"/>
    <x v="130"/>
    <x v="130"/>
    <s v="Consumer"/>
    <s v="Minneapolis"/>
    <s v="Minnesota"/>
    <x v="2"/>
    <x v="1"/>
    <x v="2"/>
    <s v="PROD-1523"/>
    <x v="219"/>
    <n v="6"/>
    <n v="0.1"/>
    <n v="387.17"/>
    <s v="OK"/>
  </r>
  <r>
    <s v="ORD-1961"/>
    <x v="174"/>
    <d v="2021-11-25T00:00:00"/>
    <s v="Second Class"/>
    <x v="131"/>
    <x v="131"/>
    <s v="Consumer"/>
    <s v="Raleigh"/>
    <s v="North Carolina"/>
    <x v="0"/>
    <x v="1"/>
    <x v="9"/>
    <s v="PROD-2740"/>
    <x v="220"/>
    <n v="7"/>
    <n v="0"/>
    <n v="2351.41"/>
    <s v="OK"/>
  </r>
  <r>
    <s v="ORD-1225"/>
    <x v="174"/>
    <d v="2021-11-28T00:00:00"/>
    <s v="Standard Class"/>
    <x v="101"/>
    <x v="101"/>
    <s v="Corporate"/>
    <s v="Hartford"/>
    <s v="Connecticut"/>
    <x v="1"/>
    <x v="2"/>
    <x v="4"/>
    <s v="PROD-9303"/>
    <x v="221"/>
    <n v="6"/>
    <n v="0"/>
    <n v="482.67"/>
    <s v="OK"/>
  </r>
  <r>
    <s v="ORD-1061"/>
    <x v="175"/>
    <d v="2021-11-28T00:00:00"/>
    <s v="First Class"/>
    <x v="76"/>
    <x v="76"/>
    <s v="Consumer"/>
    <s v="Milwaukee"/>
    <s v="Wisconsin"/>
    <x v="2"/>
    <x v="0"/>
    <x v="6"/>
    <s v="PROD-6123"/>
    <x v="222"/>
    <n v="10"/>
    <n v="0.2"/>
    <n v="303.92"/>
    <s v="OK"/>
  </r>
  <r>
    <s v="ORD-1494"/>
    <x v="175"/>
    <d v="2021-11-29T00:00:00"/>
    <s v="Standard Class"/>
    <x v="128"/>
    <x v="128"/>
    <s v="Corporate"/>
    <s v="Nashville"/>
    <s v="Tennessee"/>
    <x v="0"/>
    <x v="0"/>
    <x v="0"/>
    <s v="PROD-6966"/>
    <x v="223"/>
    <n v="3"/>
    <n v="0.3"/>
    <n v="-6.58"/>
    <s v="OK"/>
  </r>
  <r>
    <s v="ORD-1582"/>
    <x v="176"/>
    <d v="2021-11-28T00:00:00"/>
    <s v="Same Day"/>
    <x v="17"/>
    <x v="17"/>
    <s v="Home Office"/>
    <s v="Columbus"/>
    <s v="Ohio"/>
    <x v="2"/>
    <x v="2"/>
    <x v="15"/>
    <s v="PROD-6196"/>
    <x v="224"/>
    <n v="4"/>
    <n v="0.1"/>
    <n v="4.63"/>
    <s v="OK"/>
  </r>
  <r>
    <s v="ORD-1544"/>
    <x v="176"/>
    <d v="2021-11-30T00:00:00"/>
    <s v="Second Class"/>
    <x v="132"/>
    <x v="132"/>
    <s v="Home Office"/>
    <s v="Worcester"/>
    <s v="Massachusetts"/>
    <x v="1"/>
    <x v="0"/>
    <x v="0"/>
    <s v="PROD-2119"/>
    <x v="225"/>
    <n v="5"/>
    <n v="0.5"/>
    <n v="-504.02"/>
    <s v="OK"/>
  </r>
  <r>
    <s v="ORD-1274"/>
    <x v="177"/>
    <d v="2021-11-30T00:00:00"/>
    <s v="First Class"/>
    <x v="133"/>
    <x v="133"/>
    <s v="Corporate"/>
    <s v="Portland"/>
    <s v="Oregon"/>
    <x v="3"/>
    <x v="0"/>
    <x v="7"/>
    <s v="PROD-5105"/>
    <x v="226"/>
    <n v="1"/>
    <n v="0"/>
    <n v="140.99"/>
    <s v="OK"/>
  </r>
  <r>
    <s v="ORD-1626"/>
    <x v="178"/>
    <d v="2021-12-02T00:00:00"/>
    <s v="Second Class"/>
    <x v="134"/>
    <x v="134"/>
    <s v="Consumer"/>
    <s v="Boulder"/>
    <s v="Colorado"/>
    <x v="3"/>
    <x v="1"/>
    <x v="8"/>
    <s v="PROD-2412"/>
    <x v="227"/>
    <n v="6"/>
    <n v="0.3"/>
    <n v="147.84"/>
    <s v="OK"/>
  </r>
  <r>
    <s v="ORD-1859"/>
    <x v="179"/>
    <d v="2021-12-05T00:00:00"/>
    <s v="Standard Class"/>
    <x v="135"/>
    <x v="135"/>
    <s v="Consumer"/>
    <s v="Salem"/>
    <s v="Oregon"/>
    <x v="3"/>
    <x v="0"/>
    <x v="7"/>
    <s v="PROD-4471"/>
    <x v="228"/>
    <n v="6"/>
    <n v="0"/>
    <n v="801.72"/>
    <s v="OK"/>
  </r>
  <r>
    <s v="ORD-1356"/>
    <x v="180"/>
    <d v="2021-12-03T00:00:00"/>
    <s v="Same Day"/>
    <x v="119"/>
    <x v="119"/>
    <s v="Consumer"/>
    <s v="Houston"/>
    <s v="Texas"/>
    <x v="0"/>
    <x v="1"/>
    <x v="9"/>
    <s v="PROD-4614"/>
    <x v="229"/>
    <n v="9"/>
    <n v="0.2"/>
    <n v="75.599999999999994"/>
    <s v="OK"/>
  </r>
  <r>
    <s v="ORD-1790"/>
    <x v="180"/>
    <d v="2021-12-03T00:00:00"/>
    <s v="Same Day"/>
    <x v="136"/>
    <x v="136"/>
    <s v="Consumer"/>
    <s v="Virginia Beach"/>
    <s v="Virginia"/>
    <x v="1"/>
    <x v="1"/>
    <x v="8"/>
    <s v="PROD-2364"/>
    <x v="230"/>
    <n v="5"/>
    <n v="0.1"/>
    <n v="130.41999999999999"/>
    <s v="OK"/>
  </r>
  <r>
    <s v="ORD-1408"/>
    <x v="181"/>
    <d v="2021-12-05T00:00:00"/>
    <s v="Second Class"/>
    <x v="137"/>
    <x v="137"/>
    <s v="Consumer"/>
    <s v="Philadelphia"/>
    <s v="Pennsylvania"/>
    <x v="1"/>
    <x v="1"/>
    <x v="9"/>
    <s v="PROD-1528"/>
    <x v="231"/>
    <n v="7"/>
    <n v="0.3"/>
    <n v="-328.89"/>
    <s v="OK"/>
  </r>
  <r>
    <s v="ORD-1636"/>
    <x v="182"/>
    <d v="2021-12-04T00:00:00"/>
    <s v="Same Day"/>
    <x v="138"/>
    <x v="138"/>
    <s v="Consumer"/>
    <s v="Reno"/>
    <s v="Nevada"/>
    <x v="3"/>
    <x v="0"/>
    <x v="7"/>
    <s v="PROD-7443"/>
    <x v="232"/>
    <n v="6"/>
    <n v="0.2"/>
    <n v="61.68"/>
    <s v="OK"/>
  </r>
  <r>
    <s v="ORD-1255"/>
    <x v="183"/>
    <d v="2021-12-13T00:00:00"/>
    <s v="Standard Class"/>
    <x v="139"/>
    <x v="139"/>
    <s v="Corporate"/>
    <s v="Montgomery"/>
    <s v="Alabama"/>
    <x v="0"/>
    <x v="2"/>
    <x v="15"/>
    <s v="PROD-1960"/>
    <x v="233"/>
    <n v="8"/>
    <n v="0.2"/>
    <n v="34.590000000000003"/>
    <s v="OK"/>
  </r>
  <r>
    <s v="ORD-1365"/>
    <x v="184"/>
    <d v="2021-12-13T00:00:00"/>
    <s v="First Class"/>
    <x v="29"/>
    <x v="29"/>
    <s v="Corporate"/>
    <s v="San Francisco"/>
    <s v="California"/>
    <x v="3"/>
    <x v="1"/>
    <x v="1"/>
    <s v="PROD-2960"/>
    <x v="234"/>
    <n v="4"/>
    <n v="0.2"/>
    <n v="1218.3599999999999"/>
    <s v="OK"/>
  </r>
  <r>
    <s v="ORD-1589"/>
    <x v="185"/>
    <d v="2021-12-09T00:00:00"/>
    <s v="Standard Class"/>
    <x v="140"/>
    <x v="140"/>
    <s v="Corporate"/>
    <s v="Nashville"/>
    <s v="Tennessee"/>
    <x v="0"/>
    <x v="1"/>
    <x v="1"/>
    <s v="PROD-8027"/>
    <x v="235"/>
    <n v="8"/>
    <n v="0.05"/>
    <n v="6963.1"/>
    <s v="Error"/>
  </r>
  <r>
    <s v="ORD-1012"/>
    <x v="186"/>
    <d v="2021-12-21T00:00:00"/>
    <s v="Same Day"/>
    <x v="54"/>
    <x v="54"/>
    <s v="Home Office"/>
    <s v="Bridgeport"/>
    <s v="Connecticut"/>
    <x v="1"/>
    <x v="1"/>
    <x v="8"/>
    <s v="PROD-6928"/>
    <x v="236"/>
    <n v="7"/>
    <n v="0"/>
    <n v="540.73"/>
    <s v="OK"/>
  </r>
  <r>
    <s v="ORD-1962"/>
    <x v="187"/>
    <d v="2021-12-25T00:00:00"/>
    <s v="Same Day"/>
    <x v="56"/>
    <x v="56"/>
    <s v="Home Office"/>
    <s v="Nashville"/>
    <s v="Tennessee"/>
    <x v="0"/>
    <x v="1"/>
    <x v="8"/>
    <s v="PROD-2054"/>
    <x v="237"/>
    <n v="4"/>
    <n v="0.05"/>
    <n v="439.08"/>
    <s v="OK"/>
  </r>
  <r>
    <s v="ORD-1992"/>
    <x v="188"/>
    <d v="2021-12-29T00:00:00"/>
    <s v="Second Class"/>
    <x v="81"/>
    <x v="81"/>
    <s v="Corporate"/>
    <s v="Hartford"/>
    <s v="Connecticut"/>
    <x v="1"/>
    <x v="2"/>
    <x v="15"/>
    <s v="PROD-1812"/>
    <x v="238"/>
    <n v="8"/>
    <n v="0"/>
    <n v="24.84"/>
    <s v="OK"/>
  </r>
  <r>
    <s v="ORD-1509"/>
    <x v="189"/>
    <d v="2022-01-01T00:00:00"/>
    <s v="Standard Class"/>
    <x v="29"/>
    <x v="29"/>
    <s v="Corporate"/>
    <s v="San Francisco"/>
    <s v="California"/>
    <x v="3"/>
    <x v="0"/>
    <x v="3"/>
    <s v="PROD-4354"/>
    <x v="239"/>
    <n v="10"/>
    <n v="0"/>
    <n v="476.88"/>
    <s v="OK"/>
  </r>
  <r>
    <s v="ORD-1433"/>
    <x v="189"/>
    <d v="2021-12-31T00:00:00"/>
    <s v="Standard Class"/>
    <x v="11"/>
    <x v="11"/>
    <s v="Corporate"/>
    <s v="Detroit"/>
    <s v="Michigan"/>
    <x v="2"/>
    <x v="2"/>
    <x v="4"/>
    <s v="PROD-1612"/>
    <x v="240"/>
    <n v="5"/>
    <n v="0.05"/>
    <n v="372.05"/>
    <s v="OK"/>
  </r>
  <r>
    <s v="ORD-1719"/>
    <x v="189"/>
    <d v="2021-12-26T00:00:00"/>
    <s v="Same Day"/>
    <x v="141"/>
    <x v="141"/>
    <s v="Corporate"/>
    <s v="Saint Paul"/>
    <s v="Minnesota"/>
    <x v="2"/>
    <x v="1"/>
    <x v="8"/>
    <s v="PROD-3942"/>
    <x v="241"/>
    <n v="5"/>
    <n v="0.2"/>
    <n v="240.46"/>
    <s v="OK"/>
  </r>
  <r>
    <s v="ORD-1328"/>
    <x v="189"/>
    <d v="2021-12-28T00:00:00"/>
    <s v="Same Day"/>
    <x v="2"/>
    <x v="2"/>
    <s v="Consumer"/>
    <s v="Cleveland"/>
    <s v="Ohio"/>
    <x v="2"/>
    <x v="1"/>
    <x v="1"/>
    <s v="PROD-2744"/>
    <x v="242"/>
    <n v="7"/>
    <n v="0.5"/>
    <n v="-2369.64"/>
    <s v="OK"/>
  </r>
  <r>
    <s v="ORD-1518"/>
    <x v="190"/>
    <d v="2021-12-29T00:00:00"/>
    <s v="Second Class"/>
    <x v="20"/>
    <x v="20"/>
    <s v="Home Office"/>
    <s v="Fort Wayne"/>
    <s v="Indiana"/>
    <x v="2"/>
    <x v="2"/>
    <x v="12"/>
    <s v="PROD-4897"/>
    <x v="243"/>
    <n v="3"/>
    <n v="0.4"/>
    <n v="4.03"/>
    <s v="OK"/>
  </r>
  <r>
    <s v="ORD-1574"/>
    <x v="191"/>
    <d v="2022-01-03T00:00:00"/>
    <s v="Standard Class"/>
    <x v="142"/>
    <x v="142"/>
    <s v="Consumer"/>
    <s v="Cleveland"/>
    <s v="Ohio"/>
    <x v="2"/>
    <x v="0"/>
    <x v="6"/>
    <s v="PROD-8960"/>
    <x v="244"/>
    <n v="5"/>
    <n v="0.1"/>
    <n v="34.950000000000003"/>
    <s v="OK"/>
  </r>
  <r>
    <s v="ORD-1080"/>
    <x v="191"/>
    <d v="2022-01-02T00:00:00"/>
    <s v="Standard Class"/>
    <x v="143"/>
    <x v="143"/>
    <s v="Consumer"/>
    <s v="Newark"/>
    <s v="New Jersey"/>
    <x v="1"/>
    <x v="0"/>
    <x v="0"/>
    <s v="PROD-9116"/>
    <x v="245"/>
    <n v="1"/>
    <n v="0"/>
    <n v="100.94"/>
    <s v="OK"/>
  </r>
  <r>
    <s v="ORD-1835"/>
    <x v="192"/>
    <d v="2022-01-02T00:00:00"/>
    <s v="Same Day"/>
    <x v="111"/>
    <x v="111"/>
    <s v="Consumer"/>
    <s v="Montgomery"/>
    <s v="Alabama"/>
    <x v="0"/>
    <x v="2"/>
    <x v="12"/>
    <s v="PROD-4077"/>
    <x v="246"/>
    <n v="1"/>
    <n v="0.1"/>
    <n v="32.68"/>
    <s v="OK"/>
  </r>
  <r>
    <s v="ORD-1129"/>
    <x v="192"/>
    <d v="2022-01-01T00:00:00"/>
    <s v="Same Day"/>
    <x v="144"/>
    <x v="144"/>
    <s v="Corporate"/>
    <s v="San Francisco"/>
    <s v="California"/>
    <x v="3"/>
    <x v="1"/>
    <x v="1"/>
    <s v="PROD-5775"/>
    <x v="247"/>
    <n v="10"/>
    <n v="0.05"/>
    <n v="2870.62"/>
    <s v="OK"/>
  </r>
  <r>
    <s v="ORD-1843"/>
    <x v="193"/>
    <d v="2022-01-03T00:00:00"/>
    <s v="Same Day"/>
    <x v="145"/>
    <x v="145"/>
    <s v="Corporate"/>
    <s v="Houston"/>
    <s v="Texas"/>
    <x v="0"/>
    <x v="0"/>
    <x v="6"/>
    <s v="PROD-6486"/>
    <x v="248"/>
    <n v="2"/>
    <n v="0"/>
    <n v="19.71"/>
    <s v="OK"/>
  </r>
  <r>
    <s v="ORD-1657"/>
    <x v="194"/>
    <d v="2022-01-06T00:00:00"/>
    <s v="Same Day"/>
    <x v="88"/>
    <x v="88"/>
    <s v="Corporate"/>
    <s v="Denver"/>
    <s v="Colorado"/>
    <x v="3"/>
    <x v="2"/>
    <x v="16"/>
    <s v="PROD-9649"/>
    <x v="249"/>
    <n v="8"/>
    <n v="0"/>
    <n v="206.75"/>
    <s v="OK"/>
  </r>
  <r>
    <s v="ORD-1256"/>
    <x v="195"/>
    <d v="2022-01-09T00:00:00"/>
    <s v="Same Day"/>
    <x v="14"/>
    <x v="14"/>
    <s v="Consumer"/>
    <s v="Raleigh"/>
    <s v="North Carolina"/>
    <x v="0"/>
    <x v="0"/>
    <x v="3"/>
    <s v="PROD-1472"/>
    <x v="250"/>
    <n v="8"/>
    <n v="0.5"/>
    <n v="-2842.03"/>
    <s v="OK"/>
  </r>
  <r>
    <s v="ORD-1659"/>
    <x v="195"/>
    <d v="2022-01-14T00:00:00"/>
    <s v="Standard Class"/>
    <x v="35"/>
    <x v="35"/>
    <s v="Consumer"/>
    <s v="Hartford"/>
    <s v="Connecticut"/>
    <x v="1"/>
    <x v="2"/>
    <x v="16"/>
    <s v="PROD-1958"/>
    <x v="251"/>
    <n v="1"/>
    <n v="0.5"/>
    <n v="-4.12"/>
    <s v="OK"/>
  </r>
  <r>
    <s v="ORD-1348"/>
    <x v="196"/>
    <d v="2022-01-17T00:00:00"/>
    <s v="Standard Class"/>
    <x v="100"/>
    <x v="100"/>
    <s v="Corporate"/>
    <s v="Saint Paul"/>
    <s v="Minnesota"/>
    <x v="2"/>
    <x v="2"/>
    <x v="13"/>
    <s v="PROD-4844"/>
    <x v="252"/>
    <n v="9"/>
    <n v="0.3"/>
    <n v="44.84"/>
    <s v="OK"/>
  </r>
  <r>
    <s v="ORD-1281"/>
    <x v="196"/>
    <d v="2022-01-19T00:00:00"/>
    <s v="Standard Class"/>
    <x v="59"/>
    <x v="59"/>
    <s v="Consumer"/>
    <s v="Virginia Beach"/>
    <s v="Virginia"/>
    <x v="1"/>
    <x v="1"/>
    <x v="9"/>
    <s v="PROD-3611"/>
    <x v="253"/>
    <n v="6"/>
    <n v="0.4"/>
    <n v="-265.22000000000003"/>
    <s v="OK"/>
  </r>
  <r>
    <s v="ORD-1585"/>
    <x v="196"/>
    <d v="2022-01-15T00:00:00"/>
    <s v="Same Day"/>
    <x v="52"/>
    <x v="52"/>
    <s v="Home Office"/>
    <s v="Atlanta"/>
    <s v="Georgia"/>
    <x v="0"/>
    <x v="1"/>
    <x v="9"/>
    <s v="PROD-3229"/>
    <x v="254"/>
    <n v="1"/>
    <n v="0"/>
    <n v="175.35"/>
    <s v="OK"/>
  </r>
  <r>
    <s v="ORD-1691"/>
    <x v="197"/>
    <d v="2022-01-19T00:00:00"/>
    <s v="Standard Class"/>
    <x v="146"/>
    <x v="146"/>
    <s v="Consumer"/>
    <s v="Hartford"/>
    <s v="Connecticut"/>
    <x v="1"/>
    <x v="1"/>
    <x v="1"/>
    <s v="PROD-1162"/>
    <x v="255"/>
    <n v="6"/>
    <n v="0.2"/>
    <n v="690.37"/>
    <s v="OK"/>
  </r>
  <r>
    <s v="ORD-1768"/>
    <x v="198"/>
    <d v="2022-01-28T00:00:00"/>
    <s v="Standard Class"/>
    <x v="91"/>
    <x v="91"/>
    <s v="Consumer"/>
    <s v="Savannah"/>
    <s v="Georgia"/>
    <x v="0"/>
    <x v="0"/>
    <x v="6"/>
    <s v="PROD-7025"/>
    <x v="256"/>
    <n v="2"/>
    <n v="0.15"/>
    <n v="7.01"/>
    <s v="OK"/>
  </r>
  <r>
    <s v="ORD-1815"/>
    <x v="199"/>
    <d v="2022-01-25T00:00:00"/>
    <s v="Second Class"/>
    <x v="147"/>
    <x v="147"/>
    <s v="Consumer"/>
    <s v="Saint Paul"/>
    <s v="Minnesota"/>
    <x v="2"/>
    <x v="2"/>
    <x v="11"/>
    <s v="PROD-2973"/>
    <x v="257"/>
    <n v="2"/>
    <n v="0.4"/>
    <n v="2.5099999999999998"/>
    <s v="OK"/>
  </r>
  <r>
    <s v="ORD-1926"/>
    <x v="200"/>
    <d v="2022-01-24T00:00:00"/>
    <s v="Same Day"/>
    <x v="100"/>
    <x v="100"/>
    <s v="Corporate"/>
    <s v="Saint Paul"/>
    <s v="Minnesota"/>
    <x v="2"/>
    <x v="2"/>
    <x v="10"/>
    <s v="PROD-5520"/>
    <x v="258"/>
    <n v="7"/>
    <n v="0.2"/>
    <n v="12.14"/>
    <s v="OK"/>
  </r>
  <r>
    <s v="ORD-1745"/>
    <x v="201"/>
    <d v="2022-01-29T00:00:00"/>
    <s v="Standard Class"/>
    <x v="73"/>
    <x v="73"/>
    <s v="Corporate"/>
    <s v="Detroit"/>
    <s v="Michigan"/>
    <x v="2"/>
    <x v="1"/>
    <x v="8"/>
    <s v="PROD-9203"/>
    <x v="259"/>
    <n v="3"/>
    <n v="0.3"/>
    <n v="32.97"/>
    <s v="OK"/>
  </r>
  <r>
    <s v="ORD-1103"/>
    <x v="202"/>
    <d v="2022-02-01T00:00:00"/>
    <s v="Standard Class"/>
    <x v="68"/>
    <x v="68"/>
    <s v="Consumer"/>
    <s v="Detroit"/>
    <s v="Michigan"/>
    <x v="2"/>
    <x v="0"/>
    <x v="6"/>
    <s v="PROD-7179"/>
    <x v="260"/>
    <n v="8"/>
    <n v="0.15"/>
    <n v="250.02"/>
    <s v="OK"/>
  </r>
  <r>
    <s v="ORD-1915"/>
    <x v="203"/>
    <d v="2022-01-31T00:00:00"/>
    <s v="First Class"/>
    <x v="83"/>
    <x v="83"/>
    <s v="Home Office"/>
    <s v="Boston"/>
    <s v="Massachusetts"/>
    <x v="1"/>
    <x v="0"/>
    <x v="7"/>
    <s v="PROD-1080"/>
    <x v="261"/>
    <n v="7"/>
    <n v="0.05"/>
    <n v="1964.03"/>
    <s v="OK"/>
  </r>
  <r>
    <s v="ORD-1755"/>
    <x v="204"/>
    <d v="2022-01-31T00:00:00"/>
    <s v="First Class"/>
    <x v="31"/>
    <x v="31"/>
    <s v="Corporate"/>
    <s v="Madison"/>
    <s v="Wisconsin"/>
    <x v="2"/>
    <x v="2"/>
    <x v="11"/>
    <s v="PROD-8220"/>
    <x v="262"/>
    <n v="1"/>
    <n v="0"/>
    <n v="3.24"/>
    <s v="OK"/>
  </r>
  <r>
    <s v="ORD-1624"/>
    <x v="205"/>
    <d v="2022-01-31T00:00:00"/>
    <s v="Same Day"/>
    <x v="148"/>
    <x v="148"/>
    <s v="Consumer"/>
    <s v="Reno"/>
    <s v="Nevada"/>
    <x v="3"/>
    <x v="1"/>
    <x v="9"/>
    <s v="PROD-8178"/>
    <x v="263"/>
    <n v="7"/>
    <n v="0"/>
    <n v="1742.65"/>
    <s v="OK"/>
  </r>
  <r>
    <s v="ORD-1437"/>
    <x v="206"/>
    <d v="2022-02-02T00:00:00"/>
    <s v="First Class"/>
    <x v="42"/>
    <x v="42"/>
    <s v="Consumer"/>
    <s v="Las Vegas"/>
    <s v="Nevada"/>
    <x v="3"/>
    <x v="0"/>
    <x v="6"/>
    <s v="PROD-9720"/>
    <x v="264"/>
    <n v="5"/>
    <n v="0.05"/>
    <n v="21.31"/>
    <s v="OK"/>
  </r>
  <r>
    <s v="ORD-1082"/>
    <x v="206"/>
    <d v="2022-02-05T00:00:00"/>
    <s v="Standard Class"/>
    <x v="58"/>
    <x v="58"/>
    <s v="Home Office"/>
    <s v="Spokane"/>
    <s v="Washington"/>
    <x v="3"/>
    <x v="1"/>
    <x v="8"/>
    <s v="PROD-3662"/>
    <x v="265"/>
    <n v="3"/>
    <n v="0.4"/>
    <n v="-31.92"/>
    <s v="OK"/>
  </r>
  <r>
    <s v="ORD-1378"/>
    <x v="207"/>
    <d v="2022-02-05T00:00:00"/>
    <s v="Second Class"/>
    <x v="149"/>
    <x v="149"/>
    <s v="Home Office"/>
    <s v="Cleveland"/>
    <s v="Ohio"/>
    <x v="2"/>
    <x v="1"/>
    <x v="2"/>
    <s v="PROD-3931"/>
    <x v="266"/>
    <n v="4"/>
    <n v="0.4"/>
    <n v="2.14"/>
    <s v="OK"/>
  </r>
  <r>
    <s v="ORD-1777"/>
    <x v="208"/>
    <d v="2022-02-11T00:00:00"/>
    <s v="Standard Class"/>
    <x v="25"/>
    <x v="25"/>
    <s v="Home Office"/>
    <s v="Hartford"/>
    <s v="Connecticut"/>
    <x v="1"/>
    <x v="0"/>
    <x v="3"/>
    <s v="PROD-2670"/>
    <x v="267"/>
    <n v="5"/>
    <n v="0"/>
    <n v="480.87"/>
    <s v="OK"/>
  </r>
  <r>
    <s v="ORD-1141"/>
    <x v="209"/>
    <d v="2022-02-09T00:00:00"/>
    <s v="Same Day"/>
    <x v="98"/>
    <x v="98"/>
    <s v="Home Office"/>
    <s v="Cleveland"/>
    <s v="Ohio"/>
    <x v="2"/>
    <x v="2"/>
    <x v="10"/>
    <s v="PROD-5298"/>
    <x v="268"/>
    <n v="9"/>
    <n v="0"/>
    <n v="152.38"/>
    <s v="OK"/>
  </r>
  <r>
    <s v="ORD-1190"/>
    <x v="210"/>
    <d v="2022-02-10T00:00:00"/>
    <s v="Same Day"/>
    <x v="93"/>
    <x v="93"/>
    <s v="Consumer"/>
    <s v="Austin"/>
    <s v="Texas"/>
    <x v="0"/>
    <x v="1"/>
    <x v="9"/>
    <s v="PROD-2506"/>
    <x v="269"/>
    <n v="2"/>
    <n v="0"/>
    <n v="445.02"/>
    <s v="OK"/>
  </r>
  <r>
    <s v="ORD-1391"/>
    <x v="211"/>
    <d v="2022-02-12T00:00:00"/>
    <s v="Same Day"/>
    <x v="139"/>
    <x v="139"/>
    <s v="Corporate"/>
    <s v="Montgomery"/>
    <s v="Alabama"/>
    <x v="0"/>
    <x v="1"/>
    <x v="8"/>
    <s v="PROD-4212"/>
    <x v="270"/>
    <n v="3"/>
    <n v="0"/>
    <n v="719.2"/>
    <s v="OK"/>
  </r>
  <r>
    <s v="ORD-1754"/>
    <x v="211"/>
    <d v="2022-02-11T00:00:00"/>
    <s v="Same Day"/>
    <x v="150"/>
    <x v="150"/>
    <s v="Consumer"/>
    <s v="Atlanta"/>
    <s v="Georgia"/>
    <x v="0"/>
    <x v="2"/>
    <x v="16"/>
    <s v="PROD-9234"/>
    <x v="271"/>
    <n v="6"/>
    <n v="0"/>
    <n v="49.91"/>
    <s v="OK"/>
  </r>
  <r>
    <s v="ORD-1551"/>
    <x v="212"/>
    <d v="2022-02-14T00:00:00"/>
    <s v="First Class"/>
    <x v="96"/>
    <x v="96"/>
    <s v="Home Office"/>
    <s v="Seattle"/>
    <s v="Washington"/>
    <x v="3"/>
    <x v="2"/>
    <x v="10"/>
    <s v="PROD-7623"/>
    <x v="272"/>
    <n v="3"/>
    <n v="0"/>
    <n v="64.06"/>
    <s v="OK"/>
  </r>
  <r>
    <s v="ORD-1944"/>
    <x v="213"/>
    <d v="2022-02-15T00:00:00"/>
    <s v="First Class"/>
    <x v="121"/>
    <x v="121"/>
    <s v="Home Office"/>
    <s v="Chicago"/>
    <s v="Illinois"/>
    <x v="2"/>
    <x v="1"/>
    <x v="8"/>
    <s v="PROD-7820"/>
    <x v="273"/>
    <n v="6"/>
    <n v="0.5"/>
    <n v="-206.52"/>
    <s v="OK"/>
  </r>
  <r>
    <s v="ORD-1249"/>
    <x v="214"/>
    <d v="2022-02-18T00:00:00"/>
    <s v="First Class"/>
    <x v="151"/>
    <x v="151"/>
    <s v="Consumer"/>
    <s v="Seattle"/>
    <s v="Washington"/>
    <x v="3"/>
    <x v="1"/>
    <x v="2"/>
    <s v="PROD-4304"/>
    <x v="274"/>
    <n v="2"/>
    <n v="0.3"/>
    <n v="18.88"/>
    <s v="OK"/>
  </r>
  <r>
    <s v="ORD-1543"/>
    <x v="214"/>
    <d v="2022-02-19T00:00:00"/>
    <s v="Second Class"/>
    <x v="152"/>
    <x v="152"/>
    <s v="Corporate"/>
    <s v="Memphis"/>
    <s v="Tennessee"/>
    <x v="0"/>
    <x v="2"/>
    <x v="5"/>
    <s v="PROD-6759"/>
    <x v="275"/>
    <n v="2"/>
    <n v="0.5"/>
    <n v="-12.88"/>
    <s v="OK"/>
  </r>
  <r>
    <s v="ORD-1951"/>
    <x v="215"/>
    <d v="2022-02-21T00:00:00"/>
    <s v="Standard Class"/>
    <x v="53"/>
    <x v="53"/>
    <s v="Home Office"/>
    <s v="Birmingham"/>
    <s v="Alabama"/>
    <x v="0"/>
    <x v="1"/>
    <x v="9"/>
    <s v="PROD-1000"/>
    <x v="276"/>
    <n v="1"/>
    <n v="0.3"/>
    <n v="-177.33"/>
    <s v="OK"/>
  </r>
  <r>
    <s v="ORD-1039"/>
    <x v="216"/>
    <d v="2022-02-22T00:00:00"/>
    <s v="Standard Class"/>
    <x v="153"/>
    <x v="153"/>
    <s v="Consumer"/>
    <s v="Springfield"/>
    <s v="Illinois"/>
    <x v="2"/>
    <x v="2"/>
    <x v="12"/>
    <s v="PROD-1686"/>
    <x v="277"/>
    <n v="2"/>
    <n v="0.3"/>
    <n v="37.630000000000003"/>
    <s v="OK"/>
  </r>
  <r>
    <s v="ORD-1688"/>
    <x v="216"/>
    <d v="2022-02-23T00:00:00"/>
    <s v="Standard Class"/>
    <x v="7"/>
    <x v="7"/>
    <s v="Corporate"/>
    <s v="Tucson"/>
    <s v="Arizona"/>
    <x v="3"/>
    <x v="0"/>
    <x v="7"/>
    <s v="PROD-4102"/>
    <x v="278"/>
    <n v="4"/>
    <n v="0.05"/>
    <n v="426.12"/>
    <s v="OK"/>
  </r>
  <r>
    <s v="ORD-1374"/>
    <x v="217"/>
    <d v="2022-02-24T00:00:00"/>
    <s v="Standard Class"/>
    <x v="154"/>
    <x v="154"/>
    <s v="Home Office"/>
    <s v="Saint Paul"/>
    <s v="Minnesota"/>
    <x v="2"/>
    <x v="0"/>
    <x v="7"/>
    <s v="PROD-4139"/>
    <x v="279"/>
    <n v="3"/>
    <n v="0"/>
    <n v="593.26"/>
    <s v="OK"/>
  </r>
  <r>
    <s v="ORD-1170"/>
    <x v="218"/>
    <d v="2022-02-26T00:00:00"/>
    <s v="Second Class"/>
    <x v="155"/>
    <x v="155"/>
    <s v="Consumer"/>
    <s v="Austin"/>
    <s v="Texas"/>
    <x v="0"/>
    <x v="1"/>
    <x v="1"/>
    <s v="PROD-6353"/>
    <x v="280"/>
    <n v="5"/>
    <n v="0"/>
    <n v="1646.29"/>
    <s v="OK"/>
  </r>
  <r>
    <s v="ORD-1833"/>
    <x v="219"/>
    <d v="2022-02-23T00:00:00"/>
    <s v="Same Day"/>
    <x v="150"/>
    <x v="150"/>
    <s v="Consumer"/>
    <s v="Atlanta"/>
    <s v="Georgia"/>
    <x v="0"/>
    <x v="2"/>
    <x v="14"/>
    <s v="PROD-8308"/>
    <x v="281"/>
    <n v="8"/>
    <n v="0.05"/>
    <n v="63.88"/>
    <s v="OK"/>
  </r>
  <r>
    <s v="ORD-1740"/>
    <x v="220"/>
    <d v="2022-02-28T00:00:00"/>
    <s v="Second Class"/>
    <x v="6"/>
    <x v="6"/>
    <s v="Corporate"/>
    <s v="Hartford"/>
    <s v="Connecticut"/>
    <x v="1"/>
    <x v="0"/>
    <x v="0"/>
    <s v="PROD-2280"/>
    <x v="282"/>
    <n v="3"/>
    <n v="0.5"/>
    <n v="-81.37"/>
    <s v="OK"/>
  </r>
  <r>
    <s v="ORD-1519"/>
    <x v="221"/>
    <d v="2022-03-04T00:00:00"/>
    <s v="Standard Class"/>
    <x v="116"/>
    <x v="116"/>
    <s v="Consumer"/>
    <s v="Philadelphia"/>
    <s v="Pennsylvania"/>
    <x v="1"/>
    <x v="0"/>
    <x v="6"/>
    <s v="PROD-6192"/>
    <x v="283"/>
    <n v="8"/>
    <n v="0.1"/>
    <n v="229.6"/>
    <s v="OK"/>
  </r>
  <r>
    <s v="ORD-1286"/>
    <x v="222"/>
    <d v="2022-03-01T00:00:00"/>
    <s v="Same Day"/>
    <x v="79"/>
    <x v="79"/>
    <s v="Corporate"/>
    <s v="Saint Paul"/>
    <s v="Minnesota"/>
    <x v="2"/>
    <x v="0"/>
    <x v="7"/>
    <s v="PROD-2181"/>
    <x v="284"/>
    <n v="4"/>
    <n v="0.2"/>
    <n v="89.27"/>
    <s v="OK"/>
  </r>
  <r>
    <s v="ORD-1827"/>
    <x v="223"/>
    <d v="2022-03-03T00:00:00"/>
    <s v="Second Class"/>
    <x v="156"/>
    <x v="156"/>
    <s v="Corporate"/>
    <s v="Hartford"/>
    <s v="Connecticut"/>
    <x v="1"/>
    <x v="1"/>
    <x v="8"/>
    <s v="PROD-3621"/>
    <x v="285"/>
    <n v="7"/>
    <n v="0.2"/>
    <n v="527.91999999999996"/>
    <s v="OK"/>
  </r>
  <r>
    <s v="ORD-1304"/>
    <x v="223"/>
    <d v="2022-03-03T00:00:00"/>
    <s v="First Class"/>
    <x v="110"/>
    <x v="110"/>
    <s v="Consumer"/>
    <s v="Birmingham"/>
    <s v="Alabama"/>
    <x v="0"/>
    <x v="2"/>
    <x v="11"/>
    <s v="PROD-8695"/>
    <x v="286"/>
    <n v="6"/>
    <n v="0.05"/>
    <n v="11.8"/>
    <s v="OK"/>
  </r>
  <r>
    <s v="ORD-1250"/>
    <x v="224"/>
    <d v="2022-03-04T00:00:00"/>
    <s v="Same Day"/>
    <x v="145"/>
    <x v="145"/>
    <s v="Corporate"/>
    <s v="Houston"/>
    <s v="Texas"/>
    <x v="0"/>
    <x v="1"/>
    <x v="8"/>
    <s v="PROD-4842"/>
    <x v="287"/>
    <n v="1"/>
    <n v="0.4"/>
    <n v="-5"/>
    <s v="OK"/>
  </r>
  <r>
    <s v="ORD-1607"/>
    <x v="225"/>
    <d v="2022-03-07T00:00:00"/>
    <s v="Second Class"/>
    <x v="157"/>
    <x v="157"/>
    <s v="Home Office"/>
    <s v="Portland"/>
    <s v="Oregon"/>
    <x v="3"/>
    <x v="2"/>
    <x v="15"/>
    <s v="PROD-7592"/>
    <x v="288"/>
    <n v="7"/>
    <n v="0"/>
    <n v="17.07"/>
    <s v="OK"/>
  </r>
  <r>
    <s v="ORD-1363"/>
    <x v="225"/>
    <d v="2022-03-05T00:00:00"/>
    <s v="Same Day"/>
    <x v="19"/>
    <x v="19"/>
    <s v="Corporate"/>
    <s v="Birmingham"/>
    <s v="Alabama"/>
    <x v="0"/>
    <x v="1"/>
    <x v="2"/>
    <s v="PROD-6113"/>
    <x v="289"/>
    <n v="2"/>
    <n v="0.4"/>
    <n v="-2.54"/>
    <s v="OK"/>
  </r>
  <r>
    <s v="ORD-1423"/>
    <x v="226"/>
    <d v="2022-03-10T00:00:00"/>
    <s v="Standard Class"/>
    <x v="44"/>
    <x v="44"/>
    <s v="Corporate"/>
    <s v="Bridgeport"/>
    <s v="Connecticut"/>
    <x v="1"/>
    <x v="0"/>
    <x v="6"/>
    <s v="PROD-9666"/>
    <x v="290"/>
    <n v="7"/>
    <n v="0.4"/>
    <n v="-17.05"/>
    <s v="OK"/>
  </r>
  <r>
    <s v="ORD-1698"/>
    <x v="226"/>
    <d v="2022-03-11T00:00:00"/>
    <s v="Standard Class"/>
    <x v="29"/>
    <x v="29"/>
    <s v="Corporate"/>
    <s v="San Francisco"/>
    <s v="California"/>
    <x v="3"/>
    <x v="1"/>
    <x v="9"/>
    <s v="PROD-2062"/>
    <x v="291"/>
    <n v="9"/>
    <n v="0.5"/>
    <n v="-5745.42"/>
    <s v="OK"/>
  </r>
  <r>
    <s v="ORD-1788"/>
    <x v="227"/>
    <d v="2022-03-13T00:00:00"/>
    <s v="Standard Class"/>
    <x v="69"/>
    <x v="69"/>
    <s v="Consumer"/>
    <s v="Richmond"/>
    <s v="Virginia"/>
    <x v="1"/>
    <x v="2"/>
    <x v="14"/>
    <s v="PROD-1732"/>
    <x v="292"/>
    <n v="6"/>
    <n v="0.5"/>
    <n v="-135.71"/>
    <s v="OK"/>
  </r>
  <r>
    <s v="ORD-1830"/>
    <x v="228"/>
    <d v="2022-03-12T00:00:00"/>
    <s v="Standard Class"/>
    <x v="115"/>
    <x v="115"/>
    <s v="Corporate"/>
    <s v="Boston"/>
    <s v="Massachusetts"/>
    <x v="1"/>
    <x v="0"/>
    <x v="6"/>
    <s v="PROD-6692"/>
    <x v="293"/>
    <n v="1"/>
    <n v="0.05"/>
    <n v="33.72"/>
    <s v="OK"/>
  </r>
  <r>
    <s v="ORD-1773"/>
    <x v="229"/>
    <d v="2022-03-13T00:00:00"/>
    <s v="Second Class"/>
    <x v="148"/>
    <x v="148"/>
    <s v="Consumer"/>
    <s v="Reno"/>
    <s v="Nevada"/>
    <x v="3"/>
    <x v="2"/>
    <x v="16"/>
    <s v="PROD-1861"/>
    <x v="294"/>
    <n v="6"/>
    <n v="0"/>
    <n v="25.27"/>
    <s v="OK"/>
  </r>
  <r>
    <s v="ORD-1009"/>
    <x v="230"/>
    <d v="2022-03-13T00:00:00"/>
    <s v="Second Class"/>
    <x v="42"/>
    <x v="42"/>
    <s v="Consumer"/>
    <s v="Las Vegas"/>
    <s v="Nevada"/>
    <x v="3"/>
    <x v="0"/>
    <x v="3"/>
    <s v="PROD-5742"/>
    <x v="295"/>
    <n v="1"/>
    <n v="0"/>
    <n v="130.72999999999999"/>
    <s v="OK"/>
  </r>
  <r>
    <s v="ORD-1300"/>
    <x v="231"/>
    <d v="2022-03-19T00:00:00"/>
    <s v="Standard Class"/>
    <x v="158"/>
    <x v="158"/>
    <s v="Consumer"/>
    <s v="Detroit"/>
    <s v="Michigan"/>
    <x v="2"/>
    <x v="1"/>
    <x v="2"/>
    <s v="PROD-5269"/>
    <x v="296"/>
    <n v="10"/>
    <n v="0.2"/>
    <m/>
    <s v="OK"/>
  </r>
  <r>
    <s v="ORD-1024"/>
    <x v="232"/>
    <d v="2022-03-18T00:00:00"/>
    <s v="First Class"/>
    <x v="157"/>
    <x v="157"/>
    <s v="Home Office"/>
    <s v="Portland"/>
    <s v="Oregon"/>
    <x v="3"/>
    <x v="1"/>
    <x v="8"/>
    <s v="PROD-4145"/>
    <x v="297"/>
    <n v="1"/>
    <n v="0.15"/>
    <n v="109.85"/>
    <s v="OK"/>
  </r>
  <r>
    <s v="ORD-1033"/>
    <x v="233"/>
    <d v="2022-03-23T00:00:00"/>
    <s v="Second Class"/>
    <x v="153"/>
    <x v="153"/>
    <s v="Consumer"/>
    <s v="Springfield"/>
    <s v="Illinois"/>
    <x v="2"/>
    <x v="0"/>
    <x v="3"/>
    <s v="PROD-9647"/>
    <x v="298"/>
    <n v="1"/>
    <n v="0"/>
    <n v="81.2"/>
    <s v="OK"/>
  </r>
  <r>
    <s v="ORD-1789"/>
    <x v="234"/>
    <d v="2022-03-22T00:00:00"/>
    <s v="First Class"/>
    <x v="11"/>
    <x v="11"/>
    <s v="Corporate"/>
    <s v="Detroit"/>
    <s v="Michigan"/>
    <x v="2"/>
    <x v="0"/>
    <x v="0"/>
    <s v="PROD-3105"/>
    <x v="299"/>
    <n v="4"/>
    <n v="0"/>
    <n v="134.91"/>
    <s v="OK"/>
  </r>
  <r>
    <s v="ORD-1920"/>
    <x v="234"/>
    <d v="2022-03-21T00:00:00"/>
    <s v="Same Day"/>
    <x v="69"/>
    <x v="69"/>
    <s v="Consumer"/>
    <s v="Richmond"/>
    <s v="Virginia"/>
    <x v="1"/>
    <x v="0"/>
    <x v="7"/>
    <s v="PROD-4078"/>
    <x v="300"/>
    <n v="1"/>
    <n v="0.05"/>
    <n v="294.64"/>
    <s v="OK"/>
  </r>
  <r>
    <s v="ORD-1501"/>
    <x v="235"/>
    <d v="2022-03-22T00:00:00"/>
    <s v="Same Day"/>
    <x v="25"/>
    <x v="25"/>
    <s v="Home Office"/>
    <s v="Hartford"/>
    <s v="Connecticut"/>
    <x v="1"/>
    <x v="1"/>
    <x v="1"/>
    <s v="PROD-5573"/>
    <x v="301"/>
    <n v="9"/>
    <n v="0.3"/>
    <n v="-602.33000000000004"/>
    <s v="OK"/>
  </r>
  <r>
    <s v="ORD-1147"/>
    <x v="236"/>
    <d v="2022-03-30T00:00:00"/>
    <s v="First Class"/>
    <x v="50"/>
    <x v="50"/>
    <s v="Consumer"/>
    <s v="Montgomery"/>
    <s v="Alabama"/>
    <x v="0"/>
    <x v="1"/>
    <x v="8"/>
    <s v="PROD-5503"/>
    <x v="302"/>
    <n v="2"/>
    <n v="0.5"/>
    <n v="-36.520000000000003"/>
    <s v="OK"/>
  </r>
  <r>
    <s v="ORD-1935"/>
    <x v="236"/>
    <d v="2022-04-01T00:00:00"/>
    <s v="Second Class"/>
    <x v="31"/>
    <x v="31"/>
    <s v="Corporate"/>
    <s v="Madison"/>
    <s v="Wisconsin"/>
    <x v="2"/>
    <x v="2"/>
    <x v="14"/>
    <s v="PROD-9156"/>
    <x v="303"/>
    <n v="1"/>
    <n v="0"/>
    <n v="19.829999999999998"/>
    <s v="OK"/>
  </r>
  <r>
    <s v="ORD-1293"/>
    <x v="237"/>
    <d v="2022-03-31T00:00:00"/>
    <s v="First Class"/>
    <x v="61"/>
    <x v="61"/>
    <s v="Consumer"/>
    <s v="Pittsburgh"/>
    <s v="Pennsylvania"/>
    <x v="1"/>
    <x v="1"/>
    <x v="9"/>
    <s v="PROD-2877"/>
    <x v="304"/>
    <n v="9"/>
    <n v="0"/>
    <n v="1239.55"/>
    <s v="OK"/>
  </r>
  <r>
    <s v="ORD-1671"/>
    <x v="238"/>
    <d v="2022-04-05T00:00:00"/>
    <s v="Standard Class"/>
    <x v="143"/>
    <x v="143"/>
    <s v="Consumer"/>
    <s v="Newark"/>
    <s v="New Jersey"/>
    <x v="1"/>
    <x v="1"/>
    <x v="2"/>
    <s v="PROD-6862"/>
    <x v="305"/>
    <n v="6"/>
    <n v="0.05"/>
    <n v="72.59"/>
    <s v="OK"/>
  </r>
  <r>
    <s v="ORD-1871"/>
    <x v="239"/>
    <d v="2022-04-04T00:00:00"/>
    <s v="Same Day"/>
    <x v="35"/>
    <x v="35"/>
    <s v="Consumer"/>
    <s v="Hartford"/>
    <s v="Connecticut"/>
    <x v="1"/>
    <x v="0"/>
    <x v="6"/>
    <s v="PROD-2531"/>
    <x v="306"/>
    <n v="10"/>
    <n v="0.2"/>
    <n v="51.6"/>
    <s v="OK"/>
  </r>
  <r>
    <s v="ORD-1258"/>
    <x v="240"/>
    <d v="2022-04-08T00:00:00"/>
    <s v="First Class"/>
    <x v="150"/>
    <x v="150"/>
    <s v="Consumer"/>
    <s v="Atlanta"/>
    <s v="Georgia"/>
    <x v="0"/>
    <x v="2"/>
    <x v="5"/>
    <s v="PROD-9570"/>
    <x v="307"/>
    <n v="9"/>
    <n v="0.5"/>
    <n v="-192.81"/>
    <s v="OK"/>
  </r>
  <r>
    <s v="ORD-1442"/>
    <x v="240"/>
    <d v="2022-04-09T00:00:00"/>
    <s v="Second Class"/>
    <x v="157"/>
    <x v="157"/>
    <s v="Home Office"/>
    <s v="Portland"/>
    <s v="Oregon"/>
    <x v="3"/>
    <x v="1"/>
    <x v="8"/>
    <s v="PROD-5227"/>
    <x v="308"/>
    <n v="5"/>
    <n v="0.3"/>
    <n v="44.43"/>
    <s v="OK"/>
  </r>
  <r>
    <s v="ORD-1245"/>
    <x v="241"/>
    <d v="2022-04-08T00:00:00"/>
    <s v="Second Class"/>
    <x v="13"/>
    <x v="13"/>
    <s v="Home Office"/>
    <s v="Milwaukee"/>
    <s v="Wisconsin"/>
    <x v="2"/>
    <x v="2"/>
    <x v="13"/>
    <s v="PROD-1359"/>
    <x v="309"/>
    <n v="3"/>
    <n v="0.2"/>
    <n v="29.92"/>
    <s v="OK"/>
  </r>
  <r>
    <s v="ORD-1984"/>
    <x v="241"/>
    <d v="2022-04-09T00:00:00"/>
    <s v="Second Class"/>
    <x v="21"/>
    <x v="21"/>
    <s v="Corporate"/>
    <s v="Birmingham"/>
    <s v="Alabama"/>
    <x v="0"/>
    <x v="2"/>
    <x v="4"/>
    <s v="PROD-4021"/>
    <x v="310"/>
    <n v="7"/>
    <n v="0.2"/>
    <n v="22.66"/>
    <s v="OK"/>
  </r>
  <r>
    <s v="ORD-1678"/>
    <x v="242"/>
    <d v="2022-04-09T00:00:00"/>
    <s v="Same Day"/>
    <x v="17"/>
    <x v="17"/>
    <s v="Home Office"/>
    <s v="Columbus"/>
    <s v="Ohio"/>
    <x v="2"/>
    <x v="0"/>
    <x v="6"/>
    <s v="PROD-5095"/>
    <x v="311"/>
    <n v="10"/>
    <n v="0"/>
    <n v="61.69"/>
    <s v="OK"/>
  </r>
  <r>
    <s v="ORD-1161"/>
    <x v="243"/>
    <d v="2022-04-15T00:00:00"/>
    <s v="Same Day"/>
    <x v="83"/>
    <x v="83"/>
    <s v="Home Office"/>
    <s v="Boston"/>
    <s v="Massachusetts"/>
    <x v="1"/>
    <x v="0"/>
    <x v="6"/>
    <s v="PROD-2678"/>
    <x v="312"/>
    <n v="7"/>
    <n v="0"/>
    <n v="374.29"/>
    <s v="OK"/>
  </r>
  <r>
    <s v="ORD-1848"/>
    <x v="244"/>
    <d v="2022-04-18T00:00:00"/>
    <s v="Same Day"/>
    <x v="159"/>
    <x v="159"/>
    <s v="Corporate"/>
    <s v="Boulder"/>
    <s v="Colorado"/>
    <x v="3"/>
    <x v="2"/>
    <x v="14"/>
    <s v="PROD-7911"/>
    <x v="313"/>
    <n v="9"/>
    <n v="0.3"/>
    <n v="-2.91"/>
    <s v="OK"/>
  </r>
  <r>
    <s v="ORD-1702"/>
    <x v="244"/>
    <d v="2022-04-23T00:00:00"/>
    <s v="Standard Class"/>
    <x v="160"/>
    <x v="160"/>
    <s v="Corporate"/>
    <s v="Virginia Beach"/>
    <s v="Virginia"/>
    <x v="1"/>
    <x v="0"/>
    <x v="0"/>
    <s v="PROD-9392"/>
    <x v="314"/>
    <n v="5"/>
    <n v="0.3"/>
    <n v="-53.32"/>
    <s v="OK"/>
  </r>
  <r>
    <s v="ORD-1182"/>
    <x v="245"/>
    <d v="2022-04-23T00:00:00"/>
    <s v="Same Day"/>
    <x v="11"/>
    <x v="11"/>
    <s v="Corporate"/>
    <s v="Detroit"/>
    <s v="Michigan"/>
    <x v="2"/>
    <x v="2"/>
    <x v="4"/>
    <s v="PROD-7102"/>
    <x v="315"/>
    <n v="3"/>
    <n v="0.1"/>
    <n v="273.14999999999998"/>
    <s v="OK"/>
  </r>
  <r>
    <s v="ORD-1653"/>
    <x v="246"/>
    <d v="2022-04-24T00:00:00"/>
    <s v="Same Day"/>
    <x v="161"/>
    <x v="161"/>
    <s v="Consumer"/>
    <s v="Milwaukee"/>
    <s v="Wisconsin"/>
    <x v="2"/>
    <x v="1"/>
    <x v="9"/>
    <s v="PROD-9863"/>
    <x v="316"/>
    <n v="10"/>
    <n v="0.5"/>
    <n v="-900.11"/>
    <s v="OK"/>
  </r>
  <r>
    <s v="ORD-1484"/>
    <x v="247"/>
    <d v="2022-04-28T00:00:00"/>
    <s v="Standard Class"/>
    <x v="101"/>
    <x v="101"/>
    <s v="Corporate"/>
    <s v="Hartford"/>
    <s v="Connecticut"/>
    <x v="1"/>
    <x v="1"/>
    <x v="8"/>
    <s v="PROD-3319"/>
    <x v="317"/>
    <n v="9"/>
    <n v="0"/>
    <n v="2316.56"/>
    <s v="OK"/>
  </r>
  <r>
    <s v="ORD-1595"/>
    <x v="248"/>
    <d v="2022-04-28T00:00:00"/>
    <s v="Same Day"/>
    <x v="40"/>
    <x v="40"/>
    <s v="Home Office"/>
    <s v="Boston"/>
    <s v="Massachusetts"/>
    <x v="1"/>
    <x v="1"/>
    <x v="9"/>
    <s v="PROD-1745"/>
    <x v="318"/>
    <n v="9"/>
    <n v="0"/>
    <n v="697.18"/>
    <s v="OK"/>
  </r>
  <r>
    <s v="ORD-1261"/>
    <x v="249"/>
    <d v="2022-05-03T00:00:00"/>
    <s v="Standard Class"/>
    <x v="162"/>
    <x v="162"/>
    <s v="Corporate"/>
    <s v="Montgomery"/>
    <s v="Alabama"/>
    <x v="0"/>
    <x v="2"/>
    <x v="5"/>
    <s v="PROD-8277"/>
    <x v="319"/>
    <n v="9"/>
    <n v="0.2"/>
    <n v="299.92"/>
    <s v="OK"/>
  </r>
  <r>
    <s v="ORD-1982"/>
    <x v="249"/>
    <d v="2022-04-30T00:00:00"/>
    <s v="Same Day"/>
    <x v="22"/>
    <x v="22"/>
    <s v="Corporate"/>
    <s v="Indianapolis"/>
    <s v="Indiana"/>
    <x v="2"/>
    <x v="2"/>
    <x v="14"/>
    <s v="PROD-8434"/>
    <x v="320"/>
    <n v="6"/>
    <n v="0"/>
    <n v="65.66"/>
    <s v="OK"/>
  </r>
  <r>
    <s v="ORD-1643"/>
    <x v="250"/>
    <d v="2022-05-03T00:00:00"/>
    <s v="Second Class"/>
    <x v="51"/>
    <x v="51"/>
    <s v="Home Office"/>
    <s v="Richmond"/>
    <s v="Virginia"/>
    <x v="1"/>
    <x v="1"/>
    <x v="2"/>
    <s v="PROD-5902"/>
    <x v="321"/>
    <n v="10"/>
    <n v="0"/>
    <n v="388.18"/>
    <s v="OK"/>
  </r>
  <r>
    <s v="ORD-1401"/>
    <x v="250"/>
    <d v="2022-05-01T00:00:00"/>
    <s v="First Class"/>
    <x v="17"/>
    <x v="17"/>
    <s v="Home Office"/>
    <s v="Columbus"/>
    <s v="Ohio"/>
    <x v="2"/>
    <x v="1"/>
    <x v="1"/>
    <s v="PROD-5221"/>
    <x v="322"/>
    <n v="6"/>
    <n v="0.15"/>
    <n v="176.55"/>
    <s v="OK"/>
  </r>
  <r>
    <s v="ORD-1581"/>
    <x v="251"/>
    <d v="2022-05-02T00:00:00"/>
    <s v="Same Day"/>
    <x v="163"/>
    <x v="163"/>
    <s v="Consumer"/>
    <s v="Dallas"/>
    <s v="Texas"/>
    <x v="0"/>
    <x v="1"/>
    <x v="8"/>
    <s v="PROD-1128"/>
    <x v="323"/>
    <n v="6"/>
    <n v="0"/>
    <n v="602.37"/>
    <s v="OK"/>
  </r>
  <r>
    <s v="ORD-1680"/>
    <x v="251"/>
    <d v="2022-05-07T00:00:00"/>
    <s v="Standard Class"/>
    <x v="135"/>
    <x v="135"/>
    <s v="Consumer"/>
    <s v="Salem"/>
    <s v="Oregon"/>
    <x v="3"/>
    <x v="2"/>
    <x v="11"/>
    <s v="PROD-8184"/>
    <x v="324"/>
    <n v="1"/>
    <n v="0.15"/>
    <n v="10"/>
    <s v="OK"/>
  </r>
  <r>
    <s v="ORD-1829"/>
    <x v="252"/>
    <d v="2022-05-05T00:00:00"/>
    <s v="First Class"/>
    <x v="164"/>
    <x v="164"/>
    <s v="Corporate"/>
    <s v="Milwaukee"/>
    <s v="Wisconsin"/>
    <x v="2"/>
    <x v="1"/>
    <x v="9"/>
    <s v="PROD-3427"/>
    <x v="325"/>
    <n v="3"/>
    <n v="0.05"/>
    <n v="782.67"/>
    <s v="OK"/>
  </r>
  <r>
    <s v="ORD-1166"/>
    <x v="253"/>
    <d v="2022-05-08T00:00:00"/>
    <s v="Same Day"/>
    <x v="98"/>
    <x v="98"/>
    <s v="Home Office"/>
    <s v="Cleveland"/>
    <s v="Ohio"/>
    <x v="2"/>
    <x v="1"/>
    <x v="1"/>
    <s v="PROD-2847"/>
    <x v="326"/>
    <n v="5"/>
    <n v="0"/>
    <n v="3137.43"/>
    <s v="OK"/>
  </r>
  <r>
    <s v="ORD-1469"/>
    <x v="254"/>
    <d v="2022-05-16T00:00:00"/>
    <s v="Second Class"/>
    <x v="165"/>
    <x v="165"/>
    <s v="Consumer"/>
    <s v="Reno"/>
    <s v="Nevada"/>
    <x v="3"/>
    <x v="0"/>
    <x v="6"/>
    <s v="PROD-6528"/>
    <x v="327"/>
    <n v="7"/>
    <n v="0.3"/>
    <n v="-22.29"/>
    <s v="OK"/>
  </r>
  <r>
    <s v="ORD-1724"/>
    <x v="255"/>
    <d v="2022-05-13T00:00:00"/>
    <s v="Same Day"/>
    <x v="62"/>
    <x v="62"/>
    <s v="Consumer"/>
    <s v="Boston"/>
    <s v="Massachusetts"/>
    <x v="1"/>
    <x v="1"/>
    <x v="8"/>
    <s v="PROD-8713"/>
    <x v="328"/>
    <n v="2"/>
    <n v="0"/>
    <n v="300.23"/>
    <s v="OK"/>
  </r>
  <r>
    <s v="ORD-1980"/>
    <x v="256"/>
    <d v="2022-05-19T00:00:00"/>
    <s v="First Class"/>
    <x v="166"/>
    <x v="151"/>
    <s v="Corporate"/>
    <s v="Buffalo"/>
    <s v="New York"/>
    <x v="1"/>
    <x v="2"/>
    <x v="15"/>
    <s v="PROD-9870"/>
    <x v="329"/>
    <n v="9"/>
    <n v="0.1"/>
    <n v="54.57"/>
    <s v="OK"/>
  </r>
  <r>
    <s v="ORD-1127"/>
    <x v="257"/>
    <d v="2022-05-24T00:00:00"/>
    <s v="Same Day"/>
    <x v="128"/>
    <x v="128"/>
    <s v="Corporate"/>
    <s v="Nashville"/>
    <s v="Tennessee"/>
    <x v="0"/>
    <x v="2"/>
    <x v="15"/>
    <s v="PROD-4203"/>
    <x v="330"/>
    <n v="2"/>
    <n v="0.15"/>
    <n v="7.54"/>
    <s v="OK"/>
  </r>
  <r>
    <s v="ORD-1593"/>
    <x v="258"/>
    <d v="2022-05-28T00:00:00"/>
    <s v="First Class"/>
    <x v="71"/>
    <x v="71"/>
    <s v="Consumer"/>
    <s v="Charlotte"/>
    <s v="North Carolina"/>
    <x v="0"/>
    <x v="0"/>
    <x v="7"/>
    <s v="PROD-8506"/>
    <x v="331"/>
    <n v="5"/>
    <n v="0.05"/>
    <n v="406.2"/>
    <s v="OK"/>
  </r>
  <r>
    <s v="ORD-1187"/>
    <x v="258"/>
    <d v="2022-05-27T00:00:00"/>
    <s v="First Class"/>
    <x v="75"/>
    <x v="75"/>
    <s v="Consumer"/>
    <s v="Miami"/>
    <s v="Florida"/>
    <x v="0"/>
    <x v="2"/>
    <x v="5"/>
    <s v="PROD-9412"/>
    <x v="332"/>
    <n v="6"/>
    <n v="0"/>
    <n v="225.13"/>
    <s v="OK"/>
  </r>
  <r>
    <s v="ORD-1047"/>
    <x v="259"/>
    <d v="2022-06-01T00:00:00"/>
    <s v="Standard Class"/>
    <x v="167"/>
    <x v="166"/>
    <s v="Home Office"/>
    <s v="Indianapolis"/>
    <s v="Indiana"/>
    <x v="2"/>
    <x v="0"/>
    <x v="0"/>
    <s v="PROD-4048"/>
    <x v="333"/>
    <n v="7"/>
    <n v="0.15"/>
    <n v="253.34"/>
    <s v="OK"/>
  </r>
  <r>
    <s v="ORD-1334"/>
    <x v="259"/>
    <d v="2022-05-29T00:00:00"/>
    <s v="First Class"/>
    <x v="11"/>
    <x v="11"/>
    <s v="Corporate"/>
    <s v="Detroit"/>
    <s v="Michigan"/>
    <x v="2"/>
    <x v="1"/>
    <x v="1"/>
    <s v="PROD-2747"/>
    <x v="334"/>
    <n v="4"/>
    <n v="0.05"/>
    <n v="3494.67"/>
    <s v="OK"/>
  </r>
  <r>
    <s v="ORD-1989"/>
    <x v="260"/>
    <d v="2022-06-03T00:00:00"/>
    <s v="Standard Class"/>
    <x v="164"/>
    <x v="164"/>
    <s v="Corporate"/>
    <s v="Milwaukee"/>
    <s v="Wisconsin"/>
    <x v="2"/>
    <x v="2"/>
    <x v="16"/>
    <s v="PROD-6028"/>
    <x v="335"/>
    <n v="5"/>
    <n v="0.15"/>
    <n v="15.28"/>
    <s v="OK"/>
  </r>
  <r>
    <s v="ORD-1114"/>
    <x v="261"/>
    <d v="2022-06-04T00:00:00"/>
    <s v="First Class"/>
    <x v="84"/>
    <x v="84"/>
    <s v="Consumer"/>
    <s v="San Diego"/>
    <s v="California"/>
    <x v="3"/>
    <x v="0"/>
    <x v="7"/>
    <s v="PROD-7502"/>
    <x v="336"/>
    <n v="4"/>
    <n v="0.05"/>
    <n v="514"/>
    <s v="OK"/>
  </r>
  <r>
    <s v="ORD-1964"/>
    <x v="262"/>
    <d v="2022-06-04T00:00:00"/>
    <s v="Same Day"/>
    <x v="135"/>
    <x v="135"/>
    <s v="Consumer"/>
    <s v="Salem"/>
    <s v="Oregon"/>
    <x v="3"/>
    <x v="1"/>
    <x v="8"/>
    <s v="PROD-5687"/>
    <x v="337"/>
    <n v="10"/>
    <n v="0.4"/>
    <n v="89.95"/>
    <s v="OK"/>
  </r>
  <r>
    <s v="ORD-1319"/>
    <x v="263"/>
    <d v="2022-06-08T00:00:00"/>
    <s v="First Class"/>
    <x v="72"/>
    <x v="72"/>
    <s v="Corporate"/>
    <s v="Cleveland"/>
    <s v="Ohio"/>
    <x v="2"/>
    <x v="2"/>
    <x v="16"/>
    <s v="PROD-7939"/>
    <x v="338"/>
    <n v="3"/>
    <n v="0.2"/>
    <n v="26.61"/>
    <s v="OK"/>
  </r>
  <r>
    <s v="ORD-1317"/>
    <x v="264"/>
    <d v="2022-06-07T00:00:00"/>
    <s v="Same Day"/>
    <x v="143"/>
    <x v="143"/>
    <s v="Consumer"/>
    <s v="Newark"/>
    <s v="New Jersey"/>
    <x v="1"/>
    <x v="2"/>
    <x v="13"/>
    <s v="PROD-2373"/>
    <x v="339"/>
    <n v="10"/>
    <n v="0"/>
    <n v="112.62"/>
    <s v="OK"/>
  </r>
  <r>
    <s v="ORD-1246"/>
    <x v="265"/>
    <d v="2022-06-07T00:00:00"/>
    <s v="Standard Class"/>
    <x v="131"/>
    <x v="131"/>
    <s v="Consumer"/>
    <s v="Raleigh"/>
    <s v="North Carolina"/>
    <x v="0"/>
    <x v="1"/>
    <x v="1"/>
    <s v="PROD-1785"/>
    <x v="340"/>
    <n v="1"/>
    <n v="0.2"/>
    <n v="-7.74"/>
    <s v="Error"/>
  </r>
  <r>
    <s v="ORD-1375"/>
    <x v="266"/>
    <d v="2022-06-15T00:00:00"/>
    <s v="Standard Class"/>
    <x v="118"/>
    <x v="118"/>
    <s v="Home Office"/>
    <s v="Los Angeles"/>
    <s v="California"/>
    <x v="3"/>
    <x v="0"/>
    <x v="3"/>
    <s v="PROD-4616"/>
    <x v="341"/>
    <n v="9"/>
    <n v="0.5"/>
    <n v="-2436.4"/>
    <s v="OK"/>
  </r>
  <r>
    <s v="ORD-1572"/>
    <x v="267"/>
    <d v="2022-06-14T00:00:00"/>
    <s v="Second Class"/>
    <x v="152"/>
    <x v="152"/>
    <s v="Corporate"/>
    <s v="Memphis"/>
    <s v="Tennessee"/>
    <x v="0"/>
    <x v="1"/>
    <x v="1"/>
    <s v="PROD-4907"/>
    <x v="342"/>
    <n v="5"/>
    <n v="0.1"/>
    <n v="2171.81"/>
    <s v="OK"/>
  </r>
  <r>
    <s v="ORD-1855"/>
    <x v="268"/>
    <d v="2022-06-17T00:00:00"/>
    <s v="First Class"/>
    <x v="87"/>
    <x v="87"/>
    <s v="Corporate"/>
    <s v="Savannah"/>
    <s v="Georgia"/>
    <x v="0"/>
    <x v="0"/>
    <x v="7"/>
    <s v="PROD-4724"/>
    <x v="343"/>
    <n v="7"/>
    <n v="0.3"/>
    <n v="105.73"/>
    <s v="OK"/>
  </r>
  <r>
    <s v="ORD-1396"/>
    <x v="269"/>
    <d v="2022-06-17T00:00:00"/>
    <s v="Same Day"/>
    <x v="105"/>
    <x v="105"/>
    <s v="Corporate"/>
    <s v="Richmond"/>
    <s v="Virginia"/>
    <x v="1"/>
    <x v="2"/>
    <x v="11"/>
    <s v="PROD-3315"/>
    <x v="344"/>
    <n v="4"/>
    <n v="0.05"/>
    <n v="40.22"/>
    <s v="OK"/>
  </r>
  <r>
    <s v="ORD-1338"/>
    <x v="270"/>
    <d v="2022-06-21T00:00:00"/>
    <s v="Second Class"/>
    <x v="168"/>
    <x v="167"/>
    <s v="Consumer"/>
    <s v="Boulder"/>
    <s v="Colorado"/>
    <x v="3"/>
    <x v="1"/>
    <x v="1"/>
    <s v="PROD-5306"/>
    <x v="345"/>
    <n v="2"/>
    <n v="0.15"/>
    <n v="416.24"/>
    <s v="OK"/>
  </r>
  <r>
    <s v="ORD-1208"/>
    <x v="271"/>
    <d v="2022-06-24T00:00:00"/>
    <s v="Standard Class"/>
    <x v="4"/>
    <x v="4"/>
    <s v="Corporate"/>
    <s v="Denver"/>
    <s v="Colorado"/>
    <x v="3"/>
    <x v="2"/>
    <x v="10"/>
    <s v="PROD-6600"/>
    <x v="346"/>
    <n v="1"/>
    <n v="0.1"/>
    <n v="20.73"/>
    <s v="OK"/>
  </r>
  <r>
    <s v="ORD-1559"/>
    <x v="272"/>
    <d v="2022-06-27T00:00:00"/>
    <s v="Same Day"/>
    <x v="169"/>
    <x v="168"/>
    <s v="Home Office"/>
    <s v="Salem"/>
    <s v="Oregon"/>
    <x v="3"/>
    <x v="2"/>
    <x v="4"/>
    <s v="PROD-7189"/>
    <x v="347"/>
    <n v="3"/>
    <n v="0.4"/>
    <n v="11.08"/>
    <s v="OK"/>
  </r>
  <r>
    <s v="ORD-1214"/>
    <x v="272"/>
    <d v="2022-06-26T00:00:00"/>
    <s v="Same Day"/>
    <x v="92"/>
    <x v="92"/>
    <s v="Corporate"/>
    <s v="Atlanta"/>
    <s v="Georgia"/>
    <x v="0"/>
    <x v="0"/>
    <x v="6"/>
    <s v="PROD-5315"/>
    <x v="348"/>
    <n v="6"/>
    <n v="0"/>
    <n v="351.5"/>
    <s v="OK"/>
  </r>
  <r>
    <s v="ORD-1931"/>
    <x v="273"/>
    <d v="2022-06-30T00:00:00"/>
    <s v="Standard Class"/>
    <x v="3"/>
    <x v="3"/>
    <s v="Corporate"/>
    <s v="Saint Paul"/>
    <s v="Minnesota"/>
    <x v="2"/>
    <x v="0"/>
    <x v="7"/>
    <s v="PROD-1159"/>
    <x v="349"/>
    <n v="7"/>
    <n v="0.15"/>
    <n v="1083.6400000000001"/>
    <s v="OK"/>
  </r>
  <r>
    <s v="ORD-1646"/>
    <x v="273"/>
    <d v="2022-06-28T00:00:00"/>
    <s v="Same Day"/>
    <x v="30"/>
    <x v="30"/>
    <s v="Home Office"/>
    <s v="Indianapolis"/>
    <s v="Indiana"/>
    <x v="2"/>
    <x v="2"/>
    <x v="14"/>
    <s v="PROD-7937"/>
    <x v="350"/>
    <n v="9"/>
    <n v="0.4"/>
    <n v="-66.790000000000006"/>
    <s v="OK"/>
  </r>
  <r>
    <s v="ORD-1384"/>
    <x v="274"/>
    <d v="2022-07-01T00:00:00"/>
    <s v="First Class"/>
    <x v="140"/>
    <x v="140"/>
    <s v="Corporate"/>
    <s v="Nashville"/>
    <s v="Tennessee"/>
    <x v="0"/>
    <x v="1"/>
    <x v="1"/>
    <s v="PROD-5093"/>
    <x v="351"/>
    <n v="8"/>
    <n v="0.15"/>
    <n v="804.71"/>
    <s v="OK"/>
  </r>
  <r>
    <s v="ORD-1186"/>
    <x v="274"/>
    <d v="2022-07-02T00:00:00"/>
    <s v="Standard Class"/>
    <x v="126"/>
    <x v="126"/>
    <s v="Home Office"/>
    <s v="Virginia Beach"/>
    <s v="Virginia"/>
    <x v="1"/>
    <x v="2"/>
    <x v="10"/>
    <s v="PROD-3582"/>
    <x v="352"/>
    <n v="4"/>
    <n v="0.3"/>
    <n v="24.25"/>
    <s v="OK"/>
  </r>
  <r>
    <s v="ORD-1615"/>
    <x v="274"/>
    <d v="2022-06-29T00:00:00"/>
    <s v="First Class"/>
    <x v="103"/>
    <x v="103"/>
    <s v="Home Office"/>
    <s v="Denver"/>
    <s v="Colorado"/>
    <x v="3"/>
    <x v="2"/>
    <x v="13"/>
    <s v="PROD-4458"/>
    <x v="353"/>
    <n v="8"/>
    <n v="0.3"/>
    <n v="25.32"/>
    <s v="OK"/>
  </r>
  <r>
    <s v="ORD-1591"/>
    <x v="275"/>
    <d v="2022-07-04T00:00:00"/>
    <s v="First Class"/>
    <x v="170"/>
    <x v="169"/>
    <s v="Corporate"/>
    <s v="Atlanta"/>
    <s v="Georgia"/>
    <x v="0"/>
    <x v="2"/>
    <x v="4"/>
    <s v="PROD-9096"/>
    <x v="354"/>
    <n v="4"/>
    <n v="0.05"/>
    <n v="44.61"/>
    <s v="OK"/>
  </r>
  <r>
    <s v="ORD-1060"/>
    <x v="276"/>
    <d v="2022-07-03T00:00:00"/>
    <s v="Same Day"/>
    <x v="110"/>
    <x v="110"/>
    <s v="Consumer"/>
    <s v="Birmingham"/>
    <s v="Alabama"/>
    <x v="0"/>
    <x v="2"/>
    <x v="14"/>
    <s v="PROD-3308"/>
    <x v="355"/>
    <n v="6"/>
    <n v="0.05"/>
    <n v="106.62"/>
    <s v="OK"/>
  </r>
  <r>
    <s v="ORD-1797"/>
    <x v="276"/>
    <d v="2022-07-09T00:00:00"/>
    <s v="Standard Class"/>
    <x v="91"/>
    <x v="91"/>
    <s v="Consumer"/>
    <s v="Savannah"/>
    <s v="Georgia"/>
    <x v="0"/>
    <x v="0"/>
    <x v="0"/>
    <s v="PROD-7064"/>
    <x v="356"/>
    <n v="3"/>
    <n v="0.2"/>
    <n v="85.44"/>
    <s v="OK"/>
  </r>
  <r>
    <s v="ORD-1752"/>
    <x v="277"/>
    <d v="2022-07-10T00:00:00"/>
    <s v="Second Class"/>
    <x v="171"/>
    <x v="170"/>
    <s v="Consumer"/>
    <s v="Buffalo"/>
    <s v="New York"/>
    <x v="1"/>
    <x v="2"/>
    <x v="10"/>
    <s v="PROD-7520"/>
    <x v="357"/>
    <n v="10"/>
    <n v="0.15"/>
    <n v="23.05"/>
    <s v="OK"/>
  </r>
  <r>
    <s v="ORD-1661"/>
    <x v="278"/>
    <d v="2022-07-12T00:00:00"/>
    <s v="Standard Class"/>
    <x v="156"/>
    <x v="156"/>
    <s v="Corporate"/>
    <s v="Hartford"/>
    <s v="Connecticut"/>
    <x v="1"/>
    <x v="1"/>
    <x v="1"/>
    <s v="PROD-8615"/>
    <x v="358"/>
    <n v="9"/>
    <n v="0.2"/>
    <n v="-418.59"/>
    <s v="OK"/>
  </r>
  <r>
    <s v="ORD-1123"/>
    <x v="279"/>
    <d v="2022-07-12T00:00:00"/>
    <s v="Standard Class"/>
    <x v="122"/>
    <x v="122"/>
    <s v="Consumer"/>
    <s v="Charlotte"/>
    <s v="North Carolina"/>
    <x v="0"/>
    <x v="2"/>
    <x v="10"/>
    <s v="PROD-2430"/>
    <x v="359"/>
    <n v="5"/>
    <n v="0.3"/>
    <n v="7.09"/>
    <s v="OK"/>
  </r>
  <r>
    <s v="ORD-1432"/>
    <x v="280"/>
    <d v="2022-07-12T00:00:00"/>
    <s v="Same Day"/>
    <x v="8"/>
    <x v="8"/>
    <s v="Corporate"/>
    <s v="Boston"/>
    <s v="Massachusetts"/>
    <x v="1"/>
    <x v="1"/>
    <x v="2"/>
    <s v="PROD-9143"/>
    <x v="360"/>
    <n v="5"/>
    <n v="0.15"/>
    <n v="188.58"/>
    <s v="OK"/>
  </r>
  <r>
    <s v="ORD-1534"/>
    <x v="281"/>
    <d v="2022-07-16T00:00:00"/>
    <s v="First Class"/>
    <x v="86"/>
    <x v="86"/>
    <s v="Consumer"/>
    <s v="Worcester"/>
    <s v="Massachusetts"/>
    <x v="1"/>
    <x v="0"/>
    <x v="0"/>
    <s v="PROD-6832"/>
    <x v="361"/>
    <n v="3"/>
    <n v="0.15"/>
    <n v="124.56"/>
    <s v="OK"/>
  </r>
  <r>
    <s v="ORD-1567"/>
    <x v="282"/>
    <d v="2022-07-21T00:00:00"/>
    <s v="Standard Class"/>
    <x v="2"/>
    <x v="2"/>
    <s v="Consumer"/>
    <s v="Cleveland"/>
    <s v="Ohio"/>
    <x v="2"/>
    <x v="1"/>
    <x v="2"/>
    <s v="PROD-9700"/>
    <x v="362"/>
    <n v="10"/>
    <n v="0"/>
    <n v="563.92999999999995"/>
    <s v="OK"/>
  </r>
  <r>
    <s v="ORD-1825"/>
    <x v="283"/>
    <d v="2022-07-20T00:00:00"/>
    <s v="Second Class"/>
    <x v="172"/>
    <x v="171"/>
    <s v="Corporate"/>
    <s v="Buffalo"/>
    <s v="New York"/>
    <x v="1"/>
    <x v="2"/>
    <x v="14"/>
    <s v="PROD-1744"/>
    <x v="363"/>
    <n v="9"/>
    <n v="0"/>
    <n v="356.43"/>
    <s v="OK"/>
  </r>
  <r>
    <s v="ORD-1988"/>
    <x v="283"/>
    <d v="2022-07-21T00:00:00"/>
    <s v="Standard Class"/>
    <x v="146"/>
    <x v="146"/>
    <s v="Consumer"/>
    <s v="Hartford"/>
    <s v="Connecticut"/>
    <x v="1"/>
    <x v="1"/>
    <x v="1"/>
    <s v="PROD-9893"/>
    <x v="364"/>
    <n v="1"/>
    <n v="0.1"/>
    <n v="80.42"/>
    <s v="OK"/>
  </r>
  <r>
    <s v="ORD-1044"/>
    <x v="284"/>
    <d v="2022-07-22T00:00:00"/>
    <s v="Standard Class"/>
    <x v="78"/>
    <x v="78"/>
    <s v="Home Office"/>
    <s v="Spokane"/>
    <s v="Washington"/>
    <x v="3"/>
    <x v="2"/>
    <x v="5"/>
    <s v="PROD-7655"/>
    <x v="365"/>
    <n v="6"/>
    <n v="0.5"/>
    <n v="-181.97"/>
    <s v="OK"/>
  </r>
  <r>
    <s v="ORD-1895"/>
    <x v="285"/>
    <d v="2022-07-23T00:00:00"/>
    <s v="Standard Class"/>
    <x v="113"/>
    <x v="113"/>
    <s v="Home Office"/>
    <s v="Raleigh"/>
    <s v="North Carolina"/>
    <x v="0"/>
    <x v="0"/>
    <x v="0"/>
    <s v="PROD-1379"/>
    <x v="366"/>
    <n v="7"/>
    <n v="0.1"/>
    <n v="486.16"/>
    <s v="OK"/>
  </r>
  <r>
    <s v="ORD-1326"/>
    <x v="286"/>
    <d v="2022-07-22T00:00:00"/>
    <s v="Same Day"/>
    <x v="74"/>
    <x v="74"/>
    <s v="Home Office"/>
    <s v="Phoenix"/>
    <s v="Arizona"/>
    <x v="3"/>
    <x v="0"/>
    <x v="6"/>
    <s v="PROD-7474"/>
    <x v="367"/>
    <n v="1"/>
    <n v="0"/>
    <n v="21.41"/>
    <s v="OK"/>
  </r>
  <r>
    <s v="ORD-1473"/>
    <x v="287"/>
    <d v="2022-07-24T00:00:00"/>
    <s v="Same Day"/>
    <x v="31"/>
    <x v="31"/>
    <s v="Corporate"/>
    <s v="Madison"/>
    <s v="Wisconsin"/>
    <x v="2"/>
    <x v="1"/>
    <x v="1"/>
    <s v="PROD-6298"/>
    <x v="368"/>
    <n v="8"/>
    <n v="0"/>
    <n v="2254.88"/>
    <s v="OK"/>
  </r>
  <r>
    <s v="ORD-1991"/>
    <x v="287"/>
    <d v="2022-07-23T00:00:00"/>
    <s v="First Class"/>
    <x v="145"/>
    <x v="145"/>
    <s v="Corporate"/>
    <s v="Houston"/>
    <s v="Texas"/>
    <x v="0"/>
    <x v="2"/>
    <x v="14"/>
    <s v="PROD-8216"/>
    <x v="369"/>
    <n v="1"/>
    <n v="0.5"/>
    <n v="-8.11"/>
    <s v="OK"/>
  </r>
  <r>
    <s v="ORD-1579"/>
    <x v="288"/>
    <d v="2022-07-27T00:00:00"/>
    <s v="Second Class"/>
    <x v="9"/>
    <x v="9"/>
    <s v="Home Office"/>
    <s v="Denver"/>
    <s v="Colorado"/>
    <x v="3"/>
    <x v="1"/>
    <x v="2"/>
    <s v="PROD-8786"/>
    <x v="370"/>
    <n v="7"/>
    <n v="0.3"/>
    <n v="34.74"/>
    <s v="OK"/>
  </r>
  <r>
    <s v="ORD-1462"/>
    <x v="289"/>
    <d v="2022-07-26T00:00:00"/>
    <s v="First Class"/>
    <x v="154"/>
    <x v="154"/>
    <s v="Home Office"/>
    <s v="Saint Paul"/>
    <s v="Minnesota"/>
    <x v="2"/>
    <x v="2"/>
    <x v="5"/>
    <s v="PROD-5603"/>
    <x v="371"/>
    <n v="2"/>
    <n v="0"/>
    <n v="78.040000000000006"/>
    <s v="OK"/>
  </r>
  <r>
    <s v="ORD-1846"/>
    <x v="290"/>
    <d v="2022-07-28T00:00:00"/>
    <s v="Second Class"/>
    <x v="92"/>
    <x v="92"/>
    <s v="Corporate"/>
    <s v="Atlanta"/>
    <s v="Georgia"/>
    <x v="0"/>
    <x v="2"/>
    <x v="4"/>
    <s v="PROD-6292"/>
    <x v="372"/>
    <n v="2"/>
    <n v="0.5"/>
    <n v="-68.42"/>
    <s v="OK"/>
  </r>
  <r>
    <s v="ORD-1193"/>
    <x v="291"/>
    <d v="2022-07-28T00:00:00"/>
    <s v="Same Day"/>
    <x v="120"/>
    <x v="120"/>
    <s v="Corporate"/>
    <s v="San Diego"/>
    <s v="California"/>
    <x v="3"/>
    <x v="2"/>
    <x v="4"/>
    <s v="PROD-7868"/>
    <x v="373"/>
    <n v="9"/>
    <n v="0.3"/>
    <n v="143.31"/>
    <s v="OK"/>
  </r>
  <r>
    <s v="ORD-1867"/>
    <x v="292"/>
    <d v="2022-07-31T00:00:00"/>
    <s v="First Class"/>
    <x v="89"/>
    <x v="89"/>
    <s v="Home Office"/>
    <s v="Bridgeport"/>
    <s v="Connecticut"/>
    <x v="1"/>
    <x v="2"/>
    <x v="10"/>
    <s v="PROD-2461"/>
    <x v="374"/>
    <n v="3"/>
    <n v="0.1"/>
    <n v="35.06"/>
    <s v="OK"/>
  </r>
  <r>
    <s v="ORD-1819"/>
    <x v="292"/>
    <d v="2022-08-03T00:00:00"/>
    <s v="Standard Class"/>
    <x v="173"/>
    <x v="172"/>
    <s v="Home Office"/>
    <s v="Minneapolis"/>
    <s v="Minnesota"/>
    <x v="2"/>
    <x v="0"/>
    <x v="7"/>
    <s v="PROD-4028"/>
    <x v="375"/>
    <n v="6"/>
    <n v="0.05"/>
    <n v="161.27000000000001"/>
    <s v="OK"/>
  </r>
  <r>
    <s v="ORD-1028"/>
    <x v="293"/>
    <d v="2022-08-04T00:00:00"/>
    <s v="Same Day"/>
    <x v="174"/>
    <x v="173"/>
    <s v="Consumer"/>
    <s v="Seattle"/>
    <s v="Washington"/>
    <x v="3"/>
    <x v="2"/>
    <x v="11"/>
    <s v="PROD-9641"/>
    <x v="376"/>
    <n v="10"/>
    <n v="0.3"/>
    <n v="25.35"/>
    <s v="OK"/>
  </r>
  <r>
    <s v="ORD-1861"/>
    <x v="294"/>
    <d v="2022-08-05T00:00:00"/>
    <s v="Same Day"/>
    <x v="42"/>
    <x v="42"/>
    <s v="Consumer"/>
    <s v="Las Vegas"/>
    <s v="Nevada"/>
    <x v="3"/>
    <x v="0"/>
    <x v="6"/>
    <s v="PROD-4192"/>
    <x v="377"/>
    <n v="5"/>
    <n v="0"/>
    <n v="33.68"/>
    <s v="OK"/>
  </r>
  <r>
    <s v="ORD-1896"/>
    <x v="294"/>
    <d v="2022-08-04T00:00:00"/>
    <s v="First Class"/>
    <x v="15"/>
    <x v="15"/>
    <s v="Corporate"/>
    <s v="Springfield"/>
    <s v="Illinois"/>
    <x v="2"/>
    <x v="1"/>
    <x v="2"/>
    <s v="PROD-2520"/>
    <x v="378"/>
    <n v="10"/>
    <n v="0"/>
    <n v="143.86000000000001"/>
    <s v="OK"/>
  </r>
  <r>
    <s v="ORD-1592"/>
    <x v="295"/>
    <d v="2022-08-07T00:00:00"/>
    <s v="Second Class"/>
    <x v="175"/>
    <x v="174"/>
    <s v="Corporate"/>
    <s v="Miami"/>
    <s v="Florida"/>
    <x v="0"/>
    <x v="0"/>
    <x v="3"/>
    <s v="PROD-3955"/>
    <x v="379"/>
    <n v="10"/>
    <n v="0.05"/>
    <n v="-229.51"/>
    <s v="OK"/>
  </r>
  <r>
    <s v="ORD-1284"/>
    <x v="295"/>
    <d v="2022-08-10T00:00:00"/>
    <s v="Standard Class"/>
    <x v="107"/>
    <x v="107"/>
    <s v="Home Office"/>
    <s v="Detroit"/>
    <s v="Michigan"/>
    <x v="2"/>
    <x v="1"/>
    <x v="9"/>
    <s v="PROD-7143"/>
    <x v="380"/>
    <n v="2"/>
    <n v="0.2"/>
    <n v="66.63"/>
    <s v="OK"/>
  </r>
  <r>
    <s v="ORD-1775"/>
    <x v="295"/>
    <d v="2022-08-07T00:00:00"/>
    <s v="First Class"/>
    <x v="16"/>
    <x v="16"/>
    <s v="Corporate"/>
    <s v="Hartford"/>
    <s v="Connecticut"/>
    <x v="1"/>
    <x v="2"/>
    <x v="13"/>
    <s v="PROD-4196"/>
    <x v="381"/>
    <n v="7"/>
    <n v="0"/>
    <n v="96.03"/>
    <s v="OK"/>
  </r>
  <r>
    <s v="ORD-1771"/>
    <x v="296"/>
    <d v="2022-08-09T00:00:00"/>
    <s v="Second Class"/>
    <x v="126"/>
    <x v="126"/>
    <s v="Home Office"/>
    <s v="Virginia Beach"/>
    <s v="Virginia"/>
    <x v="1"/>
    <x v="0"/>
    <x v="6"/>
    <s v="PROD-1562"/>
    <x v="382"/>
    <n v="8"/>
    <n v="0.3"/>
    <n v="103.35"/>
    <s v="OK"/>
  </r>
  <r>
    <s v="ORD-1884"/>
    <x v="297"/>
    <d v="2022-08-10T00:00:00"/>
    <s v="Same Day"/>
    <x v="47"/>
    <x v="47"/>
    <s v="Home Office"/>
    <s v="Raleigh"/>
    <s v="North Carolina"/>
    <x v="0"/>
    <x v="2"/>
    <x v="12"/>
    <s v="PROD-5640"/>
    <x v="383"/>
    <n v="3"/>
    <n v="0.4"/>
    <n v="-2.4500000000000002"/>
    <s v="OK"/>
  </r>
  <r>
    <s v="ORD-1800"/>
    <x v="298"/>
    <d v="2022-08-10T00:00:00"/>
    <s v="Same Day"/>
    <x v="30"/>
    <x v="30"/>
    <s v="Home Office"/>
    <s v="Indianapolis"/>
    <s v="Indiana"/>
    <x v="2"/>
    <x v="1"/>
    <x v="1"/>
    <s v="PROD-7946"/>
    <x v="384"/>
    <n v="3"/>
    <n v="0.5"/>
    <n v="-2040.57"/>
    <s v="OK"/>
  </r>
  <r>
    <s v="ORD-1113"/>
    <x v="299"/>
    <d v="2022-08-18T00:00:00"/>
    <s v="Standard Class"/>
    <x v="158"/>
    <x v="158"/>
    <s v="Consumer"/>
    <s v="Detroit"/>
    <s v="Michigan"/>
    <x v="2"/>
    <x v="0"/>
    <x v="3"/>
    <s v="PROD-8054"/>
    <x v="385"/>
    <n v="9"/>
    <n v="0.1"/>
    <n v="-5.63"/>
    <s v="OK"/>
  </r>
  <r>
    <s v="ORD-1079"/>
    <x v="300"/>
    <d v="2022-08-15T00:00:00"/>
    <s v="First Class"/>
    <x v="119"/>
    <x v="119"/>
    <s v="Consumer"/>
    <s v="Houston"/>
    <s v="Texas"/>
    <x v="0"/>
    <x v="1"/>
    <x v="1"/>
    <s v="PROD-1969"/>
    <x v="386"/>
    <n v="8"/>
    <n v="0.3"/>
    <n v="-1070.1300000000001"/>
    <s v="OK"/>
  </r>
  <r>
    <s v="ORD-1929"/>
    <x v="301"/>
    <d v="2022-08-17T00:00:00"/>
    <s v="First Class"/>
    <x v="118"/>
    <x v="118"/>
    <s v="Home Office"/>
    <s v="Los Angeles"/>
    <s v="California"/>
    <x v="3"/>
    <x v="0"/>
    <x v="6"/>
    <s v="PROD-1050"/>
    <x v="387"/>
    <n v="3"/>
    <n v="0.05"/>
    <n v="91.92"/>
    <s v="OK"/>
  </r>
  <r>
    <s v="ORD-1531"/>
    <x v="301"/>
    <d v="2022-08-14T00:00:00"/>
    <s v="Same Day"/>
    <x v="94"/>
    <x v="94"/>
    <s v="Consumer"/>
    <s v="Columbus"/>
    <s v="Ohio"/>
    <x v="2"/>
    <x v="0"/>
    <x v="6"/>
    <s v="PROD-9059"/>
    <x v="388"/>
    <n v="8"/>
    <n v="0"/>
    <n v="158.4"/>
    <s v="OK"/>
  </r>
  <r>
    <s v="ORD-1517"/>
    <x v="302"/>
    <d v="2022-08-19T00:00:00"/>
    <s v="Standard Class"/>
    <x v="111"/>
    <x v="111"/>
    <s v="Consumer"/>
    <s v="Montgomery"/>
    <s v="Alabama"/>
    <x v="0"/>
    <x v="0"/>
    <x v="6"/>
    <s v="PROD-6785"/>
    <x v="389"/>
    <n v="5"/>
    <n v="0.05"/>
    <m/>
    <s v="OK"/>
  </r>
  <r>
    <s v="ORD-1145"/>
    <x v="303"/>
    <d v="2022-08-18T00:00:00"/>
    <s v="Second Class"/>
    <x v="32"/>
    <x v="32"/>
    <s v="Corporate"/>
    <s v="Birmingham"/>
    <s v="Alabama"/>
    <x v="0"/>
    <x v="0"/>
    <x v="3"/>
    <s v="PROD-6154"/>
    <x v="390"/>
    <n v="3"/>
    <n v="0.4"/>
    <n v="-450.27"/>
    <s v="OK"/>
  </r>
  <r>
    <s v="ORD-1813"/>
    <x v="304"/>
    <d v="2022-08-19T00:00:00"/>
    <s v="First Class"/>
    <x v="29"/>
    <x v="29"/>
    <s v="Corporate"/>
    <s v="San Francisco"/>
    <s v="California"/>
    <x v="3"/>
    <x v="1"/>
    <x v="9"/>
    <s v="PROD-2353"/>
    <x v="391"/>
    <n v="10"/>
    <n v="0"/>
    <n v="1989.04"/>
    <s v="OK"/>
  </r>
  <r>
    <s v="ORD-1098"/>
    <x v="304"/>
    <d v="2022-08-21T00:00:00"/>
    <s v="Second Class"/>
    <x v="139"/>
    <x v="139"/>
    <s v="Corporate"/>
    <s v="Montgomery"/>
    <s v="Alabama"/>
    <x v="0"/>
    <x v="2"/>
    <x v="11"/>
    <s v="PROD-6224"/>
    <x v="392"/>
    <n v="1"/>
    <n v="0"/>
    <n v="8.5399999999999991"/>
    <s v="OK"/>
  </r>
  <r>
    <s v="ORD-1480"/>
    <x v="305"/>
    <d v="2022-08-20T00:00:00"/>
    <s v="Second Class"/>
    <x v="139"/>
    <x v="139"/>
    <s v="Corporate"/>
    <s v="Montgomery"/>
    <s v="Alabama"/>
    <x v="0"/>
    <x v="0"/>
    <x v="7"/>
    <s v="PROD-1644"/>
    <x v="393"/>
    <n v="6"/>
    <n v="0"/>
    <n v="608.05999999999995"/>
    <s v="OK"/>
  </r>
  <r>
    <s v="ORD-1969"/>
    <x v="305"/>
    <d v="2022-08-20T00:00:00"/>
    <s v="First Class"/>
    <x v="56"/>
    <x v="56"/>
    <s v="Home Office"/>
    <s v="Nashville"/>
    <s v="Tennessee"/>
    <x v="0"/>
    <x v="0"/>
    <x v="7"/>
    <s v="PROD-6863"/>
    <x v="394"/>
    <n v="6"/>
    <n v="0"/>
    <n v="1213.3800000000001"/>
    <s v="OK"/>
  </r>
  <r>
    <s v="ORD-1425"/>
    <x v="306"/>
    <d v="2022-08-21T00:00:00"/>
    <s v="Second Class"/>
    <x v="133"/>
    <x v="133"/>
    <s v="Corporate"/>
    <s v="Portland"/>
    <s v="Oregon"/>
    <x v="3"/>
    <x v="1"/>
    <x v="8"/>
    <s v="PROD-2936"/>
    <x v="395"/>
    <n v="3"/>
    <n v="0.5"/>
    <n v="-94.82"/>
    <s v="OK"/>
  </r>
  <r>
    <s v="ORD-1949"/>
    <x v="307"/>
    <d v="2022-08-22T00:00:00"/>
    <s v="Same Day"/>
    <x v="29"/>
    <x v="29"/>
    <s v="Corporate"/>
    <s v="San Francisco"/>
    <s v="California"/>
    <x v="3"/>
    <x v="0"/>
    <x v="7"/>
    <s v="PROD-6428"/>
    <x v="396"/>
    <n v="2"/>
    <n v="0.15"/>
    <n v="101.52"/>
    <s v="OK"/>
  </r>
  <r>
    <s v="ORD-1035"/>
    <x v="308"/>
    <d v="2022-08-21T00:00:00"/>
    <s v="Same Day"/>
    <x v="56"/>
    <x v="56"/>
    <s v="Home Office"/>
    <s v="Nashville"/>
    <s v="Tennessee"/>
    <x v="0"/>
    <x v="1"/>
    <x v="2"/>
    <s v="PROD-6780"/>
    <x v="397"/>
    <n v="10"/>
    <n v="0.05"/>
    <n v="409.76"/>
    <s v="OK"/>
  </r>
  <r>
    <s v="ORD-1714"/>
    <x v="308"/>
    <d v="2022-08-26T00:00:00"/>
    <s v="Standard Class"/>
    <x v="176"/>
    <x v="175"/>
    <s v="Home Office"/>
    <s v="Bridgeport"/>
    <s v="Connecticut"/>
    <x v="1"/>
    <x v="0"/>
    <x v="0"/>
    <s v="PROD-1941"/>
    <x v="398"/>
    <n v="7"/>
    <n v="0.1"/>
    <n v="140.22"/>
    <s v="OK"/>
  </r>
  <r>
    <s v="ORD-1787"/>
    <x v="309"/>
    <d v="2022-08-25T00:00:00"/>
    <s v="Same Day"/>
    <x v="27"/>
    <x v="27"/>
    <s v="Home Office"/>
    <s v="San Diego"/>
    <s v="California"/>
    <x v="3"/>
    <x v="2"/>
    <x v="5"/>
    <s v="PROD-9035"/>
    <x v="399"/>
    <n v="1"/>
    <n v="0.4"/>
    <n v="-3.78"/>
    <s v="OK"/>
  </r>
  <r>
    <s v="ORD-1697"/>
    <x v="310"/>
    <d v="2022-08-30T00:00:00"/>
    <s v="Second Class"/>
    <x v="6"/>
    <x v="6"/>
    <s v="Corporate"/>
    <s v="Hartford"/>
    <s v="Connecticut"/>
    <x v="1"/>
    <x v="0"/>
    <x v="7"/>
    <s v="PROD-5049"/>
    <x v="400"/>
    <n v="10"/>
    <n v="0.05"/>
    <n v="1531.32"/>
    <s v="OK"/>
  </r>
  <r>
    <s v="ORD-1704"/>
    <x v="311"/>
    <d v="2022-09-02T00:00:00"/>
    <s v="Standard Class"/>
    <x v="176"/>
    <x v="175"/>
    <s v="Home Office"/>
    <s v="Bridgeport"/>
    <s v="Connecticut"/>
    <x v="1"/>
    <x v="0"/>
    <x v="3"/>
    <s v="PROD-4731"/>
    <x v="401"/>
    <n v="2"/>
    <n v="0.15"/>
    <n v="-65.58"/>
    <s v="OK"/>
  </r>
  <r>
    <s v="ORD-1612"/>
    <x v="312"/>
    <d v="2022-09-05T00:00:00"/>
    <s v="Standard Class"/>
    <x v="113"/>
    <x v="113"/>
    <s v="Home Office"/>
    <s v="Raleigh"/>
    <s v="North Carolina"/>
    <x v="0"/>
    <x v="0"/>
    <x v="0"/>
    <s v="PROD-2253"/>
    <x v="402"/>
    <n v="5"/>
    <n v="0.05"/>
    <n v="482.45"/>
    <s v="OK"/>
  </r>
  <r>
    <s v="ORD-1565"/>
    <x v="313"/>
    <d v="2022-09-09T00:00:00"/>
    <s v="First Class"/>
    <x v="72"/>
    <x v="72"/>
    <s v="Corporate"/>
    <s v="Cleveland"/>
    <s v="Ohio"/>
    <x v="2"/>
    <x v="1"/>
    <x v="1"/>
    <s v="PROD-4305"/>
    <x v="403"/>
    <n v="9"/>
    <n v="0.15"/>
    <n v="2129.54"/>
    <s v="OK"/>
  </r>
  <r>
    <s v="ORD-1568"/>
    <x v="314"/>
    <d v="2022-09-10T00:00:00"/>
    <s v="Same Day"/>
    <x v="97"/>
    <x v="97"/>
    <s v="Home Office"/>
    <s v="Portland"/>
    <s v="Oregon"/>
    <x v="3"/>
    <x v="2"/>
    <x v="11"/>
    <s v="PROD-9846"/>
    <x v="404"/>
    <n v="2"/>
    <n v="0.1"/>
    <n v="9.36"/>
    <s v="OK"/>
  </r>
  <r>
    <s v="ORD-1571"/>
    <x v="314"/>
    <d v="2022-09-09T00:00:00"/>
    <s v="Same Day"/>
    <x v="133"/>
    <x v="133"/>
    <s v="Corporate"/>
    <s v="Portland"/>
    <s v="Oregon"/>
    <x v="3"/>
    <x v="0"/>
    <x v="6"/>
    <s v="PROD-6220"/>
    <x v="405"/>
    <n v="4"/>
    <n v="0"/>
    <n v="109.84"/>
    <s v="OK"/>
  </r>
  <r>
    <s v="ORD-1983"/>
    <x v="315"/>
    <d v="2022-09-13T00:00:00"/>
    <s v="Standard Class"/>
    <x v="116"/>
    <x v="116"/>
    <s v="Consumer"/>
    <s v="Philadelphia"/>
    <s v="Pennsylvania"/>
    <x v="1"/>
    <x v="0"/>
    <x v="3"/>
    <s v="PROD-5572"/>
    <x v="406"/>
    <n v="5"/>
    <n v="0.1"/>
    <n v="-54.29"/>
    <s v="OK"/>
  </r>
  <r>
    <s v="ORD-1099"/>
    <x v="315"/>
    <d v="2022-09-10T00:00:00"/>
    <s v="First Class"/>
    <x v="25"/>
    <x v="25"/>
    <s v="Home Office"/>
    <s v="Hartford"/>
    <s v="Connecticut"/>
    <x v="1"/>
    <x v="1"/>
    <x v="9"/>
    <s v="PROD-3869"/>
    <x v="407"/>
    <n v="3"/>
    <n v="0.4"/>
    <n v="-274.19"/>
    <s v="OK"/>
  </r>
  <r>
    <s v="ORD-1619"/>
    <x v="316"/>
    <d v="2022-09-10T00:00:00"/>
    <s v="Same Day"/>
    <x v="172"/>
    <x v="171"/>
    <s v="Corporate"/>
    <s v="Buffalo"/>
    <s v="New York"/>
    <x v="1"/>
    <x v="1"/>
    <x v="1"/>
    <s v="PROD-8765"/>
    <x v="408"/>
    <n v="-7"/>
    <n v="0.4"/>
    <n v="-1903.17"/>
    <s v="OK"/>
  </r>
  <r>
    <s v="ORD-1934"/>
    <x v="316"/>
    <d v="2022-09-13T00:00:00"/>
    <s v="First Class"/>
    <x v="109"/>
    <x v="109"/>
    <s v="Home Office"/>
    <s v="Atlanta"/>
    <s v="Georgia"/>
    <x v="0"/>
    <x v="2"/>
    <x v="4"/>
    <s v="PROD-8935"/>
    <x v="409"/>
    <n v="8"/>
    <n v="0"/>
    <n v="207.72"/>
    <s v="OK"/>
  </r>
  <r>
    <s v="ORD-1617"/>
    <x v="317"/>
    <d v="2022-09-17T00:00:00"/>
    <s v="First Class"/>
    <x v="27"/>
    <x v="27"/>
    <s v="Home Office"/>
    <s v="San Diego"/>
    <s v="California"/>
    <x v="3"/>
    <x v="1"/>
    <x v="8"/>
    <s v="PROD-7471"/>
    <x v="410"/>
    <n v="7"/>
    <n v="0.5"/>
    <n v="-420.09"/>
    <s v="OK"/>
  </r>
  <r>
    <s v="ORD-1055"/>
    <x v="317"/>
    <d v="2022-09-20T00:00:00"/>
    <s v="Standard Class"/>
    <x v="20"/>
    <x v="20"/>
    <s v="Home Office"/>
    <s v="Fort Wayne"/>
    <s v="Indiana"/>
    <x v="2"/>
    <x v="0"/>
    <x v="6"/>
    <s v="PROD-3762"/>
    <x v="411"/>
    <n v="9"/>
    <n v="0.1"/>
    <n v="119.18"/>
    <s v="OK"/>
  </r>
  <r>
    <s v="ORD-1179"/>
    <x v="318"/>
    <d v="2022-09-19T00:00:00"/>
    <s v="Second Class"/>
    <x v="62"/>
    <x v="62"/>
    <s v="Consumer"/>
    <s v="Boston"/>
    <s v="Massachusetts"/>
    <x v="1"/>
    <x v="0"/>
    <x v="3"/>
    <s v="PROD-7033"/>
    <x v="412"/>
    <n v="4"/>
    <n v="0.1"/>
    <n v="-4.34"/>
    <s v="OK"/>
  </r>
  <r>
    <s v="ORD-1916"/>
    <x v="319"/>
    <d v="2022-09-22T00:00:00"/>
    <s v="Standard Class"/>
    <x v="72"/>
    <x v="72"/>
    <s v="Corporate"/>
    <s v="Cleveland"/>
    <s v="Ohio"/>
    <x v="2"/>
    <x v="0"/>
    <x v="6"/>
    <s v="PROD-6395"/>
    <x v="413"/>
    <n v="1"/>
    <n v="0"/>
    <n v="69.77"/>
    <s v="OK"/>
  </r>
  <r>
    <s v="ORD-1650"/>
    <x v="320"/>
    <d v="2022-09-19T00:00:00"/>
    <s v="First Class"/>
    <x v="164"/>
    <x v="164"/>
    <s v="Corporate"/>
    <s v="Milwaukee"/>
    <s v="Wisconsin"/>
    <x v="2"/>
    <x v="2"/>
    <x v="5"/>
    <s v="PROD-3999"/>
    <x v="414"/>
    <n v="3"/>
    <n v="0.5"/>
    <n v="-41.31"/>
    <s v="OK"/>
  </r>
  <r>
    <s v="ORD-1805"/>
    <x v="320"/>
    <d v="2022-09-23T00:00:00"/>
    <s v="Standard Class"/>
    <x v="164"/>
    <x v="164"/>
    <s v="Corporate"/>
    <s v="Milwaukee"/>
    <s v="Wisconsin"/>
    <x v="2"/>
    <x v="2"/>
    <x v="11"/>
    <s v="PROD-8999"/>
    <x v="415"/>
    <n v="10"/>
    <n v="0.2"/>
    <m/>
    <s v="OK"/>
  </r>
  <r>
    <s v="ORD-1393"/>
    <x v="320"/>
    <d v="2022-09-21T00:00:00"/>
    <s v="Second Class"/>
    <x v="32"/>
    <x v="32"/>
    <s v="Corporate"/>
    <s v="Birmingham"/>
    <s v="Alabama"/>
    <x v="0"/>
    <x v="2"/>
    <x v="13"/>
    <s v="PROD-8245"/>
    <x v="416"/>
    <n v="6"/>
    <n v="0.5"/>
    <n v="-4.1500000000000004"/>
    <s v="OK"/>
  </r>
  <r>
    <s v="ORD-1505"/>
    <x v="320"/>
    <d v="2022-09-22T00:00:00"/>
    <s v="Second Class"/>
    <x v="145"/>
    <x v="145"/>
    <s v="Corporate"/>
    <s v="Houston"/>
    <s v="Texas"/>
    <x v="0"/>
    <x v="2"/>
    <x v="11"/>
    <s v="PROD-8524"/>
    <x v="417"/>
    <n v="2"/>
    <n v="0"/>
    <n v="20.260000000000002"/>
    <s v="OK"/>
  </r>
  <r>
    <s v="ORD-1298"/>
    <x v="321"/>
    <d v="2022-09-21T00:00:00"/>
    <s v="Same Day"/>
    <x v="44"/>
    <x v="44"/>
    <s v="Corporate"/>
    <s v="Bridgeport"/>
    <s v="Connecticut"/>
    <x v="1"/>
    <x v="1"/>
    <x v="9"/>
    <s v="PROD-2783"/>
    <x v="418"/>
    <n v="8"/>
    <n v="0.3"/>
    <n v="-1098.5"/>
    <s v="OK"/>
  </r>
  <r>
    <s v="ORD-1744"/>
    <x v="322"/>
    <d v="2022-09-21T00:00:00"/>
    <s v="Same Day"/>
    <x v="177"/>
    <x v="176"/>
    <s v="Home Office"/>
    <s v="Bridgeport"/>
    <s v="Connecticut"/>
    <x v="1"/>
    <x v="2"/>
    <x v="14"/>
    <s v="PROD-7146"/>
    <x v="419"/>
    <n v="3"/>
    <n v="0.1"/>
    <n v="14.84"/>
    <s v="OK"/>
  </r>
  <r>
    <s v="ORD-1296"/>
    <x v="322"/>
    <d v="2022-09-24T00:00:00"/>
    <s v="Second Class"/>
    <x v="49"/>
    <x v="49"/>
    <s v="Consumer"/>
    <s v="Birmingham"/>
    <s v="Alabama"/>
    <x v="0"/>
    <x v="0"/>
    <x v="0"/>
    <s v="PROD-6971"/>
    <x v="420"/>
    <n v="8"/>
    <n v="0.15"/>
    <n v="200.29"/>
    <s v="OK"/>
  </r>
  <r>
    <s v="ORD-1181"/>
    <x v="323"/>
    <d v="2022-09-27T00:00:00"/>
    <s v="Standard Class"/>
    <x v="36"/>
    <x v="36"/>
    <s v="Home Office"/>
    <s v="Grand Rapids"/>
    <s v="Michigan"/>
    <x v="2"/>
    <x v="1"/>
    <x v="2"/>
    <s v="PROD-9680"/>
    <x v="421"/>
    <n v="1"/>
    <n v="0.2"/>
    <n v="27.49"/>
    <s v="OK"/>
  </r>
  <r>
    <s v="ORD-1839"/>
    <x v="323"/>
    <d v="2022-09-25T00:00:00"/>
    <s v="First Class"/>
    <x v="54"/>
    <x v="54"/>
    <s v="Home Office"/>
    <s v="Bridgeport"/>
    <s v="Connecticut"/>
    <x v="1"/>
    <x v="0"/>
    <x v="0"/>
    <s v="PROD-3531"/>
    <x v="422"/>
    <n v="10"/>
    <n v="0.3"/>
    <n v="-89.21"/>
    <s v="OK"/>
  </r>
  <r>
    <s v="ORD-1526"/>
    <x v="324"/>
    <d v="2022-09-26T00:00:00"/>
    <s v="Same Day"/>
    <x v="178"/>
    <x v="177"/>
    <s v="Corporate"/>
    <s v="Las Vegas"/>
    <s v="Nevada"/>
    <x v="3"/>
    <x v="2"/>
    <x v="13"/>
    <s v="PROD-2435"/>
    <x v="423"/>
    <n v="1"/>
    <n v="0.1"/>
    <n v="6.25"/>
    <s v="OK"/>
  </r>
  <r>
    <s v="ORD-1716"/>
    <x v="325"/>
    <d v="2022-09-30T00:00:00"/>
    <s v="Same Day"/>
    <x v="179"/>
    <x v="178"/>
    <s v="Home Office"/>
    <s v="Worcester"/>
    <s v="Massachusetts"/>
    <x v="1"/>
    <x v="1"/>
    <x v="2"/>
    <s v="PROD-8778"/>
    <x v="424"/>
    <n v="4"/>
    <n v="0"/>
    <n v="114.36"/>
    <s v="OK"/>
  </r>
  <r>
    <s v="ORD-1608"/>
    <x v="326"/>
    <d v="2022-10-02T00:00:00"/>
    <s v="Second Class"/>
    <x v="20"/>
    <x v="20"/>
    <s v="Home Office"/>
    <s v="Fort Wayne"/>
    <s v="Indiana"/>
    <x v="2"/>
    <x v="1"/>
    <x v="1"/>
    <s v="PROD-2574"/>
    <x v="425"/>
    <n v="8"/>
    <n v="0.2"/>
    <n v="73.17"/>
    <s v="OK"/>
  </r>
  <r>
    <s v="ORD-1686"/>
    <x v="327"/>
    <d v="2022-10-04T00:00:00"/>
    <s v="Same Day"/>
    <x v="172"/>
    <x v="171"/>
    <s v="Corporate"/>
    <s v="Buffalo"/>
    <s v="New York"/>
    <x v="1"/>
    <x v="1"/>
    <x v="8"/>
    <s v="PROD-6861"/>
    <x v="426"/>
    <n v="3"/>
    <n v="0"/>
    <n v="233.93"/>
    <s v="OK"/>
  </r>
  <r>
    <s v="ORD-1459"/>
    <x v="328"/>
    <d v="2022-09-29T00:00:00"/>
    <s v="Standard Class"/>
    <x v="90"/>
    <x v="90"/>
    <s v="Corporate"/>
    <s v="Springfield"/>
    <s v="Illinois"/>
    <x v="2"/>
    <x v="1"/>
    <x v="2"/>
    <s v="PROD-9765"/>
    <x v="427"/>
    <n v="2"/>
    <n v="0.4"/>
    <n v="-5.4"/>
    <s v="Error"/>
  </r>
  <r>
    <s v="ORD-1799"/>
    <x v="329"/>
    <d v="2022-10-10T00:00:00"/>
    <s v="Standard Class"/>
    <x v="133"/>
    <x v="133"/>
    <s v="Corporate"/>
    <s v="Portland"/>
    <s v="Oregon"/>
    <x v="3"/>
    <x v="1"/>
    <x v="1"/>
    <s v="PROD-2302"/>
    <x v="428"/>
    <n v="2"/>
    <n v="0.1"/>
    <n v="471.51"/>
    <s v="OK"/>
  </r>
  <r>
    <s v="ORD-1913"/>
    <x v="330"/>
    <d v="2022-10-07T00:00:00"/>
    <s v="Same Day"/>
    <x v="50"/>
    <x v="50"/>
    <s v="Consumer"/>
    <s v="Montgomery"/>
    <s v="Alabama"/>
    <x v="0"/>
    <x v="1"/>
    <x v="9"/>
    <s v="PROD-1771"/>
    <x v="429"/>
    <n v="6"/>
    <n v="0.2"/>
    <n v="265.51"/>
    <s v="OK"/>
  </r>
  <r>
    <s v="ORD-1921"/>
    <x v="330"/>
    <d v="2022-10-08T00:00:00"/>
    <s v="First Class"/>
    <x v="180"/>
    <x v="179"/>
    <s v="Corporate"/>
    <s v="Columbus"/>
    <s v="Ohio"/>
    <x v="2"/>
    <x v="0"/>
    <x v="6"/>
    <s v="PROD-8438"/>
    <x v="430"/>
    <n v="10"/>
    <n v="0.4"/>
    <n v="-40.83"/>
    <s v="OK"/>
  </r>
  <r>
    <s v="ORD-1164"/>
    <x v="331"/>
    <d v="2022-10-10T00:00:00"/>
    <s v="Second Class"/>
    <x v="118"/>
    <x v="118"/>
    <s v="Home Office"/>
    <s v="Los Angeles"/>
    <s v="California"/>
    <x v="3"/>
    <x v="0"/>
    <x v="7"/>
    <s v="PROD-5537"/>
    <x v="431"/>
    <n v="7"/>
    <n v="0.15"/>
    <n v="444.54"/>
    <s v="OK"/>
  </r>
  <r>
    <s v="ORD-1430"/>
    <x v="332"/>
    <d v="2022-10-14T00:00:00"/>
    <s v="Standard Class"/>
    <x v="77"/>
    <x v="77"/>
    <s v="Consumer"/>
    <s v="Detroit"/>
    <s v="Michigan"/>
    <x v="2"/>
    <x v="2"/>
    <x v="5"/>
    <s v="PROD-6434"/>
    <x v="432"/>
    <n v="5"/>
    <n v="0.5"/>
    <n v="-123.95"/>
    <s v="OK"/>
  </r>
  <r>
    <s v="ORD-1879"/>
    <x v="333"/>
    <d v="2022-10-18T00:00:00"/>
    <s v="Standard Class"/>
    <x v="181"/>
    <x v="180"/>
    <s v="Home Office"/>
    <s v="Miami"/>
    <s v="Florida"/>
    <x v="0"/>
    <x v="1"/>
    <x v="9"/>
    <s v="PROD-7658"/>
    <x v="433"/>
    <n v="8"/>
    <n v="0"/>
    <n v="282.13"/>
    <s v="OK"/>
  </r>
  <r>
    <s v="ORD-1667"/>
    <x v="334"/>
    <d v="2022-10-18T00:00:00"/>
    <s v="First Class"/>
    <x v="182"/>
    <x v="181"/>
    <s v="Home Office"/>
    <s v="Birmingham"/>
    <s v="Alabama"/>
    <x v="0"/>
    <x v="1"/>
    <x v="9"/>
    <s v="PROD-5282"/>
    <x v="434"/>
    <n v="4"/>
    <n v="0.5"/>
    <n v="-2135.2600000000002"/>
    <s v="OK"/>
  </r>
  <r>
    <s v="ORD-1904"/>
    <x v="335"/>
    <d v="2022-10-22T00:00:00"/>
    <s v="Standard Class"/>
    <x v="67"/>
    <x v="67"/>
    <s v="Corporate"/>
    <s v="Virginia Beach"/>
    <s v="Virginia"/>
    <x v="1"/>
    <x v="2"/>
    <x v="16"/>
    <s v="PROD-7275"/>
    <x v="435"/>
    <n v="7"/>
    <n v="0.5"/>
    <n v="-19.71"/>
    <s v="OK"/>
  </r>
  <r>
    <s v="ORD-1059"/>
    <x v="336"/>
    <d v="2022-10-19T00:00:00"/>
    <s v="First Class"/>
    <x v="50"/>
    <x v="50"/>
    <s v="Consumer"/>
    <s v="Montgomery"/>
    <s v="Alabama"/>
    <x v="0"/>
    <x v="2"/>
    <x v="4"/>
    <s v="PROD-3142"/>
    <x v="436"/>
    <n v="10"/>
    <n v="0"/>
    <n v="277.95999999999998"/>
    <s v="OK"/>
  </r>
  <r>
    <s v="ORD-1153"/>
    <x v="337"/>
    <d v="2022-10-27T00:00:00"/>
    <s v="Second Class"/>
    <x v="183"/>
    <x v="182"/>
    <s v="Home Office"/>
    <s v="Columbus"/>
    <s v="Ohio"/>
    <x v="2"/>
    <x v="2"/>
    <x v="12"/>
    <s v="PROD-7434"/>
    <x v="437"/>
    <n v="3"/>
    <n v="0.05"/>
    <n v="122.72"/>
    <s v="OK"/>
  </r>
  <r>
    <s v="ORD-1761"/>
    <x v="337"/>
    <d v="2022-10-29T00:00:00"/>
    <s v="Standard Class"/>
    <x v="104"/>
    <x v="104"/>
    <s v="Corporate"/>
    <s v="Charlotte"/>
    <s v="North Carolina"/>
    <x v="0"/>
    <x v="2"/>
    <x v="4"/>
    <s v="PROD-6901"/>
    <x v="438"/>
    <n v="4"/>
    <n v="0"/>
    <n v="176.12"/>
    <s v="OK"/>
  </r>
  <r>
    <s v="ORD-1373"/>
    <x v="337"/>
    <d v="2022-10-27T00:00:00"/>
    <s v="Standard Class"/>
    <x v="66"/>
    <x v="66"/>
    <s v="Consumer"/>
    <s v="Minneapolis"/>
    <s v="Minnesota"/>
    <x v="2"/>
    <x v="2"/>
    <x v="14"/>
    <s v="PROD-9572"/>
    <x v="439"/>
    <n v="5"/>
    <n v="0.15"/>
    <n v="18.690000000000001"/>
    <s v="OK"/>
  </r>
  <r>
    <s v="ORD-1280"/>
    <x v="338"/>
    <d v="2022-10-30T00:00:00"/>
    <s v="Standard Class"/>
    <x v="119"/>
    <x v="119"/>
    <s v="Consumer"/>
    <s v="Houston"/>
    <s v="Texas"/>
    <x v="0"/>
    <x v="2"/>
    <x v="4"/>
    <s v="PROD-5934"/>
    <x v="440"/>
    <n v="3"/>
    <n v="0"/>
    <n v="264.24"/>
    <s v="OK"/>
  </r>
  <r>
    <s v="ORD-1156"/>
    <x v="339"/>
    <d v="2022-10-27T00:00:00"/>
    <s v="First Class"/>
    <x v="152"/>
    <x v="152"/>
    <s v="Corporate"/>
    <s v="Memphis"/>
    <s v="Tennessee"/>
    <x v="0"/>
    <x v="1"/>
    <x v="8"/>
    <s v="PROD-9967"/>
    <x v="441"/>
    <n v="7"/>
    <n v="0.05"/>
    <n v="457.92"/>
    <s v="OK"/>
  </r>
  <r>
    <s v="ORD-1006"/>
    <x v="340"/>
    <d v="2022-11-01T00:00:00"/>
    <s v="Standard Class"/>
    <x v="149"/>
    <x v="149"/>
    <s v="Home Office"/>
    <s v="Cleveland"/>
    <s v="Ohio"/>
    <x v="2"/>
    <x v="2"/>
    <x v="16"/>
    <s v="PROD-3549"/>
    <x v="442"/>
    <n v="3"/>
    <n v="0.15"/>
    <n v="44.5"/>
    <s v="OK"/>
  </r>
  <r>
    <s v="ORD-1496"/>
    <x v="341"/>
    <d v="2022-10-31T00:00:00"/>
    <s v="Same Day"/>
    <x v="180"/>
    <x v="179"/>
    <s v="Corporate"/>
    <s v="Columbus"/>
    <s v="Ohio"/>
    <x v="2"/>
    <x v="1"/>
    <x v="2"/>
    <s v="PROD-6336"/>
    <x v="443"/>
    <n v="4"/>
    <n v="0.3"/>
    <n v="7.99"/>
    <s v="OK"/>
  </r>
  <r>
    <s v="ORD-1523"/>
    <x v="342"/>
    <d v="2022-11-07T00:00:00"/>
    <s v="Standard Class"/>
    <x v="106"/>
    <x v="106"/>
    <s v="Home Office"/>
    <s v="Chicago"/>
    <s v="Illinois"/>
    <x v="2"/>
    <x v="0"/>
    <x v="3"/>
    <s v="PROD-4197"/>
    <x v="444"/>
    <n v="4"/>
    <n v="0.3"/>
    <n v="-421"/>
    <s v="OK"/>
  </r>
  <r>
    <s v="ORD-1729"/>
    <x v="343"/>
    <d v="2022-11-05T00:00:00"/>
    <s v="First Class"/>
    <x v="166"/>
    <x v="183"/>
    <s v="Corporate"/>
    <s v="Buffalo"/>
    <s v="New York"/>
    <x v="1"/>
    <x v="0"/>
    <x v="0"/>
    <s v="PROD-4105"/>
    <x v="445"/>
    <n v="1"/>
    <n v="0.2"/>
    <n v="34.96"/>
    <s v="OK"/>
  </r>
  <r>
    <s v="ORD-1605"/>
    <x v="344"/>
    <d v="2022-11-13T00:00:00"/>
    <s v="Standard Class"/>
    <x v="54"/>
    <x v="54"/>
    <s v="Home Office"/>
    <s v="Bridgeport"/>
    <s v="Connecticut"/>
    <x v="1"/>
    <x v="1"/>
    <x v="8"/>
    <s v="PROD-8423"/>
    <x v="446"/>
    <n v="5"/>
    <n v="0.5"/>
    <n v="-275.76"/>
    <s v="OK"/>
  </r>
  <r>
    <s v="ORD-1210"/>
    <x v="345"/>
    <d v="2022-11-13T00:00:00"/>
    <s v="Second Class"/>
    <x v="144"/>
    <x v="144"/>
    <s v="Corporate"/>
    <s v="San Francisco"/>
    <s v="California"/>
    <x v="3"/>
    <x v="1"/>
    <x v="1"/>
    <s v="PROD-7705"/>
    <x v="447"/>
    <n v="7"/>
    <n v="0"/>
    <n v="5730.97"/>
    <s v="OK"/>
  </r>
  <r>
    <s v="ORD-1810"/>
    <x v="345"/>
    <d v="2022-11-15T00:00:00"/>
    <s v="Standard Class"/>
    <x v="54"/>
    <x v="54"/>
    <s v="Home Office"/>
    <s v="Bridgeport"/>
    <s v="Connecticut"/>
    <x v="1"/>
    <x v="0"/>
    <x v="7"/>
    <s v="PROD-4260"/>
    <x v="448"/>
    <n v="1"/>
    <n v="0"/>
    <n v="79.42"/>
    <s v="OK"/>
  </r>
  <r>
    <s v="ORD-1222"/>
    <x v="345"/>
    <d v="2022-11-13T00:00:00"/>
    <s v="Second Class"/>
    <x v="128"/>
    <x v="128"/>
    <s v="Corporate"/>
    <s v="Nashville"/>
    <s v="Tennessee"/>
    <x v="0"/>
    <x v="2"/>
    <x v="12"/>
    <s v="PROD-8785"/>
    <x v="449"/>
    <n v="7"/>
    <n v="0"/>
    <n v="259.62"/>
    <s v="OK"/>
  </r>
  <r>
    <s v="ORD-1282"/>
    <x v="345"/>
    <d v="2022-11-13T00:00:00"/>
    <s v="First Class"/>
    <x v="50"/>
    <x v="50"/>
    <s v="Consumer"/>
    <s v="Montgomery"/>
    <s v="Alabama"/>
    <x v="0"/>
    <x v="1"/>
    <x v="8"/>
    <s v="PROD-4579"/>
    <x v="450"/>
    <n v="4"/>
    <n v="0.05"/>
    <n v="122.52"/>
    <s v="OK"/>
  </r>
  <r>
    <s v="ORD-1237"/>
    <x v="345"/>
    <d v="2022-11-13T00:00:00"/>
    <s v="First Class"/>
    <x v="150"/>
    <x v="150"/>
    <s v="Consumer"/>
    <s v="Atlanta"/>
    <s v="Georgia"/>
    <x v="0"/>
    <x v="0"/>
    <x v="0"/>
    <s v="PROD-5817"/>
    <x v="451"/>
    <n v="5"/>
    <n v="0.2"/>
    <n v="41.6"/>
    <s v="OK"/>
  </r>
  <r>
    <s v="ORD-1507"/>
    <x v="346"/>
    <d v="2022-11-19T00:00:00"/>
    <s v="Standard Class"/>
    <x v="103"/>
    <x v="103"/>
    <s v="Home Office"/>
    <s v="Denver"/>
    <s v="Colorado"/>
    <x v="3"/>
    <x v="1"/>
    <x v="2"/>
    <s v="PROD-7977"/>
    <x v="452"/>
    <n v="2"/>
    <n v="0.2"/>
    <n v="47.55"/>
    <s v="OK"/>
  </r>
  <r>
    <s v="ORD-1883"/>
    <x v="347"/>
    <d v="2022-11-24T00:00:00"/>
    <s v="Standard Class"/>
    <x v="184"/>
    <x v="184"/>
    <s v="Home Office"/>
    <s v="Minneapolis"/>
    <s v="Minnesota"/>
    <x v="2"/>
    <x v="2"/>
    <x v="13"/>
    <s v="PROD-8517"/>
    <x v="453"/>
    <n v="9"/>
    <n v="0.2"/>
    <n v="34.1"/>
    <s v="OK"/>
  </r>
  <r>
    <s v="ORD-1933"/>
    <x v="347"/>
    <d v="2022-11-21T00:00:00"/>
    <s v="Same Day"/>
    <x v="108"/>
    <x v="108"/>
    <s v="Home Office"/>
    <s v="New York City"/>
    <s v="New York"/>
    <x v="1"/>
    <x v="1"/>
    <x v="1"/>
    <s v="PROD-6747"/>
    <x v="454"/>
    <n v="2"/>
    <n v="0"/>
    <n v="1740.16"/>
    <s v="OK"/>
  </r>
  <r>
    <s v="ORD-1508"/>
    <x v="347"/>
    <d v="2022-11-26T00:00:00"/>
    <s v="Standard Class"/>
    <x v="156"/>
    <x v="156"/>
    <s v="Corporate"/>
    <s v="Hartford"/>
    <s v="Connecticut"/>
    <x v="1"/>
    <x v="2"/>
    <x v="14"/>
    <s v="PROD-6963"/>
    <x v="455"/>
    <n v="4"/>
    <n v="0"/>
    <n v="79.89"/>
    <s v="OK"/>
  </r>
  <r>
    <s v="ORD-1689"/>
    <x v="347"/>
    <d v="2022-11-22T00:00:00"/>
    <s v="First Class"/>
    <x v="147"/>
    <x v="147"/>
    <s v="Consumer"/>
    <s v="Saint Paul"/>
    <s v="Minnesota"/>
    <x v="2"/>
    <x v="2"/>
    <x v="4"/>
    <s v="PROD-6384"/>
    <x v="456"/>
    <n v="6"/>
    <n v="0.5"/>
    <n v="-179.13"/>
    <s v="OK"/>
  </r>
  <r>
    <s v="ORD-1488"/>
    <x v="347"/>
    <d v="2022-11-24T00:00:00"/>
    <s v="Standard Class"/>
    <x v="75"/>
    <x v="75"/>
    <s v="Consumer"/>
    <s v="Miami"/>
    <s v="Florida"/>
    <x v="0"/>
    <x v="1"/>
    <x v="1"/>
    <s v="PROD-5487"/>
    <x v="457"/>
    <n v="4"/>
    <n v="0"/>
    <n v="1401.12"/>
    <s v="OK"/>
  </r>
  <r>
    <s v="ORD-1346"/>
    <x v="348"/>
    <d v="2022-11-25T00:00:00"/>
    <s v="Same Day"/>
    <x v="90"/>
    <x v="90"/>
    <s v="Corporate"/>
    <s v="Springfield"/>
    <s v="Illinois"/>
    <x v="2"/>
    <x v="2"/>
    <x v="15"/>
    <s v="PROD-7631"/>
    <x v="458"/>
    <n v="3"/>
    <n v="0"/>
    <n v="13.46"/>
    <s v="OK"/>
  </r>
  <r>
    <s v="ORD-1758"/>
    <x v="348"/>
    <d v="2022-11-24T00:00:00"/>
    <s v="Same Day"/>
    <x v="133"/>
    <x v="133"/>
    <s v="Corporate"/>
    <s v="Portland"/>
    <s v="Oregon"/>
    <x v="3"/>
    <x v="0"/>
    <x v="3"/>
    <s v="PROD-7074"/>
    <x v="459"/>
    <n v="5"/>
    <n v="0.3"/>
    <n v="-569.91999999999996"/>
    <s v="OK"/>
  </r>
  <r>
    <s v="ORD-1483"/>
    <x v="349"/>
    <d v="2022-11-29T00:00:00"/>
    <s v="Standard Class"/>
    <x v="56"/>
    <x v="56"/>
    <s v="Home Office"/>
    <s v="Nashville"/>
    <s v="Tennessee"/>
    <x v="0"/>
    <x v="1"/>
    <x v="8"/>
    <s v="PROD-2936"/>
    <x v="460"/>
    <n v="1"/>
    <n v="0"/>
    <n v="314.13"/>
    <s v="OK"/>
  </r>
  <r>
    <s v="ORD-1966"/>
    <x v="350"/>
    <d v="2022-12-04T00:00:00"/>
    <s v="Second Class"/>
    <x v="182"/>
    <x v="181"/>
    <s v="Home Office"/>
    <s v="Birmingham"/>
    <s v="Alabama"/>
    <x v="0"/>
    <x v="0"/>
    <x v="6"/>
    <s v="PROD-9653"/>
    <x v="461"/>
    <n v="10"/>
    <n v="0.4"/>
    <n v="-217.34"/>
    <s v="OK"/>
  </r>
  <r>
    <s v="ORD-1200"/>
    <x v="350"/>
    <d v="2022-12-03T00:00:00"/>
    <s v="Second Class"/>
    <x v="105"/>
    <x v="105"/>
    <s v="Corporate"/>
    <s v="Richmond"/>
    <s v="Virginia"/>
    <x v="1"/>
    <x v="1"/>
    <x v="8"/>
    <s v="PROD-1975"/>
    <x v="462"/>
    <n v="10"/>
    <n v="0.05"/>
    <n v="85.78"/>
    <s v="OK"/>
  </r>
  <r>
    <s v="ORD-1610"/>
    <x v="351"/>
    <d v="2022-12-04T00:00:00"/>
    <s v="Same Day"/>
    <x v="104"/>
    <x v="104"/>
    <s v="Corporate"/>
    <s v="Charlotte"/>
    <s v="North Carolina"/>
    <x v="0"/>
    <x v="1"/>
    <x v="1"/>
    <s v="PROD-4673"/>
    <x v="463"/>
    <n v="7"/>
    <n v="0"/>
    <n v="4316.97"/>
    <s v="OK"/>
  </r>
  <r>
    <s v="ORD-1332"/>
    <x v="352"/>
    <d v="2022-12-09T00:00:00"/>
    <s v="Standard Class"/>
    <x v="83"/>
    <x v="83"/>
    <s v="Home Office"/>
    <s v="Boston"/>
    <s v="Massachusetts"/>
    <x v="1"/>
    <x v="1"/>
    <x v="9"/>
    <s v="PROD-3924"/>
    <x v="464"/>
    <n v="2"/>
    <n v="0.2"/>
    <n v="-33.86"/>
    <s v="OK"/>
  </r>
  <r>
    <s v="ORD-1254"/>
    <x v="353"/>
    <d v="2022-12-06T00:00:00"/>
    <s v="Second Class"/>
    <x v="162"/>
    <x v="162"/>
    <s v="Corporate"/>
    <s v="Montgomery"/>
    <s v="Alabama"/>
    <x v="0"/>
    <x v="2"/>
    <x v="4"/>
    <s v="PROD-7566"/>
    <x v="465"/>
    <n v="5"/>
    <n v="0"/>
    <n v="531.87"/>
    <s v="OK"/>
  </r>
  <r>
    <s v="ORD-1976"/>
    <x v="354"/>
    <d v="2022-12-05T00:00:00"/>
    <s v="Same Day"/>
    <x v="160"/>
    <x v="160"/>
    <s v="Corporate"/>
    <s v="Virginia Beach"/>
    <s v="Virginia"/>
    <x v="1"/>
    <x v="0"/>
    <x v="7"/>
    <s v="PROD-4902"/>
    <x v="466"/>
    <n v="10"/>
    <n v="0.15"/>
    <n v="884.4"/>
    <s v="OK"/>
  </r>
  <r>
    <s v="ORD-1270"/>
    <x v="354"/>
    <d v="2022-12-07T00:00:00"/>
    <s v="First Class"/>
    <x v="63"/>
    <x v="63"/>
    <s v="Corporate"/>
    <s v="Phoenix"/>
    <s v="Arizona"/>
    <x v="3"/>
    <x v="2"/>
    <x v="16"/>
    <s v="PROD-3185"/>
    <x v="467"/>
    <n v="4"/>
    <n v="0.1"/>
    <n v="130.66999999999999"/>
    <s v="OK"/>
  </r>
  <r>
    <s v="ORD-1812"/>
    <x v="355"/>
    <d v="2022-12-13T00:00:00"/>
    <s v="Standard Class"/>
    <x v="87"/>
    <x v="87"/>
    <s v="Corporate"/>
    <s v="Savannah"/>
    <s v="Georgia"/>
    <x v="0"/>
    <x v="1"/>
    <x v="8"/>
    <s v="PROD-4874"/>
    <x v="468"/>
    <n v="2"/>
    <n v="0"/>
    <n v="115.4"/>
    <s v="OK"/>
  </r>
  <r>
    <s v="ORD-1243"/>
    <x v="356"/>
    <d v="2022-12-09T00:00:00"/>
    <s v="First Class"/>
    <x v="168"/>
    <x v="167"/>
    <s v="Consumer"/>
    <s v="Boulder"/>
    <s v="Colorado"/>
    <x v="3"/>
    <x v="2"/>
    <x v="14"/>
    <s v="PROD-2682"/>
    <x v="469"/>
    <n v="1"/>
    <n v="0.05"/>
    <n v="7.91"/>
    <s v="OK"/>
  </r>
  <r>
    <s v="ORD-1465"/>
    <x v="357"/>
    <d v="2022-12-15T00:00:00"/>
    <s v="Standard Class"/>
    <x v="148"/>
    <x v="148"/>
    <s v="Consumer"/>
    <s v="Reno"/>
    <s v="Nevada"/>
    <x v="3"/>
    <x v="2"/>
    <x v="16"/>
    <s v="PROD-5331"/>
    <x v="470"/>
    <n v="8"/>
    <n v="0"/>
    <n v="99.86"/>
    <s v="OK"/>
  </r>
  <r>
    <s v="ORD-1561"/>
    <x v="357"/>
    <d v="2022-12-11T00:00:00"/>
    <s v="First Class"/>
    <x v="78"/>
    <x v="78"/>
    <s v="Home Office"/>
    <s v="Spokane"/>
    <s v="Washington"/>
    <x v="3"/>
    <x v="1"/>
    <x v="2"/>
    <s v="PROD-6755"/>
    <x v="471"/>
    <n v="6"/>
    <n v="0.2"/>
    <n v="246.53"/>
    <s v="OK"/>
  </r>
  <r>
    <s v="ORD-1881"/>
    <x v="358"/>
    <d v="2022-12-17T00:00:00"/>
    <s v="Second Class"/>
    <x v="39"/>
    <x v="39"/>
    <s v="Corporate"/>
    <s v="Philadelphia"/>
    <s v="Pennsylvania"/>
    <x v="1"/>
    <x v="0"/>
    <x v="3"/>
    <s v="PROD-1235"/>
    <x v="472"/>
    <n v="3"/>
    <n v="0.5"/>
    <n v="-749.97"/>
    <s v="OK"/>
  </r>
  <r>
    <s v="ORD-1985"/>
    <x v="358"/>
    <d v="2022-12-21T00:00:00"/>
    <s v="Standard Class"/>
    <x v="154"/>
    <x v="154"/>
    <s v="Home Office"/>
    <s v="Saint Paul"/>
    <s v="Minnesota"/>
    <x v="2"/>
    <x v="2"/>
    <x v="14"/>
    <s v="PROD-6508"/>
    <x v="473"/>
    <n v="5"/>
    <n v="0"/>
    <n v="16.149999999999999"/>
    <s v="OK"/>
  </r>
  <r>
    <s v="ORD-1844"/>
    <x v="359"/>
    <d v="2022-12-21T00:00:00"/>
    <s v="Standard Class"/>
    <x v="112"/>
    <x v="112"/>
    <s v="Corporate"/>
    <s v="Boulder"/>
    <s v="Colorado"/>
    <x v="3"/>
    <x v="0"/>
    <x v="3"/>
    <s v="PROD-9179"/>
    <x v="474"/>
    <n v="5"/>
    <n v="0.5"/>
    <n v="-496.3"/>
    <s v="OK"/>
  </r>
  <r>
    <s v="ORD-1014"/>
    <x v="360"/>
    <d v="2022-12-21T00:00:00"/>
    <s v="First Class"/>
    <x v="166"/>
    <x v="183"/>
    <s v="Corporate"/>
    <s v="Buffalo"/>
    <s v="New York"/>
    <x v="1"/>
    <x v="2"/>
    <x v="12"/>
    <s v="PROD-3419"/>
    <x v="475"/>
    <n v="2"/>
    <n v="0.4"/>
    <n v="-0.56999999999999995"/>
    <s v="OK"/>
  </r>
  <r>
    <s v="ORD-1941"/>
    <x v="361"/>
    <d v="2022-12-23T00:00:00"/>
    <s v="First Class"/>
    <x v="106"/>
    <x v="106"/>
    <s v="Home Office"/>
    <s v="Chicago"/>
    <s v="Illinois"/>
    <x v="2"/>
    <x v="0"/>
    <x v="3"/>
    <s v="PROD-3540"/>
    <x v="476"/>
    <n v="1"/>
    <n v="0"/>
    <n v="53.36"/>
    <s v="OK"/>
  </r>
  <r>
    <s v="ORD-1887"/>
    <x v="362"/>
    <d v="2022-12-22T00:00:00"/>
    <s v="Same Day"/>
    <x v="2"/>
    <x v="2"/>
    <s v="Consumer"/>
    <s v="Cleveland"/>
    <s v="Ohio"/>
    <x v="2"/>
    <x v="2"/>
    <x v="14"/>
    <s v="PROD-7484"/>
    <x v="477"/>
    <n v="4"/>
    <n v="0.3"/>
    <n v="-14.07"/>
    <s v="OK"/>
  </r>
  <r>
    <s v="ORD-1002"/>
    <x v="363"/>
    <d v="2022-12-29T00:00:00"/>
    <s v="Standard Class"/>
    <x v="184"/>
    <x v="184"/>
    <s v="Home Office"/>
    <s v="Minneapolis"/>
    <s v="Minnesota"/>
    <x v="2"/>
    <x v="2"/>
    <x v="16"/>
    <s v="PROD-9313"/>
    <x v="478"/>
    <n v="1"/>
    <n v="0.1"/>
    <n v="26.92"/>
    <s v="OK"/>
  </r>
  <r>
    <s v="ORD-1919"/>
    <x v="364"/>
    <d v="2022-12-29T00:00:00"/>
    <s v="Second Class"/>
    <x v="115"/>
    <x v="115"/>
    <s v="Corporate"/>
    <s v="Boston"/>
    <s v="Massachusetts"/>
    <x v="1"/>
    <x v="2"/>
    <x v="4"/>
    <s v="PROD-4373"/>
    <x v="479"/>
    <n v="5"/>
    <n v="0.1"/>
    <n v="85.78"/>
    <s v="OK"/>
  </r>
  <r>
    <s v="ORD-1809"/>
    <x v="365"/>
    <d v="2022-12-27T00:00:00"/>
    <s v="Same Day"/>
    <x v="81"/>
    <x v="81"/>
    <s v="Corporate"/>
    <s v="Hartford"/>
    <s v="Connecticut"/>
    <x v="1"/>
    <x v="1"/>
    <x v="9"/>
    <s v="PROD-6885"/>
    <x v="480"/>
    <n v="8"/>
    <n v="0.3"/>
    <n v="-128.91"/>
    <s v="OK"/>
  </r>
  <r>
    <s v="ORD-1073"/>
    <x v="366"/>
    <d v="2022-12-31T00:00:00"/>
    <s v="First Class"/>
    <x v="26"/>
    <x v="26"/>
    <s v="Consumer"/>
    <s v="Portland"/>
    <s v="Oregon"/>
    <x v="3"/>
    <x v="2"/>
    <x v="13"/>
    <s v="PROD-8932"/>
    <x v="481"/>
    <n v="8"/>
    <n v="0.4"/>
    <n v="23.08"/>
    <s v="OK"/>
  </r>
  <r>
    <s v="ORD-1957"/>
    <x v="367"/>
    <d v="2023-01-01T00:00:00"/>
    <s v="Second Class"/>
    <x v="83"/>
    <x v="83"/>
    <s v="Home Office"/>
    <s v="Boston"/>
    <s v="Massachusetts"/>
    <x v="1"/>
    <x v="1"/>
    <x v="9"/>
    <s v="PROD-8509"/>
    <x v="482"/>
    <n v="10"/>
    <n v="0.3"/>
    <n v="-57.14"/>
    <s v="OK"/>
  </r>
  <r>
    <s v="ORD-1710"/>
    <x v="367"/>
    <d v="2022-12-30T00:00:00"/>
    <s v="First Class"/>
    <x v="25"/>
    <x v="25"/>
    <s v="Home Office"/>
    <s v="Hartford"/>
    <s v="Connecticut"/>
    <x v="1"/>
    <x v="0"/>
    <x v="6"/>
    <s v="PROD-7867"/>
    <x v="483"/>
    <n v="1"/>
    <n v="0.3"/>
    <n v="-5.61"/>
    <s v="OK"/>
  </r>
  <r>
    <s v="ORD-1730"/>
    <x v="368"/>
    <d v="2023-01-03T00:00:00"/>
    <s v="First Class"/>
    <x v="37"/>
    <x v="37"/>
    <s v="Home Office"/>
    <s v="Fort Wayne"/>
    <s v="Indiana"/>
    <x v="2"/>
    <x v="0"/>
    <x v="3"/>
    <s v="PROD-1245"/>
    <x v="484"/>
    <n v="2"/>
    <n v="0.05"/>
    <n v="163.07"/>
    <s v="OK"/>
  </r>
  <r>
    <s v="ORD-1894"/>
    <x v="369"/>
    <d v="2023-01-07T00:00:00"/>
    <s v="Second Class"/>
    <x v="90"/>
    <x v="90"/>
    <s v="Corporate"/>
    <s v="Springfield"/>
    <s v="Illinois"/>
    <x v="2"/>
    <x v="1"/>
    <x v="8"/>
    <s v="PROD-4633"/>
    <x v="485"/>
    <n v="3"/>
    <n v="0.3"/>
    <n v="8.68"/>
    <s v="OK"/>
  </r>
  <r>
    <s v="ORD-1106"/>
    <x v="370"/>
    <d v="2023-01-09T00:00:00"/>
    <s v="First Class"/>
    <x v="96"/>
    <x v="96"/>
    <s v="Home Office"/>
    <s v="Seattle"/>
    <s v="Washington"/>
    <x v="3"/>
    <x v="0"/>
    <x v="6"/>
    <s v="PROD-6892"/>
    <x v="486"/>
    <n v="7"/>
    <n v="0.3"/>
    <n v="16.09"/>
    <s v="OK"/>
  </r>
  <r>
    <s v="ORD-1479"/>
    <x v="370"/>
    <d v="2023-01-10T00:00:00"/>
    <s v="First Class"/>
    <x v="136"/>
    <x v="136"/>
    <s v="Consumer"/>
    <s v="Virginia Beach"/>
    <s v="Virginia"/>
    <x v="1"/>
    <x v="0"/>
    <x v="0"/>
    <s v="PROD-5961"/>
    <x v="487"/>
    <n v="8"/>
    <n v="0"/>
    <n v="111.62"/>
    <s v="OK"/>
  </r>
  <r>
    <s v="ORD-1452"/>
    <x v="370"/>
    <d v="2023-01-12T00:00:00"/>
    <s v="Standard Class"/>
    <x v="183"/>
    <x v="182"/>
    <s v="Home Office"/>
    <s v="Columbus"/>
    <s v="Ohio"/>
    <x v="2"/>
    <x v="2"/>
    <x v="14"/>
    <s v="PROD-1510"/>
    <x v="488"/>
    <n v="1"/>
    <n v="0.4"/>
    <n v="-17.600000000000001"/>
    <s v="OK"/>
  </r>
  <r>
    <s v="ORD-1481"/>
    <x v="370"/>
    <d v="2023-01-07T00:00:00"/>
    <s v="Same Day"/>
    <x v="159"/>
    <x v="159"/>
    <s v="Corporate"/>
    <s v="Boulder"/>
    <s v="Colorado"/>
    <x v="3"/>
    <x v="1"/>
    <x v="1"/>
    <s v="PROD-8175"/>
    <x v="489"/>
    <n v="7"/>
    <n v="0"/>
    <n v="2254.5300000000002"/>
    <s v="OK"/>
  </r>
  <r>
    <s v="ORD-1742"/>
    <x v="371"/>
    <d v="2023-01-09T00:00:00"/>
    <s v="Same Day"/>
    <x v="25"/>
    <x v="25"/>
    <s v="Home Office"/>
    <s v="Hartford"/>
    <s v="Connecticut"/>
    <x v="1"/>
    <x v="2"/>
    <x v="11"/>
    <s v="PROD-3748"/>
    <x v="490"/>
    <n v="8"/>
    <n v="0"/>
    <n v="32.89"/>
    <s v="OK"/>
  </r>
  <r>
    <s v="ORD-1539"/>
    <x v="372"/>
    <d v="2023-01-17T00:00:00"/>
    <s v="Second Class"/>
    <x v="30"/>
    <x v="30"/>
    <s v="Home Office"/>
    <s v="Indianapolis"/>
    <s v="Indiana"/>
    <x v="2"/>
    <x v="0"/>
    <x v="0"/>
    <s v="PROD-9570"/>
    <x v="491"/>
    <n v="8"/>
    <n v="0.15"/>
    <n v="714.74"/>
    <s v="OK"/>
  </r>
  <r>
    <s v="ORD-1672"/>
    <x v="373"/>
    <d v="2023-01-20T00:00:00"/>
    <s v="Standard Class"/>
    <x v="185"/>
    <x v="185"/>
    <s v="Corporate"/>
    <s v="Tucson"/>
    <s v="Arizona"/>
    <x v="3"/>
    <x v="0"/>
    <x v="6"/>
    <s v="PROD-9074"/>
    <x v="492"/>
    <n v="4"/>
    <n v="0.05"/>
    <n v="126.42"/>
    <s v="OK"/>
  </r>
  <r>
    <s v="ORD-1852"/>
    <x v="374"/>
    <d v="2023-01-22T00:00:00"/>
    <s v="Second Class"/>
    <x v="60"/>
    <x v="60"/>
    <s v="Home Office"/>
    <s v="Fort Wayne"/>
    <s v="Indiana"/>
    <x v="2"/>
    <x v="0"/>
    <x v="7"/>
    <s v="PROD-5014"/>
    <x v="493"/>
    <n v="10"/>
    <n v="0"/>
    <n v="1799.83"/>
    <s v="OK"/>
  </r>
  <r>
    <s v="ORD-1064"/>
    <x v="375"/>
    <d v="2023-01-26T00:00:00"/>
    <s v="Standard Class"/>
    <x v="83"/>
    <x v="83"/>
    <s v="Home Office"/>
    <s v="Boston"/>
    <s v="Massachusetts"/>
    <x v="1"/>
    <x v="0"/>
    <x v="3"/>
    <s v="PROD-1838"/>
    <x v="494"/>
    <n v="5"/>
    <n v="0.15"/>
    <n v="-95.51"/>
    <s v="OK"/>
  </r>
  <r>
    <s v="ORD-1003"/>
    <x v="376"/>
    <d v="2023-01-29T00:00:00"/>
    <s v="Standard Class"/>
    <x v="101"/>
    <x v="101"/>
    <s v="Corporate"/>
    <s v="Hartford"/>
    <s v="Connecticut"/>
    <x v="1"/>
    <x v="0"/>
    <x v="3"/>
    <s v="PROD-4705"/>
    <x v="495"/>
    <n v="2"/>
    <n v="0.15"/>
    <n v="-58.82"/>
    <s v="OK"/>
  </r>
  <r>
    <s v="ORD-1687"/>
    <x v="377"/>
    <d v="2023-02-02T00:00:00"/>
    <s v="Standard Class"/>
    <x v="174"/>
    <x v="173"/>
    <s v="Consumer"/>
    <s v="Seattle"/>
    <s v="Washington"/>
    <x v="3"/>
    <x v="1"/>
    <x v="1"/>
    <s v="PROD-3369"/>
    <x v="496"/>
    <n v="5"/>
    <n v="0.5"/>
    <n v="-950.51"/>
    <s v="OK"/>
  </r>
  <r>
    <s v="ORD-1107"/>
    <x v="378"/>
    <d v="2023-02-02T00:00:00"/>
    <s v="First Class"/>
    <x v="64"/>
    <x v="64"/>
    <s v="Corporate"/>
    <s v="Montgomery"/>
    <s v="Alabama"/>
    <x v="0"/>
    <x v="2"/>
    <x v="4"/>
    <s v="PROD-1749"/>
    <x v="497"/>
    <n v="8"/>
    <n v="0.15"/>
    <n v="46.1"/>
    <s v="OK"/>
  </r>
  <r>
    <s v="ORD-1335"/>
    <x v="379"/>
    <d v="2023-02-03T00:00:00"/>
    <s v="First Class"/>
    <x v="45"/>
    <x v="45"/>
    <s v="Consumer"/>
    <s v="Las Vegas"/>
    <s v="Nevada"/>
    <x v="3"/>
    <x v="0"/>
    <x v="3"/>
    <s v="PROD-5501"/>
    <x v="498"/>
    <n v="9"/>
    <n v="0"/>
    <n v="235.75"/>
    <s v="OK"/>
  </r>
  <r>
    <s v="ORD-1649"/>
    <x v="379"/>
    <d v="2023-02-03T00:00:00"/>
    <s v="First Class"/>
    <x v="31"/>
    <x v="31"/>
    <s v="Corporate"/>
    <s v="Madison"/>
    <s v="Wisconsin"/>
    <x v="2"/>
    <x v="0"/>
    <x v="6"/>
    <s v="PROD-5968"/>
    <x v="499"/>
    <n v="1"/>
    <n v="0.4"/>
    <n v="-2.91"/>
    <s v="OK"/>
  </r>
  <r>
    <s v="ORD-1511"/>
    <x v="380"/>
    <d v="2023-02-06T00:00:00"/>
    <s v="First Class"/>
    <x v="181"/>
    <x v="180"/>
    <s v="Home Office"/>
    <s v="Miami"/>
    <s v="Florida"/>
    <x v="0"/>
    <x v="2"/>
    <x v="15"/>
    <s v="PROD-8966"/>
    <x v="500"/>
    <n v="7"/>
    <n v="0.1"/>
    <n v="33.39"/>
    <s v="OK"/>
  </r>
  <r>
    <s v="ORD-1746"/>
    <x v="381"/>
    <d v="2023-02-06T00:00:00"/>
    <s v="Same Day"/>
    <x v="136"/>
    <x v="136"/>
    <s v="Consumer"/>
    <s v="Virginia Beach"/>
    <s v="Virginia"/>
    <x v="1"/>
    <x v="1"/>
    <x v="9"/>
    <s v="PROD-6043"/>
    <x v="501"/>
    <n v="7"/>
    <n v="0.2"/>
    <n v="-558.15"/>
    <s v="OK"/>
  </r>
  <r>
    <s v="ORD-1201"/>
    <x v="382"/>
    <d v="2023-02-08T00:00:00"/>
    <s v="Same Day"/>
    <x v="105"/>
    <x v="105"/>
    <s v="Corporate"/>
    <s v="Richmond"/>
    <s v="Virginia"/>
    <x v="1"/>
    <x v="0"/>
    <x v="0"/>
    <s v="PROD-2655"/>
    <x v="502"/>
    <n v="9"/>
    <n v="0.15"/>
    <n v="241.18"/>
    <s v="OK"/>
  </r>
  <r>
    <s v="ORD-1031"/>
    <x v="382"/>
    <d v="2023-02-09T00:00:00"/>
    <s v="Second Class"/>
    <x v="166"/>
    <x v="183"/>
    <s v="Corporate"/>
    <s v="Buffalo"/>
    <s v="New York"/>
    <x v="1"/>
    <x v="2"/>
    <x v="13"/>
    <s v="PROD-2337"/>
    <x v="503"/>
    <n v="7"/>
    <n v="0"/>
    <n v="122.02"/>
    <s v="OK"/>
  </r>
  <r>
    <s v="ORD-1696"/>
    <x v="383"/>
    <d v="2023-02-10T00:00:00"/>
    <s v="First Class"/>
    <x v="45"/>
    <x v="45"/>
    <s v="Consumer"/>
    <s v="Las Vegas"/>
    <s v="Nevada"/>
    <x v="3"/>
    <x v="0"/>
    <x v="0"/>
    <s v="PROD-8037"/>
    <x v="504"/>
    <n v="4"/>
    <n v="0.4"/>
    <n v="-195.87"/>
    <s v="OK"/>
  </r>
  <r>
    <s v="ORD-1808"/>
    <x v="383"/>
    <d v="2023-02-09T00:00:00"/>
    <s v="First Class"/>
    <x v="180"/>
    <x v="179"/>
    <s v="Corporate"/>
    <s v="Columbus"/>
    <s v="Ohio"/>
    <x v="2"/>
    <x v="0"/>
    <x v="0"/>
    <s v="PROD-8017"/>
    <x v="505"/>
    <n v="5"/>
    <n v="0.05"/>
    <n v="555.27"/>
    <s v="OK"/>
  </r>
  <r>
    <s v="ORD-1207"/>
    <x v="384"/>
    <d v="2023-02-14T00:00:00"/>
    <s v="Standard Class"/>
    <x v="171"/>
    <x v="170"/>
    <s v="Consumer"/>
    <s v="Buffalo"/>
    <s v="New York"/>
    <x v="1"/>
    <x v="2"/>
    <x v="12"/>
    <s v="PROD-4695"/>
    <x v="506"/>
    <n v="8"/>
    <n v="0.2"/>
    <n v="216.7"/>
    <s v="OK"/>
  </r>
  <r>
    <s v="ORD-1497"/>
    <x v="385"/>
    <d v="2023-02-12T00:00:00"/>
    <s v="Second Class"/>
    <x v="108"/>
    <x v="108"/>
    <s v="Home Office"/>
    <s v="New York City"/>
    <s v="New York"/>
    <x v="1"/>
    <x v="0"/>
    <x v="6"/>
    <s v="PROD-8716"/>
    <x v="507"/>
    <n v="4"/>
    <n v="0.2"/>
    <n v="12.97"/>
    <s v="OK"/>
  </r>
  <r>
    <s v="ORD-1670"/>
    <x v="386"/>
    <d v="2023-02-13T00:00:00"/>
    <s v="First Class"/>
    <x v="90"/>
    <x v="90"/>
    <s v="Corporate"/>
    <s v="Springfield"/>
    <s v="Illinois"/>
    <x v="2"/>
    <x v="1"/>
    <x v="2"/>
    <s v="PROD-3903"/>
    <x v="508"/>
    <n v="8"/>
    <n v="0"/>
    <n v="380.63"/>
    <s v="OK"/>
  </r>
  <r>
    <s v="ORD-1794"/>
    <x v="387"/>
    <d v="2023-02-16T00:00:00"/>
    <s v="Second Class"/>
    <x v="129"/>
    <x v="129"/>
    <s v="Home Office"/>
    <s v="Raleigh"/>
    <s v="North Carolina"/>
    <x v="0"/>
    <x v="2"/>
    <x v="12"/>
    <s v="PROD-2720"/>
    <x v="509"/>
    <n v="4"/>
    <n v="0.1"/>
    <n v="187.22"/>
    <s v="OK"/>
  </r>
  <r>
    <s v="ORD-1681"/>
    <x v="387"/>
    <d v="2023-02-16T00:00:00"/>
    <s v="First Class"/>
    <x v="80"/>
    <x v="80"/>
    <s v="Corporate"/>
    <s v="Birmingham"/>
    <s v="Alabama"/>
    <x v="0"/>
    <x v="0"/>
    <x v="3"/>
    <s v="PROD-2065"/>
    <x v="510"/>
    <n v="2"/>
    <n v="0"/>
    <n v="37.53"/>
    <s v="OK"/>
  </r>
  <r>
    <s v="ORD-1936"/>
    <x v="388"/>
    <d v="2023-02-19T00:00:00"/>
    <s v="Standard Class"/>
    <x v="132"/>
    <x v="151"/>
    <s v="Home Office"/>
    <s v="Worcester"/>
    <s v="Massachusetts"/>
    <x v="1"/>
    <x v="0"/>
    <x v="3"/>
    <s v="PROD-9927"/>
    <x v="511"/>
    <n v="2"/>
    <n v="0.05"/>
    <n v="-13.41"/>
    <s v="OK"/>
  </r>
  <r>
    <s v="ORD-1756"/>
    <x v="388"/>
    <d v="2023-02-19T00:00:00"/>
    <s v="Standard Class"/>
    <x v="23"/>
    <x v="23"/>
    <s v="Home Office"/>
    <s v="Savannah"/>
    <s v="Georgia"/>
    <x v="0"/>
    <x v="1"/>
    <x v="2"/>
    <s v="PROD-2052"/>
    <x v="512"/>
    <n v="3"/>
    <n v="0"/>
    <n v="227.36"/>
    <s v="OK"/>
  </r>
  <r>
    <s v="ORD-1128"/>
    <x v="389"/>
    <d v="2023-02-21T00:00:00"/>
    <s v="First Class"/>
    <x v="186"/>
    <x v="186"/>
    <s v="Corporate"/>
    <s v="Montgomery"/>
    <s v="Alabama"/>
    <x v="0"/>
    <x v="0"/>
    <x v="0"/>
    <s v="PROD-6484"/>
    <x v="513"/>
    <n v="7"/>
    <n v="0.15"/>
    <n v="114.74"/>
    <s v="OK"/>
  </r>
  <r>
    <s v="ORD-1122"/>
    <x v="389"/>
    <d v="2023-02-23T00:00:00"/>
    <s v="Second Class"/>
    <x v="177"/>
    <x v="176"/>
    <s v="Home Office"/>
    <s v="Bridgeport"/>
    <s v="Connecticut"/>
    <x v="1"/>
    <x v="1"/>
    <x v="9"/>
    <s v="PROD-7383"/>
    <x v="514"/>
    <n v="2"/>
    <n v="0"/>
    <n v="771.32"/>
    <s v="OK"/>
  </r>
  <r>
    <s v="ORD-1093"/>
    <x v="390"/>
    <d v="2023-02-25T00:00:00"/>
    <s v="Same Day"/>
    <x v="71"/>
    <x v="71"/>
    <s v="Consumer"/>
    <s v="Charlotte"/>
    <s v="North Carolina"/>
    <x v="0"/>
    <x v="0"/>
    <x v="0"/>
    <s v="PROD-7154"/>
    <x v="515"/>
    <n v="7"/>
    <n v="0.15"/>
    <n v="168.69"/>
    <s v="OK"/>
  </r>
  <r>
    <s v="ORD-1821"/>
    <x v="391"/>
    <d v="2023-03-03T00:00:00"/>
    <s v="Standard Class"/>
    <x v="187"/>
    <x v="187"/>
    <s v="Consumer"/>
    <s v="Newark"/>
    <s v="New Jersey"/>
    <x v="1"/>
    <x v="2"/>
    <x v="14"/>
    <s v="PROD-3137"/>
    <x v="516"/>
    <n v="4"/>
    <n v="0.1"/>
    <n v="73.459999999999994"/>
    <s v="OK"/>
  </r>
  <r>
    <s v="ORD-1146"/>
    <x v="391"/>
    <d v="2023-02-28T00:00:00"/>
    <s v="Same Day"/>
    <x v="70"/>
    <x v="70"/>
    <s v="Consumer"/>
    <s v="Buffalo"/>
    <s v="New York"/>
    <x v="1"/>
    <x v="1"/>
    <x v="2"/>
    <s v="PROD-9056"/>
    <x v="517"/>
    <n v="1"/>
    <n v="0.3"/>
    <n v="27.59"/>
    <s v="OK"/>
  </r>
  <r>
    <s v="ORD-1548"/>
    <x v="392"/>
    <d v="2023-03-03T00:00:00"/>
    <s v="First Class"/>
    <x v="103"/>
    <x v="103"/>
    <s v="Home Office"/>
    <s v="Denver"/>
    <s v="Colorado"/>
    <x v="3"/>
    <x v="2"/>
    <x v="14"/>
    <s v="PROD-6111"/>
    <x v="518"/>
    <n v="2"/>
    <n v="0.15"/>
    <n v="26.6"/>
    <s v="OK"/>
  </r>
  <r>
    <s v="ORD-1228"/>
    <x v="393"/>
    <d v="2023-03-08T00:00:00"/>
    <s v="Standard Class"/>
    <x v="131"/>
    <x v="131"/>
    <s v="Consumer"/>
    <s v="Raleigh"/>
    <s v="North Carolina"/>
    <x v="0"/>
    <x v="1"/>
    <x v="9"/>
    <s v="PROD-4511"/>
    <x v="519"/>
    <n v="5"/>
    <n v="0"/>
    <n v="922.16"/>
    <s v="OK"/>
  </r>
  <r>
    <s v="ORD-1712"/>
    <x v="393"/>
    <d v="2023-03-07T00:00:00"/>
    <s v="Second Class"/>
    <x v="162"/>
    <x v="162"/>
    <s v="Corporate"/>
    <s v="Montgomery"/>
    <s v="Alabama"/>
    <x v="0"/>
    <x v="1"/>
    <x v="8"/>
    <s v="PROD-2779"/>
    <x v="520"/>
    <n v="4"/>
    <n v="0.2"/>
    <n v="784.13"/>
    <s v="OK"/>
  </r>
  <r>
    <s v="ORD-1276"/>
    <x v="394"/>
    <d v="2023-03-08T00:00:00"/>
    <s v="Same Day"/>
    <x v="39"/>
    <x v="39"/>
    <s v="Corporate"/>
    <s v="Philadelphia"/>
    <s v="Pennsylvania"/>
    <x v="1"/>
    <x v="1"/>
    <x v="8"/>
    <s v="PROD-6122"/>
    <x v="521"/>
    <n v="5"/>
    <n v="0"/>
    <n v="331.95"/>
    <s v="OK"/>
  </r>
  <r>
    <s v="ORD-1197"/>
    <x v="395"/>
    <d v="2023-03-09T00:00:00"/>
    <s v="First Class"/>
    <x v="165"/>
    <x v="165"/>
    <s v="Consumer"/>
    <s v="Reno"/>
    <s v="Nevada"/>
    <x v="3"/>
    <x v="1"/>
    <x v="2"/>
    <s v="PROD-3885"/>
    <x v="522"/>
    <n v="4"/>
    <n v="0.5"/>
    <n v="-96.48"/>
    <s v="OK"/>
  </r>
  <r>
    <s v="ORD-1482"/>
    <x v="396"/>
    <d v="2023-03-15T00:00:00"/>
    <s v="Standard Class"/>
    <x v="40"/>
    <x v="40"/>
    <s v="Home Office"/>
    <s v="Boston"/>
    <s v="Massachusetts"/>
    <x v="1"/>
    <x v="0"/>
    <x v="0"/>
    <s v="PROD-6041"/>
    <x v="523"/>
    <n v="1"/>
    <n v="0.5"/>
    <n v="-12.41"/>
    <s v="OK"/>
  </r>
  <r>
    <s v="ORD-1350"/>
    <x v="397"/>
    <d v="2023-03-12T00:00:00"/>
    <s v="First Class"/>
    <x v="26"/>
    <x v="26"/>
    <s v="Consumer"/>
    <s v="Portland"/>
    <s v="Oregon"/>
    <x v="3"/>
    <x v="0"/>
    <x v="7"/>
    <s v="PROD-5053"/>
    <x v="524"/>
    <n v="3"/>
    <n v="0"/>
    <n v="262.43"/>
    <s v="OK"/>
  </r>
  <r>
    <s v="ORD-1577"/>
    <x v="397"/>
    <d v="2023-03-14T00:00:00"/>
    <s v="Second Class"/>
    <x v="11"/>
    <x v="11"/>
    <s v="Corporate"/>
    <s v="Detroit"/>
    <s v="Michigan"/>
    <x v="2"/>
    <x v="1"/>
    <x v="2"/>
    <s v="PROD-4571"/>
    <x v="525"/>
    <n v="6"/>
    <n v="0.15"/>
    <n v="185.3"/>
    <s v="OK"/>
  </r>
  <r>
    <s v="ORD-1142"/>
    <x v="398"/>
    <d v="2023-03-21T00:00:00"/>
    <s v="Standard Class"/>
    <x v="48"/>
    <x v="48"/>
    <s v="Home Office"/>
    <s v="Boston"/>
    <s v="Massachusetts"/>
    <x v="1"/>
    <x v="2"/>
    <x v="14"/>
    <s v="PROD-6766"/>
    <x v="526"/>
    <n v="6"/>
    <n v="0.5"/>
    <n v="-126.89"/>
    <s v="OK"/>
  </r>
  <r>
    <s v="ORD-1614"/>
    <x v="399"/>
    <d v="2023-03-21T00:00:00"/>
    <s v="Standard Class"/>
    <x v="93"/>
    <x v="93"/>
    <s v="Consumer"/>
    <s v="Austin"/>
    <s v="Texas"/>
    <x v="0"/>
    <x v="0"/>
    <x v="7"/>
    <s v="PROD-7819"/>
    <x v="527"/>
    <n v="8"/>
    <n v="0"/>
    <n v="394.33"/>
    <s v="OK"/>
  </r>
  <r>
    <s v="ORD-1211"/>
    <x v="399"/>
    <d v="2023-03-17T00:00:00"/>
    <s v="Same Day"/>
    <x v="153"/>
    <x v="153"/>
    <s v="Consumer"/>
    <s v="Springfield"/>
    <s v="Illinois"/>
    <x v="2"/>
    <x v="1"/>
    <x v="9"/>
    <s v="PROD-1893"/>
    <x v="528"/>
    <n v="5"/>
    <n v="0.05"/>
    <n v="1472.64"/>
    <s v="OK"/>
  </r>
  <r>
    <s v="ORD-1130"/>
    <x v="399"/>
    <d v="2023-03-18T00:00:00"/>
    <s v="First Class"/>
    <x v="40"/>
    <x v="40"/>
    <s v="Home Office"/>
    <s v="Boston"/>
    <s v="Massachusetts"/>
    <x v="1"/>
    <x v="1"/>
    <x v="8"/>
    <s v="PROD-4273"/>
    <x v="529"/>
    <n v="4"/>
    <n v="0.15"/>
    <n v="774.65"/>
    <s v="OK"/>
  </r>
  <r>
    <s v="ORD-1184"/>
    <x v="399"/>
    <d v="2023-03-19T00:00:00"/>
    <s v="First Class"/>
    <x v="170"/>
    <x v="169"/>
    <s v="Corporate"/>
    <s v="Atlanta"/>
    <s v="Georgia"/>
    <x v="0"/>
    <x v="1"/>
    <x v="1"/>
    <s v="PROD-8417"/>
    <x v="530"/>
    <n v="5"/>
    <n v="0.15"/>
    <n v="187.18"/>
    <s v="OK"/>
  </r>
  <r>
    <s v="ORD-1890"/>
    <x v="400"/>
    <d v="2023-03-24T00:00:00"/>
    <s v="Standard Class"/>
    <x v="169"/>
    <x v="168"/>
    <s v="Home Office"/>
    <s v="Salem"/>
    <s v="Oregon"/>
    <x v="3"/>
    <x v="2"/>
    <x v="11"/>
    <s v="PROD-8030"/>
    <x v="531"/>
    <n v="7"/>
    <n v="0.05"/>
    <n v="53.02"/>
    <s v="OK"/>
  </r>
  <r>
    <s v="ORD-1183"/>
    <x v="401"/>
    <d v="2023-03-26T00:00:00"/>
    <s v="Standard Class"/>
    <x v="186"/>
    <x v="186"/>
    <s v="Corporate"/>
    <s v="Montgomery"/>
    <s v="Alabama"/>
    <x v="0"/>
    <x v="1"/>
    <x v="2"/>
    <s v="PROD-2020"/>
    <x v="532"/>
    <n v="9"/>
    <n v="0"/>
    <n v="409.48"/>
    <s v="OK"/>
  </r>
  <r>
    <s v="ORD-1770"/>
    <x v="402"/>
    <d v="2023-03-28T00:00:00"/>
    <s v="Standard Class"/>
    <x v="122"/>
    <x v="122"/>
    <s v="Consumer"/>
    <s v="Charlotte"/>
    <s v="North Carolina"/>
    <x v="0"/>
    <x v="2"/>
    <x v="12"/>
    <s v="PROD-8546"/>
    <x v="533"/>
    <n v="10"/>
    <n v="0.5"/>
    <n v="-59.62"/>
    <s v="OK"/>
  </r>
  <r>
    <s v="ORD-1013"/>
    <x v="403"/>
    <d v="2023-03-26T00:00:00"/>
    <s v="First Class"/>
    <x v="89"/>
    <x v="89"/>
    <s v="Home Office"/>
    <s v="Bridgeport"/>
    <s v="Connecticut"/>
    <x v="1"/>
    <x v="2"/>
    <x v="10"/>
    <s v="PROD-6562"/>
    <x v="534"/>
    <n v="10"/>
    <n v="0.2"/>
    <n v="41.53"/>
    <s v="OK"/>
  </r>
  <r>
    <s v="ORD-1231"/>
    <x v="404"/>
    <d v="2023-03-30T00:00:00"/>
    <s v="Standard Class"/>
    <x v="78"/>
    <x v="78"/>
    <s v="Home Office"/>
    <s v="Spokane"/>
    <s v="Washington"/>
    <x v="3"/>
    <x v="2"/>
    <x v="15"/>
    <s v="PROD-9380"/>
    <x v="535"/>
    <n v="5"/>
    <n v="0.4"/>
    <n v="0.72"/>
    <s v="OK"/>
  </r>
  <r>
    <s v="ORD-1219"/>
    <x v="404"/>
    <d v="2023-03-28T00:00:00"/>
    <s v="First Class"/>
    <x v="55"/>
    <x v="55"/>
    <s v="Home Office"/>
    <s v="Springfield"/>
    <s v="Illinois"/>
    <x v="2"/>
    <x v="2"/>
    <x v="13"/>
    <s v="PROD-9514"/>
    <x v="536"/>
    <n v="2"/>
    <n v="0"/>
    <n v="34.26"/>
    <s v="OK"/>
  </r>
  <r>
    <s v="ORD-1189"/>
    <x v="405"/>
    <d v="2023-04-05T00:00:00"/>
    <s v="First Class"/>
    <x v="33"/>
    <x v="33"/>
    <s v="Consumer"/>
    <s v="Austin"/>
    <s v="Texas"/>
    <x v="0"/>
    <x v="0"/>
    <x v="7"/>
    <s v="PROD-2376"/>
    <x v="537"/>
    <n v="4"/>
    <n v="0"/>
    <n v="141.16999999999999"/>
    <s v="OK"/>
  </r>
  <r>
    <s v="ORD-1322"/>
    <x v="405"/>
    <d v="2023-04-05T00:00:00"/>
    <s v="First Class"/>
    <x v="154"/>
    <x v="151"/>
    <s v="Home Office"/>
    <s v="Saint Paul"/>
    <s v="Minnesota"/>
    <x v="2"/>
    <x v="0"/>
    <x v="0"/>
    <s v="PROD-1852"/>
    <x v="538"/>
    <n v="3"/>
    <n v="0"/>
    <n v="288.85000000000002"/>
    <s v="OK"/>
  </r>
  <r>
    <s v="ORD-1700"/>
    <x v="406"/>
    <d v="2023-04-07T00:00:00"/>
    <s v="Standard Class"/>
    <x v="26"/>
    <x v="26"/>
    <s v="Consumer"/>
    <s v="Portland"/>
    <s v="Oregon"/>
    <x v="3"/>
    <x v="1"/>
    <x v="8"/>
    <s v="PROD-4596"/>
    <x v="539"/>
    <n v="8"/>
    <n v="0.3"/>
    <n v="544.16999999999996"/>
    <s v="OK"/>
  </r>
  <r>
    <s v="ORD-1169"/>
    <x v="407"/>
    <d v="2023-04-11T00:00:00"/>
    <s v="Standard Class"/>
    <x v="183"/>
    <x v="182"/>
    <s v="Home Office"/>
    <s v="Columbus"/>
    <s v="Ohio"/>
    <x v="2"/>
    <x v="2"/>
    <x v="14"/>
    <s v="PROD-9791"/>
    <x v="540"/>
    <n v="9"/>
    <n v="0.2"/>
    <n v="38.33"/>
    <s v="OK"/>
  </r>
  <r>
    <s v="ORD-1801"/>
    <x v="408"/>
    <d v="2023-04-18T00:00:00"/>
    <s v="Standard Class"/>
    <x v="16"/>
    <x v="16"/>
    <s v="Corporate"/>
    <s v="Hartford"/>
    <s v="Connecticut"/>
    <x v="1"/>
    <x v="1"/>
    <x v="1"/>
    <s v="PROD-4115"/>
    <x v="541"/>
    <n v="9"/>
    <n v="0.4"/>
    <n v="-3392.08"/>
    <s v="OK"/>
  </r>
  <r>
    <s v="ORD-1506"/>
    <x v="408"/>
    <d v="2023-04-15T00:00:00"/>
    <s v="Second Class"/>
    <x v="169"/>
    <x v="168"/>
    <s v="Home Office"/>
    <s v="Salem"/>
    <s v="Oregon"/>
    <x v="3"/>
    <x v="1"/>
    <x v="2"/>
    <s v="PROD-8607"/>
    <x v="542"/>
    <n v="8"/>
    <n v="0"/>
    <n v="532.01"/>
    <s v="OK"/>
  </r>
  <r>
    <s v="ORD-1575"/>
    <x v="409"/>
    <d v="2023-04-18T00:00:00"/>
    <s v="First Class"/>
    <x v="105"/>
    <x v="105"/>
    <s v="Corporate"/>
    <s v="Richmond"/>
    <s v="Virginia"/>
    <x v="1"/>
    <x v="0"/>
    <x v="7"/>
    <s v="PROD-2479"/>
    <x v="543"/>
    <n v="5"/>
    <n v="0"/>
    <n v="437.45"/>
    <s v="OK"/>
  </r>
  <r>
    <s v="ORD-1676"/>
    <x v="409"/>
    <d v="2023-04-16T00:00:00"/>
    <s v="First Class"/>
    <x v="58"/>
    <x v="58"/>
    <s v="Home Office"/>
    <s v="Spokane"/>
    <s v="Washington"/>
    <x v="3"/>
    <x v="1"/>
    <x v="2"/>
    <s v="PROD-9491"/>
    <x v="544"/>
    <n v="6"/>
    <n v="0.2"/>
    <n v="149.74"/>
    <s v="OK"/>
  </r>
  <r>
    <s v="ORD-1831"/>
    <x v="410"/>
    <d v="2023-04-20T00:00:00"/>
    <s v="First Class"/>
    <x v="12"/>
    <x v="12"/>
    <s v="Consumer"/>
    <s v="Tucson"/>
    <s v="Arizona"/>
    <x v="3"/>
    <x v="1"/>
    <x v="9"/>
    <s v="PROD-1938"/>
    <x v="545"/>
    <n v="9"/>
    <n v="0.1"/>
    <n v="435.41"/>
    <s v="OK"/>
  </r>
  <r>
    <s v="ORD-1052"/>
    <x v="411"/>
    <d v="2023-04-24T00:00:00"/>
    <s v="Standard Class"/>
    <x v="21"/>
    <x v="21"/>
    <s v="Corporate"/>
    <s v="Birmingham"/>
    <s v="Alabama"/>
    <x v="0"/>
    <x v="0"/>
    <x v="7"/>
    <s v="PROD-6194"/>
    <x v="546"/>
    <n v="8"/>
    <n v="0.4"/>
    <n v="-86.52"/>
    <s v="OK"/>
  </r>
  <r>
    <s v="ORD-1266"/>
    <x v="411"/>
    <d v="2023-04-25T00:00:00"/>
    <s v="Standard Class"/>
    <x v="9"/>
    <x v="9"/>
    <s v="Home Office"/>
    <s v="Denver"/>
    <s v="Colorado"/>
    <x v="3"/>
    <x v="1"/>
    <x v="2"/>
    <s v="PROD-4209"/>
    <x v="547"/>
    <n v="3"/>
    <n v="0.3"/>
    <n v="8.84"/>
    <s v="OK"/>
  </r>
  <r>
    <s v="ORD-1180"/>
    <x v="412"/>
    <d v="2023-04-25T00:00:00"/>
    <s v="Standard Class"/>
    <x v="188"/>
    <x v="188"/>
    <s v="Corporate"/>
    <s v="San Francisco"/>
    <s v="California"/>
    <x v="3"/>
    <x v="2"/>
    <x v="11"/>
    <s v="PROD-9872"/>
    <x v="548"/>
    <n v="9"/>
    <n v="0.05"/>
    <n v="102.49"/>
    <s v="OK"/>
  </r>
  <r>
    <s v="ORD-1312"/>
    <x v="413"/>
    <d v="2023-04-27T00:00:00"/>
    <s v="Second Class"/>
    <x v="177"/>
    <x v="176"/>
    <s v="Home Office"/>
    <s v="Bridgeport"/>
    <s v="Connecticut"/>
    <x v="1"/>
    <x v="0"/>
    <x v="3"/>
    <s v="PROD-3979"/>
    <x v="549"/>
    <n v="8"/>
    <n v="0.3"/>
    <n v="-689.58"/>
    <s v="OK"/>
  </r>
  <r>
    <s v="ORD-1721"/>
    <x v="414"/>
    <d v="2023-04-29T00:00:00"/>
    <s v="Standard Class"/>
    <x v="128"/>
    <x v="128"/>
    <s v="Corporate"/>
    <s v="Nashville"/>
    <s v="Tennessee"/>
    <x v="0"/>
    <x v="1"/>
    <x v="9"/>
    <s v="PROD-2253"/>
    <x v="550"/>
    <n v="2"/>
    <n v="0.05"/>
    <n v="234.07"/>
    <s v="OK"/>
  </r>
  <r>
    <s v="ORD-1111"/>
    <x v="415"/>
    <d v="2023-04-30T00:00:00"/>
    <s v="Second Class"/>
    <x v="58"/>
    <x v="58"/>
    <s v="Home Office"/>
    <s v="Spokane"/>
    <s v="Washington"/>
    <x v="3"/>
    <x v="0"/>
    <x v="7"/>
    <s v="PROD-4791"/>
    <x v="551"/>
    <n v="2"/>
    <n v="0"/>
    <n v="421.02"/>
    <s v="OK"/>
  </r>
  <r>
    <s v="ORD-1331"/>
    <x v="415"/>
    <d v="2023-04-29T00:00:00"/>
    <s v="First Class"/>
    <x v="91"/>
    <x v="91"/>
    <s v="Consumer"/>
    <s v="Savannah"/>
    <s v="Georgia"/>
    <x v="0"/>
    <x v="0"/>
    <x v="3"/>
    <s v="PROD-9776"/>
    <x v="552"/>
    <n v="4"/>
    <n v="0.05"/>
    <n v="4.79"/>
    <s v="OK"/>
  </r>
  <r>
    <s v="ORD-1071"/>
    <x v="416"/>
    <d v="2023-04-30T00:00:00"/>
    <s v="Second Class"/>
    <x v="189"/>
    <x v="189"/>
    <s v="Corporate"/>
    <s v="New York City"/>
    <s v="New York"/>
    <x v="1"/>
    <x v="1"/>
    <x v="2"/>
    <s v="PROD-9221"/>
    <x v="553"/>
    <n v="8"/>
    <n v="0.15"/>
    <n v="97.31"/>
    <s v="OK"/>
  </r>
  <r>
    <s v="ORD-1445"/>
    <x v="417"/>
    <d v="2023-05-02T00:00:00"/>
    <s v="Second Class"/>
    <x v="62"/>
    <x v="62"/>
    <s v="Consumer"/>
    <s v="Boston"/>
    <s v="Massachusetts"/>
    <x v="1"/>
    <x v="1"/>
    <x v="2"/>
    <s v="PROD-4992"/>
    <x v="554"/>
    <n v="9"/>
    <n v="0.3"/>
    <n v="167.44"/>
    <s v="OK"/>
  </r>
  <r>
    <s v="ORD-1847"/>
    <x v="418"/>
    <d v="2023-04-30T00:00:00"/>
    <s v="First Class"/>
    <x v="123"/>
    <x v="123"/>
    <s v="Consumer"/>
    <s v="Salem"/>
    <s v="Oregon"/>
    <x v="3"/>
    <x v="0"/>
    <x v="3"/>
    <s v="PROD-5028"/>
    <x v="555"/>
    <n v="8"/>
    <n v="0.2"/>
    <n v="-296.52"/>
    <s v="OK"/>
  </r>
  <r>
    <s v="ORD-1426"/>
    <x v="418"/>
    <d v="2023-05-04T00:00:00"/>
    <s v="Standard Class"/>
    <x v="176"/>
    <x v="175"/>
    <s v="Home Office"/>
    <s v="Bridgeport"/>
    <s v="Connecticut"/>
    <x v="1"/>
    <x v="2"/>
    <x v="10"/>
    <s v="PROD-6728"/>
    <x v="556"/>
    <n v="4"/>
    <n v="0.5"/>
    <n v="-23.39"/>
    <s v="OK"/>
  </r>
  <r>
    <s v="ORD-1405"/>
    <x v="418"/>
    <d v="2023-04-30T00:00:00"/>
    <s v="Same Day"/>
    <x v="122"/>
    <x v="122"/>
    <s v="Consumer"/>
    <s v="Charlotte"/>
    <s v="North Carolina"/>
    <x v="0"/>
    <x v="0"/>
    <x v="7"/>
    <s v="PROD-8258"/>
    <x v="557"/>
    <n v="3"/>
    <n v="0"/>
    <n v="196.12"/>
    <s v="OK"/>
  </r>
  <r>
    <s v="ORD-1267"/>
    <x v="419"/>
    <d v="2023-05-06T00:00:00"/>
    <s v="Standard Class"/>
    <x v="85"/>
    <x v="85"/>
    <s v="Consumer"/>
    <s v="Cleveland"/>
    <s v="Ohio"/>
    <x v="2"/>
    <x v="0"/>
    <x v="3"/>
    <s v="PROD-3018"/>
    <x v="558"/>
    <n v="4"/>
    <n v="0.15"/>
    <n v="13.91"/>
    <s v="OK"/>
  </r>
  <r>
    <s v="ORD-1888"/>
    <x v="420"/>
    <d v="2023-05-03T00:00:00"/>
    <s v="Second Class"/>
    <x v="119"/>
    <x v="119"/>
    <s v="Consumer"/>
    <s v="Houston"/>
    <s v="Texas"/>
    <x v="0"/>
    <x v="2"/>
    <x v="11"/>
    <s v="PROD-7792"/>
    <x v="559"/>
    <n v="5"/>
    <n v="0.1"/>
    <n v="34.92"/>
    <s v="OK"/>
  </r>
  <r>
    <s v="ORD-1737"/>
    <x v="420"/>
    <d v="2023-05-02T00:00:00"/>
    <s v="First Class"/>
    <x v="44"/>
    <x v="44"/>
    <s v="Corporate"/>
    <s v="Bridgeport"/>
    <s v="Connecticut"/>
    <x v="1"/>
    <x v="2"/>
    <x v="13"/>
    <s v="PROD-4752"/>
    <x v="560"/>
    <n v="1"/>
    <n v="0.4"/>
    <n v="0.09"/>
    <s v="OK"/>
  </r>
  <r>
    <s v="ORD-1627"/>
    <x v="421"/>
    <d v="2023-05-04T00:00:00"/>
    <s v="Same Day"/>
    <x v="147"/>
    <x v="147"/>
    <s v="Consumer"/>
    <s v="Saint Paul"/>
    <s v="Minnesota"/>
    <x v="2"/>
    <x v="2"/>
    <x v="12"/>
    <s v="PROD-4845"/>
    <x v="561"/>
    <n v="3"/>
    <n v="0.5"/>
    <n v="-9.86"/>
    <s v="OK"/>
  </r>
  <r>
    <s v="ORD-1136"/>
    <x v="421"/>
    <d v="2023-05-07T00:00:00"/>
    <s v="Standard Class"/>
    <x v="17"/>
    <x v="17"/>
    <s v="Home Office"/>
    <s v="Columbus"/>
    <s v="Ohio"/>
    <x v="2"/>
    <x v="2"/>
    <x v="14"/>
    <s v="PROD-3321"/>
    <x v="562"/>
    <n v="1"/>
    <n v="0.3"/>
    <n v="1.42"/>
    <s v="OK"/>
  </r>
  <r>
    <s v="ORD-1937"/>
    <x v="422"/>
    <d v="2023-05-08T00:00:00"/>
    <s v="First Class"/>
    <x v="70"/>
    <x v="70"/>
    <s v="Consumer"/>
    <s v="Buffalo"/>
    <s v="New York"/>
    <x v="1"/>
    <x v="1"/>
    <x v="1"/>
    <s v="PROD-4122"/>
    <x v="563"/>
    <n v="6"/>
    <n v="0.15"/>
    <n v="903.06"/>
    <s v="OK"/>
  </r>
  <r>
    <s v="ORD-1651"/>
    <x v="423"/>
    <d v="2023-05-09T00:00:00"/>
    <s v="Same Day"/>
    <x v="187"/>
    <x v="187"/>
    <s v="Consumer"/>
    <s v="Newark"/>
    <s v="New Jersey"/>
    <x v="1"/>
    <x v="2"/>
    <x v="5"/>
    <s v="PROD-6074"/>
    <x v="564"/>
    <n v="6"/>
    <n v="0"/>
    <n v="123.18"/>
    <s v="OK"/>
  </r>
  <r>
    <s v="ORD-1108"/>
    <x v="423"/>
    <d v="2023-05-08T00:00:00"/>
    <s v="First Class"/>
    <x v="65"/>
    <x v="65"/>
    <s v="Consumer"/>
    <s v="Charlotte"/>
    <s v="North Carolina"/>
    <x v="0"/>
    <x v="0"/>
    <x v="0"/>
    <s v="PROD-4214"/>
    <x v="565"/>
    <n v="9"/>
    <n v="0.5"/>
    <n v="-123.38"/>
    <s v="OK"/>
  </r>
  <r>
    <s v="ORD-1234"/>
    <x v="424"/>
    <d v="2023-05-10T00:00:00"/>
    <s v="Same Day"/>
    <x v="102"/>
    <x v="102"/>
    <s v="Consumer"/>
    <s v="Charlotte"/>
    <s v="North Carolina"/>
    <x v="0"/>
    <x v="2"/>
    <x v="12"/>
    <s v="PROD-1578"/>
    <x v="566"/>
    <n v="8"/>
    <n v="0.1"/>
    <n v="277.08999999999997"/>
    <s v="OK"/>
  </r>
  <r>
    <s v="ORD-1877"/>
    <x v="425"/>
    <d v="2023-05-11T00:00:00"/>
    <s v="Same Day"/>
    <x v="157"/>
    <x v="157"/>
    <s v="Home Office"/>
    <s v="Portland"/>
    <s v="Oregon"/>
    <x v="3"/>
    <x v="2"/>
    <x v="13"/>
    <s v="PROD-9773"/>
    <x v="567"/>
    <n v="5"/>
    <n v="0"/>
    <n v="96.18"/>
    <s v="OK"/>
  </r>
  <r>
    <s v="ORD-1637"/>
    <x v="425"/>
    <d v="2023-05-12T00:00:00"/>
    <s v="Same Day"/>
    <x v="110"/>
    <x v="110"/>
    <s v="Consumer"/>
    <s v="Birmingham"/>
    <s v="Alabama"/>
    <x v="0"/>
    <x v="0"/>
    <x v="0"/>
    <s v="PROD-5986"/>
    <x v="568"/>
    <n v="1"/>
    <n v="0.4"/>
    <n v="-106.88"/>
    <s v="OK"/>
  </r>
  <r>
    <s v="ORD-1677"/>
    <x v="426"/>
    <d v="2023-05-13T00:00:00"/>
    <s v="Same Day"/>
    <x v="146"/>
    <x v="146"/>
    <s v="Consumer"/>
    <s v="Hartford"/>
    <s v="Connecticut"/>
    <x v="1"/>
    <x v="2"/>
    <x v="13"/>
    <s v="PROD-1084"/>
    <x v="569"/>
    <n v="1"/>
    <n v="0.05"/>
    <n v="10.24"/>
    <s v="OK"/>
  </r>
  <r>
    <s v="ORD-1910"/>
    <x v="427"/>
    <d v="2023-05-18T00:00:00"/>
    <s v="Standard Class"/>
    <x v="34"/>
    <x v="34"/>
    <s v="Consumer"/>
    <s v="Richmond"/>
    <s v="Virginia"/>
    <x v="1"/>
    <x v="0"/>
    <x v="7"/>
    <s v="PROD-8418"/>
    <x v="570"/>
    <n v="8"/>
    <n v="0"/>
    <n v="1429.4"/>
    <s v="OK"/>
  </r>
  <r>
    <s v="ORD-1460"/>
    <x v="427"/>
    <d v="2023-05-16T00:00:00"/>
    <s v="First Class"/>
    <x v="129"/>
    <x v="129"/>
    <s v="Home Office"/>
    <s v="Raleigh"/>
    <s v="North Carolina"/>
    <x v="0"/>
    <x v="0"/>
    <x v="3"/>
    <s v="PROD-5738"/>
    <x v="571"/>
    <n v="8"/>
    <n v="0.5"/>
    <n v="-1620.97"/>
    <s v="OK"/>
  </r>
  <r>
    <s v="ORD-1971"/>
    <x v="428"/>
    <d v="2023-05-16T00:00:00"/>
    <s v="First Class"/>
    <x v="109"/>
    <x v="109"/>
    <s v="Home Office"/>
    <s v="Atlanta"/>
    <s v="Georgia"/>
    <x v="0"/>
    <x v="1"/>
    <x v="2"/>
    <s v="PROD-6481"/>
    <x v="572"/>
    <n v="5"/>
    <n v="0"/>
    <n v="286.63"/>
    <s v="OK"/>
  </r>
  <r>
    <s v="ORD-1909"/>
    <x v="428"/>
    <d v="2023-05-16T00:00:00"/>
    <s v="Same Day"/>
    <x v="33"/>
    <x v="33"/>
    <s v="Consumer"/>
    <s v="Austin"/>
    <s v="Texas"/>
    <x v="0"/>
    <x v="1"/>
    <x v="9"/>
    <s v="PROD-6244"/>
    <x v="573"/>
    <n v="2"/>
    <n v="0.5"/>
    <n v="-1070.4000000000001"/>
    <s v="OK"/>
  </r>
  <r>
    <s v="ORD-1563"/>
    <x v="429"/>
    <d v="2023-05-18T00:00:00"/>
    <s v="Same Day"/>
    <x v="190"/>
    <x v="190"/>
    <s v="Home Office"/>
    <s v="Tucson"/>
    <s v="Arizona"/>
    <x v="3"/>
    <x v="0"/>
    <x v="7"/>
    <s v="PROD-1334"/>
    <x v="574"/>
    <n v="1"/>
    <n v="0.3"/>
    <n v="11.58"/>
    <s v="OK"/>
  </r>
  <r>
    <s v="ORD-1336"/>
    <x v="430"/>
    <d v="2023-05-20T00:00:00"/>
    <s v="Same Day"/>
    <x v="59"/>
    <x v="59"/>
    <s v="Consumer"/>
    <s v="Virginia Beach"/>
    <s v="Virginia"/>
    <x v="4"/>
    <x v="0"/>
    <x v="6"/>
    <s v="PROD-1533"/>
    <x v="575"/>
    <n v="10"/>
    <n v="0"/>
    <n v="334.98"/>
    <s v="OK"/>
  </r>
  <r>
    <s v="ORD-1339"/>
    <x v="431"/>
    <d v="2023-05-23T00:00:00"/>
    <s v="Second Class"/>
    <x v="11"/>
    <x v="11"/>
    <s v="Corporate"/>
    <s v="Detroit"/>
    <s v="Michigan"/>
    <x v="2"/>
    <x v="2"/>
    <x v="4"/>
    <s v="PROD-7099"/>
    <x v="576"/>
    <n v="6"/>
    <n v="0.15"/>
    <n v="433.26"/>
    <s v="OK"/>
  </r>
  <r>
    <s v="ORD-1527"/>
    <x v="431"/>
    <d v="2023-05-20T00:00:00"/>
    <s v="Same Day"/>
    <x v="149"/>
    <x v="149"/>
    <s v="Home Office"/>
    <s v="Cleveland"/>
    <s v="Ohio"/>
    <x v="2"/>
    <x v="1"/>
    <x v="8"/>
    <s v="PROD-2410"/>
    <x v="577"/>
    <n v="7"/>
    <n v="0.3"/>
    <n v="478.82"/>
    <s v="OK"/>
  </r>
  <r>
    <s v="ORD-1042"/>
    <x v="432"/>
    <d v="2023-05-26T00:00:00"/>
    <s v="Standard Class"/>
    <x v="56"/>
    <x v="56"/>
    <s v="Home Office"/>
    <s v="Nashville"/>
    <s v="Tennessee"/>
    <x v="0"/>
    <x v="1"/>
    <x v="8"/>
    <s v="PROD-3956"/>
    <x v="578"/>
    <n v="9"/>
    <n v="0.1"/>
    <n v="652.74"/>
    <s v="OK"/>
  </r>
  <r>
    <s v="ORD-1149"/>
    <x v="433"/>
    <d v="2023-05-28T00:00:00"/>
    <s v="Standard Class"/>
    <x v="165"/>
    <x v="165"/>
    <s v="Consumer"/>
    <s v="Reno"/>
    <s v="Nevada"/>
    <x v="3"/>
    <x v="1"/>
    <x v="9"/>
    <s v="PROD-5055"/>
    <x v="579"/>
    <n v="1"/>
    <n v="0.3"/>
    <n v="-123.82"/>
    <s v="OK"/>
  </r>
  <r>
    <s v="ORD-1986"/>
    <x v="434"/>
    <d v="2023-05-31T00:00:00"/>
    <s v="Standard Class"/>
    <x v="0"/>
    <x v="0"/>
    <s v="Consumer"/>
    <s v="Montgomery"/>
    <s v="Alabama"/>
    <x v="0"/>
    <x v="1"/>
    <x v="1"/>
    <s v="PROD-7358"/>
    <x v="580"/>
    <n v="6"/>
    <n v="0.5"/>
    <n v="-4456.4399999999996"/>
    <s v="OK"/>
  </r>
  <r>
    <s v="ORD-1946"/>
    <x v="434"/>
    <d v="2023-05-28T00:00:00"/>
    <s v="Same Day"/>
    <x v="76"/>
    <x v="76"/>
    <s v="Consumer"/>
    <s v="Milwaukee"/>
    <s v="Wisconsin"/>
    <x v="2"/>
    <x v="0"/>
    <x v="3"/>
    <s v="PROD-7721"/>
    <x v="581"/>
    <n v="9"/>
    <n v="0.15"/>
    <n v="-265.05"/>
    <s v="OK"/>
  </r>
  <r>
    <s v="ORD-1906"/>
    <x v="435"/>
    <d v="2023-06-03T00:00:00"/>
    <s v="Second Class"/>
    <x v="164"/>
    <x v="164"/>
    <s v="Corporate"/>
    <s v="Milwaukee"/>
    <s v="Wisconsin"/>
    <x v="2"/>
    <x v="1"/>
    <x v="9"/>
    <s v="PROD-5019"/>
    <x v="582"/>
    <n v="2"/>
    <n v="0"/>
    <n v="267.04000000000002"/>
    <s v="OK"/>
  </r>
  <r>
    <s v="ORD-1140"/>
    <x v="435"/>
    <d v="2023-05-31T00:00:00"/>
    <s v="Same Day"/>
    <x v="8"/>
    <x v="8"/>
    <s v="Corporate"/>
    <s v="Boston"/>
    <s v="Massachusetts"/>
    <x v="1"/>
    <x v="1"/>
    <x v="8"/>
    <s v="PROD-4519"/>
    <x v="583"/>
    <n v="10"/>
    <n v="0.05"/>
    <n v="1131.18"/>
    <s v="OK"/>
  </r>
  <r>
    <s v="ORD-1404"/>
    <x v="436"/>
    <d v="2023-06-05T00:00:00"/>
    <s v="Second Class"/>
    <x v="86"/>
    <x v="86"/>
    <s v="Consumer"/>
    <s v="Worcester"/>
    <s v="Massachusetts"/>
    <x v="1"/>
    <x v="1"/>
    <x v="1"/>
    <s v="PROD-3589"/>
    <x v="584"/>
    <n v="5"/>
    <n v="0.4"/>
    <n v="-3762.69"/>
    <s v="OK"/>
  </r>
  <r>
    <s v="ORD-1598"/>
    <x v="436"/>
    <d v="2023-06-03T00:00:00"/>
    <s v="First Class"/>
    <x v="116"/>
    <x v="116"/>
    <s v="Consumer"/>
    <s v="Philadelphia"/>
    <s v="Pennsylvania"/>
    <x v="1"/>
    <x v="2"/>
    <x v="5"/>
    <s v="PROD-5321"/>
    <x v="585"/>
    <n v="8"/>
    <n v="0.1"/>
    <n v="550.08000000000004"/>
    <s v="OK"/>
  </r>
  <r>
    <s v="ORD-1355"/>
    <x v="437"/>
    <d v="2023-06-05T00:00:00"/>
    <s v="First Class"/>
    <x v="79"/>
    <x v="79"/>
    <s v="Corporate"/>
    <s v="Saint Paul"/>
    <s v="Minnesota"/>
    <x v="2"/>
    <x v="0"/>
    <x v="3"/>
    <s v="PROD-4788"/>
    <x v="586"/>
    <n v="8"/>
    <n v="0.1"/>
    <n v="538.82000000000005"/>
    <s v="OK"/>
  </r>
  <r>
    <s v="ORD-1468"/>
    <x v="438"/>
    <d v="2023-06-07T00:00:00"/>
    <s v="First Class"/>
    <x v="82"/>
    <x v="82"/>
    <s v="Corporate"/>
    <s v="Fort Wayne"/>
    <s v="Indiana"/>
    <x v="2"/>
    <x v="1"/>
    <x v="2"/>
    <s v="PROD-5429"/>
    <x v="587"/>
    <n v="9"/>
    <n v="0.15"/>
    <n v="45.41"/>
    <s v="OK"/>
  </r>
  <r>
    <s v="ORD-1121"/>
    <x v="438"/>
    <d v="2023-06-09T00:00:00"/>
    <s v="Second Class"/>
    <x v="6"/>
    <x v="6"/>
    <s v="Corporate"/>
    <s v="Hartford"/>
    <s v="Connecticut"/>
    <x v="1"/>
    <x v="2"/>
    <x v="4"/>
    <s v="PROD-7227"/>
    <x v="588"/>
    <n v="6"/>
    <n v="0.4"/>
    <n v="-112.01"/>
    <s v="OK"/>
  </r>
  <r>
    <s v="ORD-1191"/>
    <x v="439"/>
    <d v="2023-06-09T00:00:00"/>
    <s v="Same Day"/>
    <x v="162"/>
    <x v="162"/>
    <s v="Corporate"/>
    <s v="Montgomery"/>
    <s v="Alabama"/>
    <x v="0"/>
    <x v="0"/>
    <x v="7"/>
    <s v="PROD-1483"/>
    <x v="589"/>
    <n v="1"/>
    <n v="0"/>
    <n v="213.99"/>
    <s v="OK"/>
  </r>
  <r>
    <s v="ORD-1792"/>
    <x v="440"/>
    <d v="2023-06-09T00:00:00"/>
    <s v="Same Day"/>
    <x v="137"/>
    <x v="137"/>
    <s v="Consumer"/>
    <s v="Philadelphia"/>
    <s v="Pennsylvania"/>
    <x v="1"/>
    <x v="2"/>
    <x v="14"/>
    <s v="PROD-5055"/>
    <x v="590"/>
    <n v="7"/>
    <n v="0"/>
    <n v="171.93"/>
    <s v="OK"/>
  </r>
  <r>
    <s v="ORD-1116"/>
    <x v="440"/>
    <d v="2023-06-12T00:00:00"/>
    <s v="First Class"/>
    <x v="175"/>
    <x v="174"/>
    <s v="Corporate"/>
    <s v="Miami"/>
    <s v="Florida"/>
    <x v="0"/>
    <x v="2"/>
    <x v="14"/>
    <s v="PROD-2562"/>
    <x v="591"/>
    <n v="1"/>
    <n v="0"/>
    <n v="21.91"/>
    <s v="OK"/>
  </r>
  <r>
    <s v="ORD-1323"/>
    <x v="441"/>
    <d v="2023-06-16T00:00:00"/>
    <s v="Standard Class"/>
    <x v="4"/>
    <x v="4"/>
    <s v="Corporate"/>
    <s v="Denver"/>
    <s v="Colorado"/>
    <x v="3"/>
    <x v="2"/>
    <x v="5"/>
    <s v="PROD-5310"/>
    <x v="592"/>
    <n v="3"/>
    <n v="0.3"/>
    <n v="32.200000000000003"/>
    <s v="OK"/>
  </r>
  <r>
    <s v="ORD-1573"/>
    <x v="442"/>
    <d v="2023-06-11T00:00:00"/>
    <s v="Same Day"/>
    <x v="116"/>
    <x v="116"/>
    <s v="Consumer"/>
    <s v="Philadelphia"/>
    <s v="Pennsylvania"/>
    <x v="1"/>
    <x v="0"/>
    <x v="0"/>
    <s v="PROD-1606"/>
    <x v="593"/>
    <n v="5"/>
    <n v="0.3"/>
    <n v="-5.76"/>
    <s v="Error"/>
  </r>
  <r>
    <s v="ORD-1045"/>
    <x v="443"/>
    <d v="2023-06-22T00:00:00"/>
    <s v="Standard Class"/>
    <x v="18"/>
    <x v="18"/>
    <s v="Corporate"/>
    <s v="Nashville"/>
    <s v="Tennessee"/>
    <x v="0"/>
    <x v="1"/>
    <x v="1"/>
    <s v="PROD-2101"/>
    <x v="594"/>
    <n v="3"/>
    <n v="0.5"/>
    <n v="-3195.99"/>
    <s v="OK"/>
  </r>
  <r>
    <s v="ORD-1368"/>
    <x v="444"/>
    <d v="2023-06-21T00:00:00"/>
    <s v="Second Class"/>
    <x v="135"/>
    <x v="135"/>
    <s v="Consumer"/>
    <s v="Salem"/>
    <s v="Oregon"/>
    <x v="3"/>
    <x v="0"/>
    <x v="3"/>
    <s v="PROD-7189"/>
    <x v="595"/>
    <n v="9"/>
    <n v="0.15"/>
    <n v="-254.65"/>
    <s v="OK"/>
  </r>
  <r>
    <s v="ORD-1990"/>
    <x v="445"/>
    <d v="2023-06-26T00:00:00"/>
    <s v="Standard Class"/>
    <x v="111"/>
    <x v="111"/>
    <s v="Consumer"/>
    <s v="Montgomery"/>
    <s v="Alabama"/>
    <x v="0"/>
    <x v="1"/>
    <x v="9"/>
    <s v="PROD-1606"/>
    <x v="596"/>
    <n v="3"/>
    <n v="0.3"/>
    <n v="-478.62"/>
    <s v="OK"/>
  </r>
  <r>
    <s v="ORD-1041"/>
    <x v="445"/>
    <d v="2023-06-22T00:00:00"/>
    <s v="Same Day"/>
    <x v="129"/>
    <x v="129"/>
    <s v="Home Office"/>
    <s v="Raleigh"/>
    <s v="North Carolina"/>
    <x v="0"/>
    <x v="0"/>
    <x v="6"/>
    <s v="PROD-4060"/>
    <x v="597"/>
    <n v="6"/>
    <n v="0.2"/>
    <n v="21.43"/>
    <s v="OK"/>
  </r>
  <r>
    <s v="ORD-1412"/>
    <x v="445"/>
    <d v="2023-06-22T00:00:00"/>
    <s v="Same Day"/>
    <x v="96"/>
    <x v="96"/>
    <s v="Home Office"/>
    <s v="Seattle"/>
    <s v="Washington"/>
    <x v="3"/>
    <x v="1"/>
    <x v="2"/>
    <s v="PROD-5684"/>
    <x v="598"/>
    <n v="9"/>
    <n v="0"/>
    <n v="469.25"/>
    <s v="OK"/>
  </r>
  <r>
    <s v="ORD-1257"/>
    <x v="446"/>
    <d v="2023-06-27T00:00:00"/>
    <s v="Standard Class"/>
    <x v="75"/>
    <x v="75"/>
    <s v="Consumer"/>
    <s v="Miami"/>
    <s v="Florida"/>
    <x v="0"/>
    <x v="1"/>
    <x v="1"/>
    <s v="PROD-5286"/>
    <x v="599"/>
    <n v="8"/>
    <n v="0"/>
    <n v="3139.18"/>
    <s v="OK"/>
  </r>
  <r>
    <s v="ORD-1868"/>
    <x v="447"/>
    <d v="2023-06-28T00:00:00"/>
    <s v="Second Class"/>
    <x v="114"/>
    <x v="114"/>
    <s v="Corporate"/>
    <s v="Nashville"/>
    <s v="Tennessee"/>
    <x v="0"/>
    <x v="0"/>
    <x v="3"/>
    <s v="PROD-8999"/>
    <x v="600"/>
    <n v="8"/>
    <n v="0.1"/>
    <n v="-103.19"/>
    <s v="OK"/>
  </r>
  <r>
    <s v="ORD-1380"/>
    <x v="448"/>
    <d v="2023-06-30T00:00:00"/>
    <s v="First Class"/>
    <x v="81"/>
    <x v="81"/>
    <s v="Corporate"/>
    <s v="Hartford"/>
    <s v="Connecticut"/>
    <x v="1"/>
    <x v="1"/>
    <x v="8"/>
    <s v="PROD-6319"/>
    <x v="601"/>
    <n v="3"/>
    <n v="0.4"/>
    <n v="-125.27"/>
    <s v="OK"/>
  </r>
  <r>
    <s v="ORD-1277"/>
    <x v="448"/>
    <d v="2023-07-02T00:00:00"/>
    <s v="Second Class"/>
    <x v="28"/>
    <x v="28"/>
    <s v="Corporate"/>
    <s v="Pittsburgh"/>
    <s v="Pennsylvania"/>
    <x v="1"/>
    <x v="0"/>
    <x v="7"/>
    <s v="PROD-7025"/>
    <x v="602"/>
    <n v="4"/>
    <n v="0.5"/>
    <n v="-514.54999999999995"/>
    <s v="OK"/>
  </r>
  <r>
    <s v="ORD-1283"/>
    <x v="449"/>
    <d v="2023-07-07T00:00:00"/>
    <s v="Second Class"/>
    <x v="156"/>
    <x v="156"/>
    <s v="Corporate"/>
    <s v="Hartford"/>
    <s v="Connecticut"/>
    <x v="1"/>
    <x v="1"/>
    <x v="8"/>
    <s v="PROD-4994"/>
    <x v="603"/>
    <n v="1"/>
    <n v="0"/>
    <n v="281.45999999999998"/>
    <s v="OK"/>
  </r>
  <r>
    <s v="ORD-1417"/>
    <x v="450"/>
    <d v="2023-07-07T00:00:00"/>
    <s v="First Class"/>
    <x v="4"/>
    <x v="4"/>
    <s v="Corporate"/>
    <s v="Denver"/>
    <s v="Colorado"/>
    <x v="3"/>
    <x v="0"/>
    <x v="0"/>
    <s v="PROD-3960"/>
    <x v="604"/>
    <n v="1"/>
    <n v="0.2"/>
    <n v="52.37"/>
    <s v="OK"/>
  </r>
  <r>
    <s v="ORD-1192"/>
    <x v="450"/>
    <d v="2023-07-06T00:00:00"/>
    <s v="Second Class"/>
    <x v="175"/>
    <x v="174"/>
    <s v="Corporate"/>
    <s v="Miami"/>
    <s v="Florida"/>
    <x v="0"/>
    <x v="1"/>
    <x v="8"/>
    <s v="PROD-5026"/>
    <x v="605"/>
    <n v="4"/>
    <n v="0"/>
    <n v="271.33"/>
    <s v="OK"/>
  </r>
  <r>
    <s v="ORD-1824"/>
    <x v="451"/>
    <d v="2023-07-14T00:00:00"/>
    <s v="Standard Class"/>
    <x v="160"/>
    <x v="160"/>
    <s v="Corporate"/>
    <s v="Virginia Beach"/>
    <s v="Virginia"/>
    <x v="1"/>
    <x v="1"/>
    <x v="9"/>
    <s v="PROD-2109"/>
    <x v="606"/>
    <n v="9"/>
    <n v="0.15"/>
    <n v="-213.54"/>
    <s v="OK"/>
  </r>
  <r>
    <s v="ORD-1027"/>
    <x v="452"/>
    <d v="2023-07-14T00:00:00"/>
    <s v="Second Class"/>
    <x v="42"/>
    <x v="42"/>
    <s v="Consumer"/>
    <s v="Las Vegas"/>
    <s v="Nevada"/>
    <x v="3"/>
    <x v="2"/>
    <x v="13"/>
    <s v="PROD-4918"/>
    <x v="607"/>
    <n v="4"/>
    <n v="0.3"/>
    <n v="14.66"/>
    <s v="OK"/>
  </r>
  <r>
    <s v="ORD-1467"/>
    <x v="452"/>
    <d v="2023-07-12T00:00:00"/>
    <s v="Same Day"/>
    <x v="97"/>
    <x v="97"/>
    <s v="Home Office"/>
    <s v="Portland"/>
    <s v="Oregon"/>
    <x v="3"/>
    <x v="2"/>
    <x v="12"/>
    <s v="PROD-6172"/>
    <x v="608"/>
    <n v="7"/>
    <n v="0"/>
    <n v="233.2"/>
    <s v="OK"/>
  </r>
  <r>
    <s v="ORD-1415"/>
    <x v="453"/>
    <d v="2023-07-12T00:00:00"/>
    <s v="First Class"/>
    <x v="163"/>
    <x v="163"/>
    <s v="Consumer"/>
    <s v="Dallas"/>
    <s v="Texas"/>
    <x v="0"/>
    <x v="2"/>
    <x v="12"/>
    <s v="PROD-9582"/>
    <x v="609"/>
    <n v="2"/>
    <n v="0"/>
    <n v="95.7"/>
    <s v="OK"/>
  </r>
  <r>
    <s v="ORD-1456"/>
    <x v="454"/>
    <d v="2023-07-13T00:00:00"/>
    <s v="Same Day"/>
    <x v="3"/>
    <x v="3"/>
    <s v="Corporate"/>
    <s v="Saint Paul"/>
    <s v="Minnesota"/>
    <x v="2"/>
    <x v="1"/>
    <x v="8"/>
    <s v="PROD-4698"/>
    <x v="610"/>
    <n v="8"/>
    <n v="0.4"/>
    <n v="-32.06"/>
    <s v="OK"/>
  </r>
  <r>
    <s v="ORD-1065"/>
    <x v="455"/>
    <d v="2023-07-16T00:00:00"/>
    <s v="First Class"/>
    <x v="111"/>
    <x v="111"/>
    <s v="Consumer"/>
    <s v="Montgomery"/>
    <s v="Alabama"/>
    <x v="0"/>
    <x v="1"/>
    <x v="1"/>
    <s v="PROD-2946"/>
    <x v="611"/>
    <n v="5"/>
    <n v="0"/>
    <n v="2200.91"/>
    <s v="OK"/>
  </r>
  <r>
    <s v="ORD-1898"/>
    <x v="456"/>
    <d v="2023-07-16T00:00:00"/>
    <s v="Second Class"/>
    <x v="23"/>
    <x v="23"/>
    <s v="Home Office"/>
    <s v="Savannah"/>
    <s v="Georgia"/>
    <x v="0"/>
    <x v="0"/>
    <x v="0"/>
    <s v="PROD-5894"/>
    <x v="612"/>
    <n v="7"/>
    <n v="0.15"/>
    <n v="325.49"/>
    <s v="OK"/>
  </r>
  <r>
    <s v="ORD-1512"/>
    <x v="457"/>
    <d v="2023-07-19T00:00:00"/>
    <s v="First Class"/>
    <x v="87"/>
    <x v="87"/>
    <s v="Corporate"/>
    <s v="Savannah"/>
    <s v="Georgia"/>
    <x v="0"/>
    <x v="1"/>
    <x v="2"/>
    <s v="PROD-2075"/>
    <x v="613"/>
    <n v="9"/>
    <n v="0.4"/>
    <n v="-57.14"/>
    <s v="OK"/>
  </r>
  <r>
    <s v="ORD-1922"/>
    <x v="458"/>
    <d v="2023-07-20T00:00:00"/>
    <s v="Second Class"/>
    <x v="150"/>
    <x v="150"/>
    <s v="Consumer"/>
    <s v="Atlanta"/>
    <s v="Georgia"/>
    <x v="0"/>
    <x v="0"/>
    <x v="7"/>
    <s v="PROD-4079"/>
    <x v="614"/>
    <n v="4"/>
    <n v="0.15"/>
    <n v="644.6"/>
    <s v="OK"/>
  </r>
  <r>
    <s v="ORD-1188"/>
    <x v="458"/>
    <d v="2023-07-19T00:00:00"/>
    <s v="Second Class"/>
    <x v="173"/>
    <x v="172"/>
    <s v="Home Office"/>
    <s v="Minneapolis"/>
    <s v="Minnesota"/>
    <x v="2"/>
    <x v="1"/>
    <x v="9"/>
    <s v="PROD-8570"/>
    <x v="615"/>
    <n v="3"/>
    <n v="0"/>
    <n v="241.79"/>
    <s v="OK"/>
  </r>
  <r>
    <s v="ORD-1275"/>
    <x v="458"/>
    <d v="2023-07-23T00:00:00"/>
    <s v="Standard Class"/>
    <x v="138"/>
    <x v="138"/>
    <s v="Consumer"/>
    <s v="Reno"/>
    <s v="Nevada"/>
    <x v="3"/>
    <x v="0"/>
    <x v="6"/>
    <s v="PROD-4675"/>
    <x v="616"/>
    <n v="9"/>
    <n v="0"/>
    <n v="150.35"/>
    <s v="OK"/>
  </r>
  <r>
    <s v="ORD-1924"/>
    <x v="459"/>
    <d v="2023-07-20T00:00:00"/>
    <s v="First Class"/>
    <x v="41"/>
    <x v="41"/>
    <s v="Home Office"/>
    <s v="Jersey City"/>
    <s v="New Jersey"/>
    <x v="1"/>
    <x v="0"/>
    <x v="3"/>
    <s v="PROD-2938"/>
    <x v="617"/>
    <n v="1"/>
    <n v="0.3"/>
    <n v="-56.39"/>
    <s v="OK"/>
  </r>
  <r>
    <s v="ORD-1090"/>
    <x v="460"/>
    <d v="2023-07-23T00:00:00"/>
    <s v="Second Class"/>
    <x v="178"/>
    <x v="177"/>
    <s v="Corporate"/>
    <s v="Las Vegas"/>
    <s v="Nevada"/>
    <x v="3"/>
    <x v="1"/>
    <x v="8"/>
    <s v="PROD-7806"/>
    <x v="618"/>
    <n v="9"/>
    <n v="0.3"/>
    <n v="27.56"/>
    <s v="OK"/>
  </r>
  <r>
    <s v="ORD-1414"/>
    <x v="461"/>
    <d v="2023-07-23T00:00:00"/>
    <s v="Second Class"/>
    <x v="31"/>
    <x v="31"/>
    <s v="Corporate"/>
    <s v="Madison"/>
    <s v="Wisconsin"/>
    <x v="2"/>
    <x v="0"/>
    <x v="0"/>
    <s v="PROD-2477"/>
    <x v="619"/>
    <n v="6"/>
    <n v="0.3"/>
    <n v="89.46"/>
    <s v="OK"/>
  </r>
  <r>
    <s v="ORD-1553"/>
    <x v="462"/>
    <d v="2023-07-26T00:00:00"/>
    <s v="Standard Class"/>
    <x v="147"/>
    <x v="147"/>
    <s v="Consumer"/>
    <s v="Saint Paul"/>
    <s v="Minnesota"/>
    <x v="2"/>
    <x v="1"/>
    <x v="8"/>
    <s v="PROD-5107"/>
    <x v="620"/>
    <n v="9"/>
    <n v="0.1"/>
    <n v="2393.13"/>
    <s v="OK"/>
  </r>
  <r>
    <s v="ORD-1087"/>
    <x v="462"/>
    <d v="2023-07-24T00:00:00"/>
    <s v="First Class"/>
    <x v="15"/>
    <x v="15"/>
    <s v="Corporate"/>
    <s v="Springfield"/>
    <s v="Illinois"/>
    <x v="2"/>
    <x v="2"/>
    <x v="13"/>
    <s v="PROD-9998"/>
    <x v="621"/>
    <n v="4"/>
    <n v="0"/>
    <n v="46"/>
    <s v="OK"/>
  </r>
  <r>
    <s v="ORD-1498"/>
    <x v="462"/>
    <d v="2023-07-25T00:00:00"/>
    <s v="Second Class"/>
    <x v="93"/>
    <x v="93"/>
    <s v="Consumer"/>
    <s v="Austin"/>
    <s v="Texas"/>
    <x v="0"/>
    <x v="2"/>
    <x v="5"/>
    <s v="PROD-7119"/>
    <x v="622"/>
    <n v="3"/>
    <n v="0.05"/>
    <n v="204.36"/>
    <s v="OK"/>
  </r>
  <r>
    <s v="ORD-1244"/>
    <x v="463"/>
    <d v="2023-07-26T00:00:00"/>
    <s v="First Class"/>
    <x v="159"/>
    <x v="159"/>
    <s v="Corporate"/>
    <s v="Boulder"/>
    <s v="Colorado"/>
    <x v="3"/>
    <x v="1"/>
    <x v="9"/>
    <s v="PROD-3192"/>
    <x v="623"/>
    <n v="1"/>
    <n v="0.1"/>
    <n v="12.96"/>
    <s v="OK"/>
  </r>
  <r>
    <s v="ORD-1226"/>
    <x v="464"/>
    <d v="2023-07-30T00:00:00"/>
    <s v="Standard Class"/>
    <x v="191"/>
    <x v="191"/>
    <s v="Home Office"/>
    <s v="Portland"/>
    <s v="Oregon"/>
    <x v="3"/>
    <x v="0"/>
    <x v="7"/>
    <s v="PROD-4262"/>
    <x v="624"/>
    <n v="4"/>
    <n v="0"/>
    <n v="320.01"/>
    <s v="OK"/>
  </r>
  <r>
    <s v="ORD-1956"/>
    <x v="465"/>
    <d v="2023-08-02T00:00:00"/>
    <s v="Standard Class"/>
    <x v="17"/>
    <x v="17"/>
    <s v="Home Office"/>
    <s v="Columbus"/>
    <s v="Ohio"/>
    <x v="2"/>
    <x v="2"/>
    <x v="10"/>
    <s v="PROD-7380"/>
    <x v="625"/>
    <n v="7"/>
    <n v="0"/>
    <n v="108.34"/>
    <s v="OK"/>
  </r>
  <r>
    <s v="ORD-1834"/>
    <x v="466"/>
    <d v="2023-08-02T00:00:00"/>
    <s v="Second Class"/>
    <x v="22"/>
    <x v="22"/>
    <s v="Corporate"/>
    <s v="Indianapolis"/>
    <s v="Indiana"/>
    <x v="2"/>
    <x v="1"/>
    <x v="8"/>
    <s v="PROD-4094"/>
    <x v="626"/>
    <n v="8"/>
    <n v="0"/>
    <n v="955.73"/>
    <s v="OK"/>
  </r>
  <r>
    <s v="ORD-1157"/>
    <x v="467"/>
    <d v="2023-08-05T00:00:00"/>
    <s v="Standard Class"/>
    <x v="25"/>
    <x v="25"/>
    <s v="Home Office"/>
    <s v="Hartford"/>
    <s v="Connecticut"/>
    <x v="1"/>
    <x v="0"/>
    <x v="3"/>
    <s v="PROD-3588"/>
    <x v="627"/>
    <n v="1"/>
    <n v="0"/>
    <n v="119.87"/>
    <s v="OK"/>
  </r>
  <r>
    <s v="ORD-1945"/>
    <x v="468"/>
    <d v="2023-08-07T00:00:00"/>
    <s v="Second Class"/>
    <x v="28"/>
    <x v="28"/>
    <s v="Corporate"/>
    <s v="Pittsburgh"/>
    <s v="Pennsylvania"/>
    <x v="1"/>
    <x v="0"/>
    <x v="6"/>
    <s v="PROD-8158"/>
    <x v="628"/>
    <n v="5"/>
    <n v="0.5"/>
    <n v="-84.37"/>
    <s v="OK"/>
  </r>
  <r>
    <s v="ORD-1131"/>
    <x v="469"/>
    <d v="2023-08-08T00:00:00"/>
    <s v="Second Class"/>
    <x v="188"/>
    <x v="188"/>
    <s v="Corporate"/>
    <s v="San Francisco"/>
    <s v="California"/>
    <x v="3"/>
    <x v="1"/>
    <x v="1"/>
    <s v="PROD-5773"/>
    <x v="629"/>
    <n v="9"/>
    <n v="0"/>
    <n v="4509.18"/>
    <s v="OK"/>
  </r>
  <r>
    <s v="ORD-1139"/>
    <x v="470"/>
    <d v="2023-08-09T00:00:00"/>
    <s v="Second Class"/>
    <x v="187"/>
    <x v="187"/>
    <s v="Consumer"/>
    <s v="Newark"/>
    <s v="New Jersey"/>
    <x v="1"/>
    <x v="0"/>
    <x v="0"/>
    <s v="PROD-4022"/>
    <x v="630"/>
    <n v="6"/>
    <n v="0.4"/>
    <n v="-229.57"/>
    <s v="OK"/>
  </r>
  <r>
    <s v="ORD-1413"/>
    <x v="471"/>
    <d v="2023-08-09T00:00:00"/>
    <s v="Same Day"/>
    <x v="77"/>
    <x v="77"/>
    <s v="Consumer"/>
    <s v="Detroit"/>
    <s v="Michigan"/>
    <x v="2"/>
    <x v="0"/>
    <x v="3"/>
    <s v="PROD-9202"/>
    <x v="631"/>
    <n v="1"/>
    <n v="0.4"/>
    <n v="-122.34"/>
    <s v="OK"/>
  </r>
  <r>
    <s v="ORD-1699"/>
    <x v="472"/>
    <d v="2023-08-13T00:00:00"/>
    <s v="Second Class"/>
    <x v="192"/>
    <x v="192"/>
    <s v="Consumer"/>
    <s v="Madison"/>
    <s v="Wisconsin"/>
    <x v="2"/>
    <x v="1"/>
    <x v="8"/>
    <s v="PROD-7125"/>
    <x v="632"/>
    <n v="9"/>
    <n v="0.15"/>
    <n v="1260.8499999999999"/>
    <s v="OK"/>
  </r>
  <r>
    <s v="ORD-1600"/>
    <x v="473"/>
    <d v="2023-08-16T00:00:00"/>
    <s v="Same Day"/>
    <x v="161"/>
    <x v="161"/>
    <s v="Consumer"/>
    <s v="Milwaukee"/>
    <s v="Wisconsin"/>
    <x v="2"/>
    <x v="0"/>
    <x v="0"/>
    <s v="PROD-9108"/>
    <x v="633"/>
    <n v="8"/>
    <n v="0.1"/>
    <n v="281.97000000000003"/>
    <s v="OK"/>
  </r>
  <r>
    <s v="ORD-1611"/>
    <x v="474"/>
    <d v="2023-08-18T00:00:00"/>
    <s v="Same Day"/>
    <x v="120"/>
    <x v="120"/>
    <s v="Corporate"/>
    <s v="San Diego"/>
    <s v="California"/>
    <x v="3"/>
    <x v="1"/>
    <x v="1"/>
    <s v="PROD-8825"/>
    <x v="634"/>
    <n v="9"/>
    <n v="0.4"/>
    <n v="-2811.03"/>
    <s v="OK"/>
  </r>
  <r>
    <s v="ORD-1708"/>
    <x v="475"/>
    <d v="2023-08-20T00:00:00"/>
    <s v="Same Day"/>
    <x v="108"/>
    <x v="108"/>
    <s v="Home Office"/>
    <s v="New York City"/>
    <s v="New York"/>
    <x v="1"/>
    <x v="1"/>
    <x v="1"/>
    <s v="PROD-2406"/>
    <x v="635"/>
    <n v="9"/>
    <n v="0.5"/>
    <n v="-5471.12"/>
    <s v="OK"/>
  </r>
  <r>
    <s v="ORD-1798"/>
    <x v="475"/>
    <d v="2023-08-21T00:00:00"/>
    <s v="First Class"/>
    <x v="54"/>
    <x v="54"/>
    <s v="Home Office"/>
    <s v="Bridgeport"/>
    <s v="Connecticut"/>
    <x v="1"/>
    <x v="0"/>
    <x v="3"/>
    <s v="PROD-8008"/>
    <x v="636"/>
    <n v="3"/>
    <n v="0.3"/>
    <n v="-554.57000000000005"/>
    <s v="OK"/>
  </r>
  <r>
    <s v="ORD-1542"/>
    <x v="476"/>
    <d v="2023-08-25T00:00:00"/>
    <s v="Standard Class"/>
    <x v="51"/>
    <x v="51"/>
    <s v="Home Office"/>
    <s v="Richmond"/>
    <s v="Virginia"/>
    <x v="1"/>
    <x v="2"/>
    <x v="5"/>
    <s v="PROD-1709"/>
    <x v="637"/>
    <n v="1"/>
    <n v="0.4"/>
    <n v="0.37"/>
    <s v="OK"/>
  </r>
  <r>
    <s v="ORD-1620"/>
    <x v="477"/>
    <d v="2023-08-30T00:00:00"/>
    <s v="Standard Class"/>
    <x v="32"/>
    <x v="32"/>
    <s v="Corporate"/>
    <s v="Birmingham"/>
    <s v="Alabama"/>
    <x v="0"/>
    <x v="0"/>
    <x v="7"/>
    <s v="PROD-4975"/>
    <x v="638"/>
    <n v="3"/>
    <n v="0.3"/>
    <n v="-14.5"/>
    <s v="OK"/>
  </r>
  <r>
    <s v="ORD-1078"/>
    <x v="478"/>
    <d v="2023-09-02T00:00:00"/>
    <s v="Standard Class"/>
    <x v="48"/>
    <x v="48"/>
    <s v="Home Office"/>
    <s v="Boston"/>
    <s v="Massachusetts"/>
    <x v="1"/>
    <x v="1"/>
    <x v="1"/>
    <s v="PROD-3252"/>
    <x v="639"/>
    <n v="1"/>
    <n v="0"/>
    <n v="702"/>
    <s v="OK"/>
  </r>
  <r>
    <s v="ORD-1078"/>
    <x v="478"/>
    <d v="2023-09-02T00:00:00"/>
    <s v="Standard Class"/>
    <x v="48"/>
    <x v="48"/>
    <s v="Home Office"/>
    <s v="Boston"/>
    <s v="Massachusetts"/>
    <x v="1"/>
    <x v="1"/>
    <x v="1"/>
    <s v="PROD-3252"/>
    <x v="639"/>
    <n v="1"/>
    <n v="0"/>
    <n v="702"/>
    <s v="OK"/>
  </r>
  <r>
    <s v="ORD-1461"/>
    <x v="479"/>
    <d v="2023-09-02T00:00:00"/>
    <s v="Second Class"/>
    <x v="192"/>
    <x v="192"/>
    <s v="Consumer"/>
    <s v="Madison"/>
    <s v="Wisconsin"/>
    <x v="2"/>
    <x v="0"/>
    <x v="6"/>
    <s v="PROD-1845"/>
    <x v="640"/>
    <n v="10"/>
    <n v="0.1"/>
    <n v="429.8"/>
    <s v="OK"/>
  </r>
  <r>
    <s v="ORD-1101"/>
    <x v="479"/>
    <d v="2023-08-31T00:00:00"/>
    <s v="Second Class"/>
    <x v="153"/>
    <x v="153"/>
    <s v="Consumer"/>
    <s v="Springfield"/>
    <s v="Illinois"/>
    <x v="2"/>
    <x v="2"/>
    <x v="16"/>
    <s v="PROD-5927"/>
    <x v="641"/>
    <n v="7"/>
    <n v="0"/>
    <n v="52.05"/>
    <s v="OK"/>
  </r>
  <r>
    <s v="ORD-1349"/>
    <x v="479"/>
    <d v="2023-09-02T00:00:00"/>
    <s v="Standard Class"/>
    <x v="102"/>
    <x v="102"/>
    <s v="Consumer"/>
    <s v="Charlotte"/>
    <s v="North Carolina"/>
    <x v="0"/>
    <x v="2"/>
    <x v="10"/>
    <s v="PROD-7504"/>
    <x v="642"/>
    <n v="7"/>
    <n v="0"/>
    <n v="54.04"/>
    <s v="OK"/>
  </r>
  <r>
    <s v="ORD-1216"/>
    <x v="480"/>
    <d v="2023-09-04T00:00:00"/>
    <s v="Second Class"/>
    <x v="28"/>
    <x v="28"/>
    <s v="Corporate"/>
    <s v="Pittsburgh"/>
    <s v="Pennsylvania"/>
    <x v="1"/>
    <x v="0"/>
    <x v="3"/>
    <s v="PROD-5896"/>
    <x v="643"/>
    <n v="7"/>
    <n v="0.4"/>
    <n v="-1743.04"/>
    <s v="OK"/>
  </r>
  <r>
    <s v="ORD-1235"/>
    <x v="481"/>
    <d v="2023-09-06T00:00:00"/>
    <s v="First Class"/>
    <x v="93"/>
    <x v="93"/>
    <s v="Consumer"/>
    <s v="Austin"/>
    <s v="Texas"/>
    <x v="0"/>
    <x v="1"/>
    <x v="1"/>
    <s v="PROD-5918"/>
    <x v="644"/>
    <n v="4"/>
    <n v="1.37"/>
    <n v="-1080.78"/>
    <s v="OK"/>
  </r>
  <r>
    <s v="ORD-1873"/>
    <x v="482"/>
    <d v="2023-09-09T00:00:00"/>
    <s v="Standard Class"/>
    <x v="139"/>
    <x v="139"/>
    <s v="Corporate"/>
    <s v="Montgomery"/>
    <s v="Alabama"/>
    <x v="0"/>
    <x v="2"/>
    <x v="10"/>
    <s v="PROD-8447"/>
    <x v="645"/>
    <n v="10"/>
    <n v="0.3"/>
    <n v="41.33"/>
    <s v="OK"/>
  </r>
  <r>
    <s v="ORD-1137"/>
    <x v="482"/>
    <d v="2023-09-09T00:00:00"/>
    <s v="Standard Class"/>
    <x v="78"/>
    <x v="78"/>
    <s v="Home Office"/>
    <s v="Spokane"/>
    <s v="Washington"/>
    <x v="3"/>
    <x v="2"/>
    <x v="13"/>
    <s v="PROD-8412"/>
    <x v="646"/>
    <n v="4"/>
    <n v="0.4"/>
    <n v="4.07"/>
    <s v="OK"/>
  </r>
  <r>
    <s v="ORD-1407"/>
    <x v="483"/>
    <d v="2023-09-09T00:00:00"/>
    <s v="Second Class"/>
    <x v="55"/>
    <x v="55"/>
    <s v="Home Office"/>
    <s v="Springfield"/>
    <s v="Illinois"/>
    <x v="2"/>
    <x v="0"/>
    <x v="0"/>
    <s v="PROD-8680"/>
    <x v="647"/>
    <n v="6"/>
    <n v="0"/>
    <n v="641.83000000000004"/>
    <s v="OK"/>
  </r>
  <r>
    <s v="ORD-1084"/>
    <x v="484"/>
    <d v="2023-09-07T00:00:00"/>
    <s v="First Class"/>
    <x v="47"/>
    <x v="47"/>
    <s v="Home Office"/>
    <s v="Raleigh"/>
    <s v="North Carolina"/>
    <x v="0"/>
    <x v="1"/>
    <x v="9"/>
    <s v="PROD-1111"/>
    <x v="648"/>
    <n v="2"/>
    <n v="0"/>
    <n v="76.33"/>
    <s v="OK"/>
  </r>
  <r>
    <s v="ORD-1105"/>
    <x v="485"/>
    <d v="2023-09-13T00:00:00"/>
    <s v="Second Class"/>
    <x v="10"/>
    <x v="10"/>
    <s v="Corporate"/>
    <s v="Tampa"/>
    <s v="Florida"/>
    <x v="0"/>
    <x v="2"/>
    <x v="5"/>
    <s v="PROD-4350"/>
    <x v="649"/>
    <n v="4"/>
    <n v="0"/>
    <n v="116.58"/>
    <s v="OK"/>
  </r>
  <r>
    <s v="ORD-1522"/>
    <x v="485"/>
    <d v="2023-09-13T00:00:00"/>
    <s v="Standard Class"/>
    <x v="51"/>
    <x v="51"/>
    <s v="Home Office"/>
    <s v="Richmond"/>
    <s v="Virginia"/>
    <x v="1"/>
    <x v="1"/>
    <x v="1"/>
    <s v="PROD-2914"/>
    <x v="650"/>
    <n v="8"/>
    <n v="0.15"/>
    <n v="1817.85"/>
    <s v="OK"/>
  </r>
  <r>
    <s v="ORD-1817"/>
    <x v="486"/>
    <d v="2023-09-16T00:00:00"/>
    <s v="Standard Class"/>
    <x v="175"/>
    <x v="174"/>
    <s v="Corporate"/>
    <s v="Miami"/>
    <s v="Florida"/>
    <x v="0"/>
    <x v="2"/>
    <x v="14"/>
    <s v="PROD-7997"/>
    <x v="651"/>
    <n v="4"/>
    <n v="0.05"/>
    <n v="44.46"/>
    <s v="OK"/>
  </r>
  <r>
    <s v="ORD-1309"/>
    <x v="486"/>
    <d v="2023-09-14T00:00:00"/>
    <s v="Second Class"/>
    <x v="102"/>
    <x v="102"/>
    <s v="Consumer"/>
    <s v="Charlotte"/>
    <s v="North Carolina"/>
    <x v="0"/>
    <x v="0"/>
    <x v="3"/>
    <s v="PROD-3641"/>
    <x v="652"/>
    <n v="2"/>
    <n v="0.3"/>
    <n v="-341.57"/>
    <s v="OK"/>
  </r>
  <r>
    <s v="ORD-1029"/>
    <x v="487"/>
    <d v="2023-09-16T00:00:00"/>
    <s v="First Class"/>
    <x v="124"/>
    <x v="124"/>
    <s v="Consumer"/>
    <s v="Virginia Beach"/>
    <s v="Virginia"/>
    <x v="1"/>
    <x v="0"/>
    <x v="0"/>
    <s v="PROD-2680"/>
    <x v="653"/>
    <n v="3"/>
    <n v="0.1"/>
    <n v="370.45"/>
    <s v="OK"/>
  </r>
  <r>
    <s v="ORD-1364"/>
    <x v="488"/>
    <d v="2023-09-15T00:00:00"/>
    <s v="First Class"/>
    <x v="181"/>
    <x v="180"/>
    <s v="Home Office"/>
    <s v="Miami"/>
    <s v="Florida"/>
    <x v="0"/>
    <x v="0"/>
    <x v="7"/>
    <s v="PROD-6905"/>
    <x v="654"/>
    <n v="9"/>
    <n v="0.4"/>
    <n v="57.99"/>
    <s v="OK"/>
  </r>
  <r>
    <s v="ORD-1353"/>
    <x v="489"/>
    <d v="2023-09-17T00:00:00"/>
    <s v="Second Class"/>
    <x v="12"/>
    <x v="12"/>
    <s v="Consumer"/>
    <s v="Tucson"/>
    <s v="Arizona"/>
    <x v="3"/>
    <x v="1"/>
    <x v="8"/>
    <s v="PROD-8239"/>
    <x v="655"/>
    <n v="9"/>
    <n v="0.1"/>
    <n v="836.31"/>
    <s v="OK"/>
  </r>
  <r>
    <s v="ORD-1743"/>
    <x v="490"/>
    <d v="2023-09-21T00:00:00"/>
    <s v="Standard Class"/>
    <x v="193"/>
    <x v="193"/>
    <s v="Consumer"/>
    <s v="Saint Paul"/>
    <s v="Minnesota"/>
    <x v="2"/>
    <x v="2"/>
    <x v="16"/>
    <s v="PROD-8002"/>
    <x v="656"/>
    <n v="7"/>
    <n v="0"/>
    <n v="134.79"/>
    <s v="OK"/>
  </r>
  <r>
    <s v="ORD-1303"/>
    <x v="491"/>
    <d v="2023-09-20T00:00:00"/>
    <s v="First Class"/>
    <x v="194"/>
    <x v="194"/>
    <s v="Corporate"/>
    <s v="Tucson"/>
    <s v="Arizona"/>
    <x v="3"/>
    <x v="0"/>
    <x v="0"/>
    <s v="PROD-4585"/>
    <x v="657"/>
    <n v="10"/>
    <n v="0"/>
    <n v="875.74"/>
    <s v="OK"/>
  </r>
  <r>
    <s v="ORD-1537"/>
    <x v="492"/>
    <d v="2023-09-23T00:00:00"/>
    <s v="Same Day"/>
    <x v="86"/>
    <x v="86"/>
    <s v="Consumer"/>
    <s v="Worcester"/>
    <s v="Massachusetts"/>
    <x v="1"/>
    <x v="2"/>
    <x v="12"/>
    <s v="PROD-3671"/>
    <x v="658"/>
    <n v="9"/>
    <n v="0.1"/>
    <n v="10.57"/>
    <s v="OK"/>
  </r>
  <r>
    <s v="ORD-1007"/>
    <x v="493"/>
    <d v="2023-09-24T00:00:00"/>
    <s v="Same Day"/>
    <x v="14"/>
    <x v="14"/>
    <s v="Consumer"/>
    <s v="Raleigh"/>
    <s v="North Carolina"/>
    <x v="0"/>
    <x v="1"/>
    <x v="2"/>
    <s v="PROD-5475"/>
    <x v="659"/>
    <n v="5"/>
    <n v="0.3"/>
    <n v="51.14"/>
    <s v="OK"/>
  </r>
  <r>
    <s v="ORD-1342"/>
    <x v="494"/>
    <d v="2023-09-27T00:00:00"/>
    <s v="First Class"/>
    <x v="124"/>
    <x v="124"/>
    <s v="Consumer"/>
    <s v="Virginia Beach"/>
    <s v="Virginia"/>
    <x v="1"/>
    <x v="2"/>
    <x v="12"/>
    <s v="PROD-1781"/>
    <x v="660"/>
    <n v="9"/>
    <n v="0.4"/>
    <n v="-74.31"/>
    <s v="OK"/>
  </r>
  <r>
    <s v="ORD-1629"/>
    <x v="494"/>
    <d v="2023-09-27T00:00:00"/>
    <s v="First Class"/>
    <x v="152"/>
    <x v="152"/>
    <s v="Corporate"/>
    <s v="Memphis"/>
    <s v="Tennessee"/>
    <x v="0"/>
    <x v="2"/>
    <x v="16"/>
    <s v="PROD-6820"/>
    <x v="661"/>
    <n v="4"/>
    <n v="0"/>
    <n v="26.56"/>
    <s v="OK"/>
  </r>
  <r>
    <s v="ORD-1202"/>
    <x v="495"/>
    <d v="2023-09-27T00:00:00"/>
    <s v="First Class"/>
    <x v="190"/>
    <x v="190"/>
    <s v="Home Office"/>
    <s v="Tucson"/>
    <s v="Arizona"/>
    <x v="3"/>
    <x v="2"/>
    <x v="13"/>
    <s v="PROD-6846"/>
    <x v="662"/>
    <n v="3"/>
    <n v="0.2"/>
    <n v="4.3899999999999997"/>
    <s v="OK"/>
  </r>
  <r>
    <s v="ORD-1227"/>
    <x v="496"/>
    <d v="2023-09-30T00:00:00"/>
    <s v="Same Day"/>
    <x v="128"/>
    <x v="128"/>
    <s v="Corporate"/>
    <s v="Nashville"/>
    <s v="Tennessee"/>
    <x v="0"/>
    <x v="2"/>
    <x v="4"/>
    <s v="PROD-8775"/>
    <x v="663"/>
    <n v="2"/>
    <n v="0"/>
    <n v="124.4"/>
    <s v="OK"/>
  </r>
  <r>
    <s v="ORD-1241"/>
    <x v="497"/>
    <d v="2023-10-05T00:00:00"/>
    <s v="Standard Class"/>
    <x v="119"/>
    <x v="119"/>
    <s v="Consumer"/>
    <s v="Houston"/>
    <s v="Texas"/>
    <x v="0"/>
    <x v="2"/>
    <x v="15"/>
    <s v="PROD-8105"/>
    <x v="664"/>
    <n v="3"/>
    <n v="0.5"/>
    <n v="-0.93"/>
    <s v="OK"/>
  </r>
  <r>
    <s v="ORD-1478"/>
    <x v="498"/>
    <d v="2023-10-04T00:00:00"/>
    <s v="Same Day"/>
    <x v="165"/>
    <x v="165"/>
    <s v="Consumer"/>
    <s v="Reno"/>
    <s v="Nevada"/>
    <x v="3"/>
    <x v="0"/>
    <x v="6"/>
    <s v="PROD-7617"/>
    <x v="665"/>
    <n v="10"/>
    <n v="0"/>
    <n v="577.54"/>
    <s v="OK"/>
  </r>
  <r>
    <s v="ORD-1223"/>
    <x v="499"/>
    <d v="2023-10-09T00:00:00"/>
    <s v="Standard Class"/>
    <x v="165"/>
    <x v="165"/>
    <s v="Consumer"/>
    <s v="Reno"/>
    <s v="Nevada"/>
    <x v="3"/>
    <x v="2"/>
    <x v="5"/>
    <s v="PROD-3201"/>
    <x v="666"/>
    <n v="5"/>
    <n v="0.1"/>
    <n v="185.27"/>
    <s v="OK"/>
  </r>
  <r>
    <s v="ORD-1583"/>
    <x v="499"/>
    <d v="2023-10-07T00:00:00"/>
    <s v="Same Day"/>
    <x v="143"/>
    <x v="143"/>
    <s v="Consumer"/>
    <s v="Newark"/>
    <s v="New Jersey"/>
    <x v="1"/>
    <x v="1"/>
    <x v="8"/>
    <s v="PROD-7765"/>
    <x v="667"/>
    <n v="5"/>
    <n v="0"/>
    <n v="1046.8599999999999"/>
    <s v="OK"/>
  </r>
  <r>
    <s v="ORD-1739"/>
    <x v="499"/>
    <d v="2023-10-09T00:00:00"/>
    <s v="Standard Class"/>
    <x v="88"/>
    <x v="88"/>
    <s v="Corporate"/>
    <s v="Denver"/>
    <s v="Colorado"/>
    <x v="3"/>
    <x v="2"/>
    <x v="14"/>
    <s v="PROD-1853"/>
    <x v="668"/>
    <n v="8"/>
    <n v="0"/>
    <n v="124.18"/>
    <s v="OK"/>
  </r>
  <r>
    <s v="ORD-1063"/>
    <x v="500"/>
    <d v="2023-10-13T00:00:00"/>
    <s v="Same Day"/>
    <x v="63"/>
    <x v="63"/>
    <s v="Corporate"/>
    <s v="Phoenix"/>
    <s v="Arizona"/>
    <x v="3"/>
    <x v="2"/>
    <x v="11"/>
    <s v="PROD-9793"/>
    <x v="669"/>
    <n v="6"/>
    <n v="0"/>
    <n v="27.52"/>
    <s v="OK"/>
  </r>
  <r>
    <s v="ORD-1148"/>
    <x v="501"/>
    <d v="2023-10-19T00:00:00"/>
    <s v="Standard Class"/>
    <x v="2"/>
    <x v="2"/>
    <s v="Consumer"/>
    <s v="Cleveland"/>
    <s v="Ohio"/>
    <x v="2"/>
    <x v="1"/>
    <x v="9"/>
    <s v="PROD-2871"/>
    <x v="670"/>
    <n v="8"/>
    <n v="0.5"/>
    <n v="-1250.02"/>
    <s v="OK"/>
  </r>
  <r>
    <s v="ORD-1950"/>
    <x v="501"/>
    <d v="2023-10-15T00:00:00"/>
    <s v="Second Class"/>
    <x v="183"/>
    <x v="182"/>
    <s v="Home Office"/>
    <s v="Columbus"/>
    <s v="Ohio"/>
    <x v="2"/>
    <x v="0"/>
    <x v="7"/>
    <s v="PROD-3535"/>
    <x v="671"/>
    <n v="9"/>
    <n v="0"/>
    <n v="1790.88"/>
    <s v="OK"/>
  </r>
  <r>
    <s v="ORD-1902"/>
    <x v="502"/>
    <d v="2023-10-16T00:00:00"/>
    <s v="Same Day"/>
    <x v="142"/>
    <x v="142"/>
    <s v="Consumer"/>
    <s v="Cleveland"/>
    <s v="Ohio"/>
    <x v="2"/>
    <x v="0"/>
    <x v="6"/>
    <s v="PROD-7552"/>
    <x v="672"/>
    <n v="5"/>
    <n v="0.3"/>
    <n v="-13.9"/>
    <s v="OK"/>
  </r>
  <r>
    <s v="ORD-1262"/>
    <x v="503"/>
    <d v="2023-10-21T00:00:00"/>
    <s v="Standard Class"/>
    <x v="169"/>
    <x v="168"/>
    <s v="Home Office"/>
    <s v="Salem"/>
    <s v="Oregon"/>
    <x v="3"/>
    <x v="2"/>
    <x v="10"/>
    <s v="PROD-7609"/>
    <x v="673"/>
    <n v="8"/>
    <n v="0.15"/>
    <n v="149.68"/>
    <s v="OK"/>
  </r>
  <r>
    <s v="ORD-1703"/>
    <x v="503"/>
    <d v="2023-10-19T00:00:00"/>
    <s v="First Class"/>
    <x v="37"/>
    <x v="37"/>
    <s v="Home Office"/>
    <s v="Fort Wayne"/>
    <s v="Indiana"/>
    <x v="2"/>
    <x v="2"/>
    <x v="16"/>
    <s v="PROD-7264"/>
    <x v="674"/>
    <n v="7"/>
    <n v="0.2"/>
    <n v="87.32"/>
    <s v="OK"/>
  </r>
  <r>
    <s v="ORD-1062"/>
    <x v="503"/>
    <d v="2023-10-21T00:00:00"/>
    <s v="Standard Class"/>
    <x v="85"/>
    <x v="85"/>
    <s v="Consumer"/>
    <s v="Cleveland"/>
    <s v="Ohio"/>
    <x v="2"/>
    <x v="0"/>
    <x v="3"/>
    <s v="PROD-7442"/>
    <x v="675"/>
    <n v="8"/>
    <n v="0.3"/>
    <n v="-1869.98"/>
    <s v="OK"/>
  </r>
  <r>
    <s v="ORD-1418"/>
    <x v="504"/>
    <d v="2023-10-26T00:00:00"/>
    <s v="Standard Class"/>
    <x v="45"/>
    <x v="45"/>
    <s v="Consumer"/>
    <s v="Las Vegas"/>
    <s v="Nevada"/>
    <x v="3"/>
    <x v="0"/>
    <x v="0"/>
    <s v="PROD-9084"/>
    <x v="676"/>
    <n v="5"/>
    <n v="0"/>
    <n v="74.430000000000007"/>
    <s v="OK"/>
  </r>
  <r>
    <s v="ORD-1751"/>
    <x v="505"/>
    <d v="2023-10-26T00:00:00"/>
    <s v="Same Day"/>
    <x v="127"/>
    <x v="127"/>
    <s v="Home Office"/>
    <s v="Saint Paul"/>
    <s v="Minnesota"/>
    <x v="2"/>
    <x v="0"/>
    <x v="3"/>
    <s v="PROD-6045"/>
    <x v="677"/>
    <n v="7"/>
    <n v="0.1"/>
    <n v="-49.99"/>
    <s v="OK"/>
  </r>
  <r>
    <s v="ORD-1864"/>
    <x v="506"/>
    <d v="2023-10-28T00:00:00"/>
    <s v="First Class"/>
    <x v="178"/>
    <x v="177"/>
    <s v="Corporate"/>
    <s v="Las Vegas"/>
    <s v="Nevada"/>
    <x v="3"/>
    <x v="0"/>
    <x v="0"/>
    <s v="PROD-3149"/>
    <x v="678"/>
    <n v="3"/>
    <n v="0"/>
    <n v="298.02999999999997"/>
    <s v="OK"/>
  </r>
  <r>
    <s v="ORD-1862"/>
    <x v="507"/>
    <d v="2023-11-05T00:00:00"/>
    <s v="Standard Class"/>
    <x v="126"/>
    <x v="126"/>
    <s v="Home Office"/>
    <s v="Virginia Beach"/>
    <s v="Virginia"/>
    <x v="1"/>
    <x v="2"/>
    <x v="13"/>
    <s v="PROD-3460"/>
    <x v="679"/>
    <n v="2"/>
    <n v="0.15"/>
    <n v="24.57"/>
    <s v="OK"/>
  </r>
  <r>
    <s v="ORD-1503"/>
    <x v="508"/>
    <d v="2023-11-05T00:00:00"/>
    <s v="Standard Class"/>
    <x v="169"/>
    <x v="168"/>
    <s v="Home Office"/>
    <s v="Salem"/>
    <s v="Oregon"/>
    <x v="3"/>
    <x v="0"/>
    <x v="3"/>
    <s v="PROD-9701"/>
    <x v="680"/>
    <n v="1"/>
    <n v="0.3"/>
    <n v="-209.86"/>
    <s v="OK"/>
  </r>
  <r>
    <s v="ORD-1786"/>
    <x v="509"/>
    <d v="2023-11-06T00:00:00"/>
    <s v="First Class"/>
    <x v="89"/>
    <x v="89"/>
    <s v="Home Office"/>
    <s v="Bridgeport"/>
    <s v="Connecticut"/>
    <x v="1"/>
    <x v="1"/>
    <x v="9"/>
    <s v="PROD-9919"/>
    <x v="681"/>
    <n v="1"/>
    <n v="1.43"/>
    <n v="212.56"/>
    <s v="OK"/>
  </r>
  <r>
    <s v="ORD-1584"/>
    <x v="509"/>
    <d v="2023-11-09T00:00:00"/>
    <s v="Standard Class"/>
    <x v="10"/>
    <x v="10"/>
    <s v="Corporate"/>
    <s v="Tampa"/>
    <s v="Florida"/>
    <x v="0"/>
    <x v="1"/>
    <x v="8"/>
    <s v="PROD-7895"/>
    <x v="682"/>
    <n v="2"/>
    <n v="0"/>
    <n v="491.1"/>
    <s v="OK"/>
  </r>
  <r>
    <s v="ORD-1133"/>
    <x v="510"/>
    <d v="2023-11-07T00:00:00"/>
    <s v="Same Day"/>
    <x v="195"/>
    <x v="195"/>
    <s v="Consumer"/>
    <s v="Nashville"/>
    <s v="Tennessee"/>
    <x v="0"/>
    <x v="0"/>
    <x v="3"/>
    <s v="PROD-1602"/>
    <x v="683"/>
    <n v="8"/>
    <n v="0.5"/>
    <n v="-2742.86"/>
    <s v="OK"/>
  </r>
  <r>
    <s v="ORD-1068"/>
    <x v="511"/>
    <d v="2023-11-08T00:00:00"/>
    <s v="Same Day"/>
    <x v="182"/>
    <x v="181"/>
    <s v="Home Office"/>
    <s v="Birmingham"/>
    <s v="Alabama"/>
    <x v="0"/>
    <x v="2"/>
    <x v="13"/>
    <s v="PROD-5911"/>
    <x v="684"/>
    <n v="10"/>
    <n v="0.1"/>
    <n v="27.4"/>
    <s v="OK"/>
  </r>
  <r>
    <s v="ORD-1017"/>
    <x v="512"/>
    <d v="2023-11-12T00:00:00"/>
    <s v="Standard Class"/>
    <x v="125"/>
    <x v="125"/>
    <s v="Consumer"/>
    <s v="Houston"/>
    <s v="Texas"/>
    <x v="0"/>
    <x v="2"/>
    <x v="4"/>
    <s v="PROD-8565"/>
    <x v="685"/>
    <n v="5"/>
    <n v="0.5"/>
    <n v="-76.989999999999995"/>
    <s v="OK"/>
  </r>
  <r>
    <s v="ORD-1642"/>
    <x v="512"/>
    <d v="2023-11-08T00:00:00"/>
    <s v="First Class"/>
    <x v="134"/>
    <x v="134"/>
    <s v="Consumer"/>
    <s v="Boulder"/>
    <s v="Colorado"/>
    <x v="3"/>
    <x v="2"/>
    <x v="14"/>
    <s v="PROD-1782"/>
    <x v="686"/>
    <n v="1"/>
    <n v="0.15"/>
    <n v="3.33"/>
    <s v="OK"/>
  </r>
  <r>
    <s v="ORD-1925"/>
    <x v="513"/>
    <d v="2023-11-09T00:00:00"/>
    <s v="First Class"/>
    <x v="160"/>
    <x v="160"/>
    <s v="Corporate"/>
    <s v="Virginia Beach"/>
    <s v="Virginia"/>
    <x v="1"/>
    <x v="0"/>
    <x v="6"/>
    <s v="PROD-8230"/>
    <x v="687"/>
    <n v="3"/>
    <n v="0.2"/>
    <n v="33.01"/>
    <s v="OK"/>
  </r>
  <r>
    <s v="ORD-1263"/>
    <x v="514"/>
    <d v="2023-11-13T00:00:00"/>
    <s v="Second Class"/>
    <x v="184"/>
    <x v="184"/>
    <s v="Home Office"/>
    <s v="Minneapolis"/>
    <s v="Minnesota"/>
    <x v="2"/>
    <x v="0"/>
    <x v="7"/>
    <s v="PROD-8474"/>
    <x v="688"/>
    <n v="10"/>
    <n v="0.5"/>
    <n v="-1160.44"/>
    <s v="OK"/>
  </r>
  <r>
    <s v="ORD-1685"/>
    <x v="515"/>
    <d v="2023-11-12T00:00:00"/>
    <s v="First Class"/>
    <x v="168"/>
    <x v="167"/>
    <s v="Consumer"/>
    <s v="Boulder"/>
    <s v="Colorado"/>
    <x v="3"/>
    <x v="1"/>
    <x v="2"/>
    <s v="PROD-7897"/>
    <x v="689"/>
    <n v="4"/>
    <n v="0.5"/>
    <n v="-19.7"/>
    <s v="OK"/>
  </r>
  <r>
    <s v="ORD-1781"/>
    <x v="516"/>
    <d v="2023-11-13T00:00:00"/>
    <s v="Second Class"/>
    <x v="104"/>
    <x v="104"/>
    <s v="Corporate"/>
    <s v="Charlotte"/>
    <s v="North Carolina"/>
    <x v="0"/>
    <x v="0"/>
    <x v="7"/>
    <s v="PROD-8856"/>
    <x v="690"/>
    <n v="2"/>
    <n v="0.3"/>
    <n v="8.98"/>
    <s v="OK"/>
  </r>
  <r>
    <s v="ORD-1451"/>
    <x v="517"/>
    <d v="2023-11-13T00:00:00"/>
    <s v="Same Day"/>
    <x v="170"/>
    <x v="151"/>
    <s v="Corporate"/>
    <s v="Atlanta"/>
    <s v="Georgia"/>
    <x v="0"/>
    <x v="1"/>
    <x v="9"/>
    <s v="PROD-5819"/>
    <x v="691"/>
    <n v="10"/>
    <n v="0"/>
    <n v="3610.51"/>
    <s v="OK"/>
  </r>
  <r>
    <s v="ORD-1345"/>
    <x v="517"/>
    <d v="2023-11-15T00:00:00"/>
    <s v="Same Day"/>
    <x v="25"/>
    <x v="25"/>
    <s v="Home Office"/>
    <s v="Hartford"/>
    <s v="Connecticut"/>
    <x v="1"/>
    <x v="1"/>
    <x v="1"/>
    <s v="PROD-8322"/>
    <x v="692"/>
    <n v="5"/>
    <n v="0.15"/>
    <n v="2510.87"/>
    <s v="OK"/>
  </r>
  <r>
    <s v="ORD-1174"/>
    <x v="518"/>
    <d v="2023-11-15T00:00:00"/>
    <s v="First Class"/>
    <x v="100"/>
    <x v="100"/>
    <s v="Corporate"/>
    <s v="Saint Paul"/>
    <s v="Minnesota"/>
    <x v="2"/>
    <x v="1"/>
    <x v="2"/>
    <s v="PROD-9185"/>
    <x v="693"/>
    <n v="10"/>
    <n v="0"/>
    <n v="240.21"/>
    <s v="OK"/>
  </r>
  <r>
    <s v="ORD-1900"/>
    <x v="519"/>
    <d v="2023-11-18T00:00:00"/>
    <s v="Second Class"/>
    <x v="187"/>
    <x v="187"/>
    <s v="Consumer"/>
    <s v="Newark"/>
    <s v="New Jersey"/>
    <x v="1"/>
    <x v="2"/>
    <x v="10"/>
    <s v="PROD-6978"/>
    <x v="694"/>
    <n v="1"/>
    <n v="0.4"/>
    <n v="1.76"/>
    <s v="OK"/>
  </r>
  <r>
    <s v="ORD-1869"/>
    <x v="520"/>
    <d v="2023-11-19T00:00:00"/>
    <s v="First Class"/>
    <x v="107"/>
    <x v="107"/>
    <s v="Home Office"/>
    <s v="Detroit"/>
    <s v="Michigan"/>
    <x v="2"/>
    <x v="2"/>
    <x v="15"/>
    <s v="PROD-2367"/>
    <x v="695"/>
    <n v="10"/>
    <n v="0"/>
    <n v="42.19"/>
    <s v="OK"/>
  </r>
  <r>
    <s v="ORD-1707"/>
    <x v="520"/>
    <d v="2023-11-20T00:00:00"/>
    <s v="Second Class"/>
    <x v="20"/>
    <x v="20"/>
    <s v="Home Office"/>
    <s v="Fort Wayne"/>
    <s v="Indiana"/>
    <x v="2"/>
    <x v="2"/>
    <x v="16"/>
    <s v="PROD-4728"/>
    <x v="696"/>
    <n v="10"/>
    <n v="0"/>
    <n v="383.1"/>
    <s v="OK"/>
  </r>
  <r>
    <s v="ORD-1030"/>
    <x v="521"/>
    <d v="2023-11-22T00:00:00"/>
    <s v="Second Class"/>
    <x v="137"/>
    <x v="137"/>
    <s v="Consumer"/>
    <s v="Philadelphia"/>
    <s v="Pennsylvania"/>
    <x v="1"/>
    <x v="1"/>
    <x v="2"/>
    <s v="PROD-2502"/>
    <x v="697"/>
    <n v="3"/>
    <n v="0.1"/>
    <n v="59.3"/>
    <s v="OK"/>
  </r>
  <r>
    <s v="ORD-1826"/>
    <x v="521"/>
    <d v="2023-11-23T00:00:00"/>
    <s v="Standard Class"/>
    <x v="65"/>
    <x v="65"/>
    <s v="Consumer"/>
    <s v="Charlotte"/>
    <s v="North Carolina"/>
    <x v="0"/>
    <x v="0"/>
    <x v="0"/>
    <s v="PROD-8172"/>
    <x v="698"/>
    <n v="7"/>
    <n v="0.3"/>
    <n v="-158.65"/>
    <s v="OK"/>
  </r>
  <r>
    <s v="ORD-1152"/>
    <x v="522"/>
    <d v="2023-11-25T00:00:00"/>
    <s v="Standard Class"/>
    <x v="55"/>
    <x v="55"/>
    <s v="Home Office"/>
    <s v="Springfield"/>
    <s v="Illinois"/>
    <x v="2"/>
    <x v="1"/>
    <x v="1"/>
    <s v="PROD-7743"/>
    <x v="699"/>
    <n v="5"/>
    <n v="0.1"/>
    <n v="1036"/>
    <s v="OK"/>
  </r>
  <r>
    <s v="ORD-1807"/>
    <x v="522"/>
    <d v="2023-11-24T00:00:00"/>
    <s v="Second Class"/>
    <x v="139"/>
    <x v="139"/>
    <s v="Corporate"/>
    <s v="Montgomery"/>
    <s v="Alabama"/>
    <x v="0"/>
    <x v="2"/>
    <x v="5"/>
    <s v="PROD-3029"/>
    <x v="700"/>
    <n v="8"/>
    <n v="0.05"/>
    <n v="182.57"/>
    <s v="OK"/>
  </r>
  <r>
    <s v="ORD-1635"/>
    <x v="523"/>
    <d v="2023-11-26T00:00:00"/>
    <s v="First Class"/>
    <x v="124"/>
    <x v="124"/>
    <s v="Consumer"/>
    <s v="Virginia Beach"/>
    <s v="Virginia"/>
    <x v="1"/>
    <x v="0"/>
    <x v="0"/>
    <s v="PROD-8251"/>
    <x v="701"/>
    <n v="7"/>
    <n v="0.2"/>
    <n v="56.05"/>
    <s v="OK"/>
  </r>
  <r>
    <s v="ORD-1644"/>
    <x v="523"/>
    <d v="2023-11-28T00:00:00"/>
    <s v="Second Class"/>
    <x v="20"/>
    <x v="20"/>
    <s v="Home Office"/>
    <s v="Fort Wayne"/>
    <s v="Indiana"/>
    <x v="2"/>
    <x v="1"/>
    <x v="1"/>
    <s v="PROD-8443"/>
    <x v="702"/>
    <n v="9"/>
    <n v="0.05"/>
    <n v="6970.65"/>
    <s v="OK"/>
  </r>
  <r>
    <s v="ORD-1435"/>
    <x v="523"/>
    <d v="2023-11-27T00:00:00"/>
    <s v="Second Class"/>
    <x v="171"/>
    <x v="170"/>
    <s v="Consumer"/>
    <s v="Buffalo"/>
    <s v="New York"/>
    <x v="1"/>
    <x v="1"/>
    <x v="9"/>
    <s v="PROD-1598"/>
    <x v="703"/>
    <n v="3"/>
    <n v="0"/>
    <n v="705.8"/>
    <s v="OK"/>
  </r>
  <r>
    <s v="ORD-1233"/>
    <x v="524"/>
    <d v="2023-11-29T00:00:00"/>
    <s v="Second Class"/>
    <x v="128"/>
    <x v="128"/>
    <s v="Corporate"/>
    <s v="Nashville"/>
    <s v="Tennessee"/>
    <x v="0"/>
    <x v="1"/>
    <x v="9"/>
    <s v="PROD-7620"/>
    <x v="704"/>
    <n v="5"/>
    <n v="0.1"/>
    <n v="1306.6199999999999"/>
    <s v="OK"/>
  </r>
  <r>
    <s v="ORD-1968"/>
    <x v="524"/>
    <d v="2023-11-28T00:00:00"/>
    <s v="First Class"/>
    <x v="47"/>
    <x v="47"/>
    <s v="Home Office"/>
    <s v="Raleigh"/>
    <s v="North Carolina"/>
    <x v="0"/>
    <x v="1"/>
    <x v="8"/>
    <s v="PROD-2932"/>
    <x v="705"/>
    <n v="10"/>
    <n v="0"/>
    <n v="3090.56"/>
    <s v="OK"/>
  </r>
  <r>
    <s v="ORD-1891"/>
    <x v="524"/>
    <d v="2023-11-30T00:00:00"/>
    <s v="Second Class"/>
    <x v="123"/>
    <x v="123"/>
    <s v="Consumer"/>
    <s v="Salem"/>
    <s v="Oregon"/>
    <x v="3"/>
    <x v="1"/>
    <x v="8"/>
    <s v="PROD-4784"/>
    <x v="706"/>
    <n v="3"/>
    <n v="0.2"/>
    <n v="270.76"/>
    <s v="OK"/>
  </r>
  <r>
    <s v="ORD-1135"/>
    <x v="525"/>
    <d v="2023-12-03T00:00:00"/>
    <s v="Second Class"/>
    <x v="156"/>
    <x v="156"/>
    <s v="Corporate"/>
    <s v="Hartford"/>
    <s v="Connecticut"/>
    <x v="1"/>
    <x v="2"/>
    <x v="16"/>
    <s v="PROD-7129"/>
    <x v="707"/>
    <n v="2"/>
    <n v="0.1"/>
    <n v="11.51"/>
    <s v="OK"/>
  </r>
  <r>
    <s v="ORD-1067"/>
    <x v="526"/>
    <d v="2023-12-01T00:00:00"/>
    <s v="Same Day"/>
    <x v="139"/>
    <x v="139"/>
    <s v="Corporate"/>
    <s v="Montgomery"/>
    <s v="Alabama"/>
    <x v="0"/>
    <x v="1"/>
    <x v="2"/>
    <s v="PROD-9446"/>
    <x v="708"/>
    <n v="3"/>
    <n v="0.15"/>
    <n v="11.25"/>
    <s v="OK"/>
  </r>
  <r>
    <s v="ORD-1547"/>
    <x v="527"/>
    <d v="2023-12-05T00:00:00"/>
    <s v="Second Class"/>
    <x v="32"/>
    <x v="32"/>
    <s v="Corporate"/>
    <s v="Birmingham"/>
    <s v="Alabama"/>
    <x v="0"/>
    <x v="0"/>
    <x v="0"/>
    <s v="PROD-6918"/>
    <x v="709"/>
    <n v="6"/>
    <n v="0"/>
    <n v="469.58"/>
    <s v="OK"/>
  </r>
  <r>
    <s v="ORD-1089"/>
    <x v="528"/>
    <d v="2023-12-03T00:00:00"/>
    <s v="Same Day"/>
    <x v="183"/>
    <x v="182"/>
    <s v="Home Office"/>
    <s v="Columbus"/>
    <s v="Ohio"/>
    <x v="2"/>
    <x v="1"/>
    <x v="1"/>
    <s v="PROD-4365"/>
    <x v="710"/>
    <n v="3"/>
    <n v="0"/>
    <n v="2013.83"/>
    <s v="OK"/>
  </r>
  <r>
    <s v="ORD-1324"/>
    <x v="529"/>
    <d v="2023-12-08T00:00:00"/>
    <s v="First Class"/>
    <x v="166"/>
    <x v="183"/>
    <s v="Corporate"/>
    <s v="Buffalo"/>
    <s v="New York"/>
    <x v="4"/>
    <x v="2"/>
    <x v="10"/>
    <s v="PROD-1941"/>
    <x v="711"/>
    <n v="7"/>
    <n v="0.2"/>
    <n v="61.18"/>
    <s v="OK"/>
  </r>
  <r>
    <s v="ORD-1305"/>
    <x v="529"/>
    <d v="2023-12-08T00:00:00"/>
    <s v="First Class"/>
    <x v="3"/>
    <x v="3"/>
    <s v="Corporate"/>
    <s v="Saint Paul"/>
    <s v="Minnesota"/>
    <x v="2"/>
    <x v="0"/>
    <x v="7"/>
    <s v="PROD-5314"/>
    <x v="712"/>
    <n v="6"/>
    <n v="0"/>
    <n v="1496.91"/>
    <s v="OK"/>
  </r>
  <r>
    <s v="ORD-1576"/>
    <x v="530"/>
    <d v="2023-12-08T00:00:00"/>
    <s v="First Class"/>
    <x v="96"/>
    <x v="96"/>
    <s v="Home Office"/>
    <s v="Seattle"/>
    <s v="Washington"/>
    <x v="3"/>
    <x v="1"/>
    <x v="1"/>
    <s v="PROD-2478"/>
    <x v="713"/>
    <n v="10"/>
    <n v="0.4"/>
    <n v="-2572.8000000000002"/>
    <s v="OK"/>
  </r>
  <r>
    <s v="ORD-1491"/>
    <x v="531"/>
    <d v="2023-12-10T00:00:00"/>
    <s v="Same Day"/>
    <x v="50"/>
    <x v="50"/>
    <s v="Consumer"/>
    <s v="Montgomery"/>
    <s v="Alabama"/>
    <x v="0"/>
    <x v="1"/>
    <x v="8"/>
    <s v="PROD-4919"/>
    <x v="714"/>
    <n v="4"/>
    <n v="0"/>
    <n v="805.55"/>
    <s v="OK"/>
  </r>
  <r>
    <s v="ORD-1828"/>
    <x v="532"/>
    <d v="2023-12-15T00:00:00"/>
    <s v="First Class"/>
    <x v="169"/>
    <x v="168"/>
    <s v="Home Office"/>
    <s v="Salem"/>
    <s v="Oregon"/>
    <x v="3"/>
    <x v="0"/>
    <x v="7"/>
    <s v="PROD-4609"/>
    <x v="715"/>
    <n v="9"/>
    <n v="0.3"/>
    <n v="316.93"/>
    <s v="OK"/>
  </r>
  <r>
    <s v="ORD-1538"/>
    <x v="533"/>
    <d v="2023-12-19T00:00:00"/>
    <s v="Standard Class"/>
    <x v="33"/>
    <x v="33"/>
    <s v="Consumer"/>
    <s v="Austin"/>
    <s v="Texas"/>
    <x v="0"/>
    <x v="0"/>
    <x v="0"/>
    <s v="PROD-8544"/>
    <x v="716"/>
    <n v="4"/>
    <n v="0.4"/>
    <n v="-180.62"/>
    <s v="OK"/>
  </r>
  <r>
    <s v="ORD-1836"/>
    <x v="534"/>
    <d v="2023-12-20T00:00:00"/>
    <s v="Second Class"/>
    <x v="125"/>
    <x v="125"/>
    <s v="Consumer"/>
    <s v="Houston"/>
    <s v="Texas"/>
    <x v="0"/>
    <x v="0"/>
    <x v="7"/>
    <s v="PROD-1193"/>
    <x v="717"/>
    <n v="8"/>
    <n v="0.2"/>
    <n v="662.43"/>
    <s v="OK"/>
  </r>
  <r>
    <s v="ORD-1025"/>
    <x v="534"/>
    <d v="2023-12-22T00:00:00"/>
    <s v="Standard Class"/>
    <x v="2"/>
    <x v="2"/>
    <s v="Consumer"/>
    <s v="Cleveland"/>
    <s v="Ohio"/>
    <x v="2"/>
    <x v="0"/>
    <x v="0"/>
    <s v="PROD-6517"/>
    <x v="718"/>
    <n v="2"/>
    <n v="0.4"/>
    <n v="-30.2"/>
    <s v="OK"/>
  </r>
  <r>
    <s v="ORD-1458"/>
    <x v="534"/>
    <d v="2023-12-18T00:00:00"/>
    <s v="First Class"/>
    <x v="111"/>
    <x v="111"/>
    <s v="Consumer"/>
    <s v="Montgomery"/>
    <s v="Alabama"/>
    <x v="0"/>
    <x v="2"/>
    <x v="13"/>
    <s v="PROD-9469"/>
    <x v="719"/>
    <n v="8"/>
    <n v="0"/>
    <n v="25.57"/>
    <s v="OK"/>
  </r>
  <r>
    <s v="ORD-1853"/>
    <x v="535"/>
    <d v="2023-12-20T00:00:00"/>
    <s v="First Class"/>
    <x v="30"/>
    <x v="30"/>
    <s v="Home Office"/>
    <s v="Indianapolis"/>
    <s v="Indiana"/>
    <x v="2"/>
    <x v="0"/>
    <x v="3"/>
    <s v="PROD-7742"/>
    <x v="720"/>
    <n v="3"/>
    <n v="0.3"/>
    <n v="-157.55000000000001"/>
    <s v="OK"/>
  </r>
  <r>
    <s v="ORD-1088"/>
    <x v="536"/>
    <d v="2023-12-20T00:00:00"/>
    <s v="First Class"/>
    <x v="193"/>
    <x v="193"/>
    <s v="Consumer"/>
    <s v="Saint Paul"/>
    <s v="Minnesota"/>
    <x v="2"/>
    <x v="1"/>
    <x v="1"/>
    <s v="PROD-2838"/>
    <x v="721"/>
    <n v="10"/>
    <n v="0"/>
    <n v="7669.92"/>
    <s v="OK"/>
  </r>
  <r>
    <s v="ORD-1400"/>
    <x v="537"/>
    <d v="2023-12-24T00:00:00"/>
    <s v="First Class"/>
    <x v="87"/>
    <x v="87"/>
    <s v="Corporate"/>
    <s v="Savannah"/>
    <s v="Georgia"/>
    <x v="0"/>
    <x v="2"/>
    <x v="14"/>
    <s v="PROD-9027"/>
    <x v="722"/>
    <n v="1"/>
    <n v="0"/>
    <n v="37.97"/>
    <s v="OK"/>
  </r>
  <r>
    <s v="ORD-1760"/>
    <x v="538"/>
    <d v="2023-12-27T00:00:00"/>
    <s v="First Class"/>
    <x v="94"/>
    <x v="94"/>
    <s v="Consumer"/>
    <s v="Columbus"/>
    <s v="Ohio"/>
    <x v="2"/>
    <x v="2"/>
    <x v="16"/>
    <s v="PROD-5072"/>
    <x v="723"/>
    <n v="3"/>
    <n v="0"/>
    <n v="86.18"/>
    <s v="OK"/>
  </r>
  <r>
    <s v="ORD-1010"/>
    <x v="539"/>
    <d v="2024-01-01T00:00:00"/>
    <s v="Second Class"/>
    <x v="62"/>
    <x v="62"/>
    <s v="Consumer"/>
    <s v="Boston"/>
    <s v="Massachusetts"/>
    <x v="1"/>
    <x v="0"/>
    <x v="7"/>
    <s v="PROD-6802"/>
    <x v="724"/>
    <n v="7"/>
    <n v="0"/>
    <n v="1255.3499999999999"/>
    <s v="OK"/>
  </r>
  <r>
    <s v="ORD-1466"/>
    <x v="539"/>
    <d v="2023-12-31T00:00:00"/>
    <s v="Second Class"/>
    <x v="51"/>
    <x v="51"/>
    <s v="Home Office"/>
    <s v="Richmond"/>
    <s v="Virginia"/>
    <x v="1"/>
    <x v="0"/>
    <x v="7"/>
    <s v="PROD-7390"/>
    <x v="725"/>
    <n v="7"/>
    <n v="0.3"/>
    <n v="114.87"/>
    <s v="OK"/>
  </r>
  <r>
    <s v="ORD-1466"/>
    <x v="539"/>
    <d v="2023-12-31T00:00:00"/>
    <s v="Second Class"/>
    <x v="51"/>
    <x v="51"/>
    <s v="Home Office"/>
    <s v="Richmond"/>
    <s v="Virginia"/>
    <x v="1"/>
    <x v="0"/>
    <x v="7"/>
    <s v="PROD-7390"/>
    <x v="725"/>
    <n v="7"/>
    <n v="0.3"/>
    <n v="114.87"/>
    <s v="OK"/>
  </r>
  <r>
    <s v="ORD-1570"/>
    <x v="540"/>
    <d v="2023-12-31T00:00:00"/>
    <s v="Same Day"/>
    <x v="8"/>
    <x v="8"/>
    <s v="Corporate"/>
    <s v="Boston"/>
    <s v="Massachusetts"/>
    <x v="1"/>
    <x v="1"/>
    <x v="8"/>
    <s v="PROD-1981"/>
    <x v="726"/>
    <n v="8"/>
    <n v="0.1"/>
    <n v="325.95"/>
    <s v="OK"/>
  </r>
  <r>
    <s v="ORD-1273"/>
    <x v="541"/>
    <d v="2024-01-02T00:00:00"/>
    <s v="First Class"/>
    <x v="110"/>
    <x v="110"/>
    <s v="Consumer"/>
    <s v="Birmingham"/>
    <s v="Alabama"/>
    <x v="0"/>
    <x v="2"/>
    <x v="14"/>
    <s v="PROD-1209"/>
    <x v="727"/>
    <n v="10"/>
    <n v="0.2"/>
    <n v="43.45"/>
    <s v="OK"/>
  </r>
  <r>
    <s v="ORD-1242"/>
    <x v="541"/>
    <d v="2024-01-04T00:00:00"/>
    <s v="Second Class"/>
    <x v="6"/>
    <x v="6"/>
    <s v="Corporate"/>
    <s v="Hartford"/>
    <s v="Connecticut"/>
    <x v="1"/>
    <x v="2"/>
    <x v="16"/>
    <s v="PROD-7112"/>
    <x v="728"/>
    <n v="8"/>
    <n v="0.2"/>
    <n v="112.8"/>
    <s v="OK"/>
  </r>
  <r>
    <s v="ORD-1766"/>
    <x v="542"/>
    <d v="2024-01-01T00:00:00"/>
    <s v="Same Day"/>
    <x v="143"/>
    <x v="143"/>
    <s v="Consumer"/>
    <s v="Newark"/>
    <s v="New Jersey"/>
    <x v="4"/>
    <x v="2"/>
    <x v="11"/>
    <s v="PROD-6452"/>
    <x v="729"/>
    <n v="8"/>
    <n v="0"/>
    <n v="83.87"/>
    <s v="OK"/>
  </r>
  <r>
    <s v="ORD-1359"/>
    <x v="543"/>
    <d v="2024-01-06T00:00:00"/>
    <s v="Standard Class"/>
    <x v="100"/>
    <x v="100"/>
    <s v="Corporate"/>
    <s v="Saint Paul"/>
    <s v="Minnesota"/>
    <x v="2"/>
    <x v="1"/>
    <x v="8"/>
    <s v="PROD-2675"/>
    <x v="730"/>
    <n v="1"/>
    <n v="0"/>
    <n v="78.930000000000007"/>
    <s v="OK"/>
  </r>
  <r>
    <s v="ORD-1769"/>
    <x v="544"/>
    <d v="2024-01-06T00:00:00"/>
    <s v="Second Class"/>
    <x v="123"/>
    <x v="123"/>
    <s v="Consumer"/>
    <s v="Salem"/>
    <s v="Oregon"/>
    <x v="3"/>
    <x v="2"/>
    <x v="16"/>
    <s v="PROD-7941"/>
    <x v="731"/>
    <n v="1"/>
    <n v="0.1"/>
    <n v="22.69"/>
    <s v="OK"/>
  </r>
  <r>
    <s v="ORD-1094"/>
    <x v="545"/>
    <d v="2024-01-09T00:00:00"/>
    <s v="Same Day"/>
    <x v="90"/>
    <x v="90"/>
    <s v="Corporate"/>
    <s v="Springfield"/>
    <s v="Illinois"/>
    <x v="2"/>
    <x v="1"/>
    <x v="1"/>
    <s v="PROD-3086"/>
    <x v="732"/>
    <n v="6"/>
    <n v="0"/>
    <n v="4916.1000000000004"/>
    <s v="OK"/>
  </r>
  <r>
    <s v="ORD-1545"/>
    <x v="545"/>
    <d v="2024-01-13T00:00:00"/>
    <s v="Standard Class"/>
    <x v="118"/>
    <x v="118"/>
    <s v="Home Office"/>
    <s v="Los Angeles"/>
    <s v="California"/>
    <x v="3"/>
    <x v="1"/>
    <x v="2"/>
    <s v="PROD-2616"/>
    <x v="733"/>
    <n v="4"/>
    <n v="0.1"/>
    <n v="155.79"/>
    <s v="OK"/>
  </r>
  <r>
    <s v="ORD-1292"/>
    <x v="545"/>
    <d v="2024-01-12T00:00:00"/>
    <s v="Standard Class"/>
    <x v="83"/>
    <x v="83"/>
    <s v="Home Office"/>
    <s v="Boston"/>
    <s v="Massachusetts"/>
    <x v="1"/>
    <x v="1"/>
    <x v="1"/>
    <s v="PROD-4441"/>
    <x v="734"/>
    <n v="1"/>
    <n v="0.5"/>
    <n v="-200.68"/>
    <s v="OK"/>
  </r>
  <r>
    <s v="ORD-1329"/>
    <x v="546"/>
    <d v="2024-01-11T00:00:00"/>
    <s v="First Class"/>
    <x v="73"/>
    <x v="73"/>
    <s v="Corporate"/>
    <s v="Detroit"/>
    <s v="Michigan"/>
    <x v="2"/>
    <x v="0"/>
    <x v="6"/>
    <s v="PROD-8254"/>
    <x v="735"/>
    <n v="2"/>
    <n v="0.4"/>
    <n v="-22.83"/>
    <s v="OK"/>
  </r>
  <r>
    <s v="ORD-1524"/>
    <x v="547"/>
    <d v="2024-01-11T00:00:00"/>
    <s v="Same Day"/>
    <x v="93"/>
    <x v="93"/>
    <s v="Consumer"/>
    <s v="Austin"/>
    <s v="Texas"/>
    <x v="0"/>
    <x v="1"/>
    <x v="1"/>
    <s v="PROD-2431"/>
    <x v="736"/>
    <n v="5"/>
    <n v="0.05"/>
    <n v="4409.49"/>
    <s v="OK"/>
  </r>
  <r>
    <s v="ORD-1493"/>
    <x v="548"/>
    <d v="2024-01-15T00:00:00"/>
    <s v="Second Class"/>
    <x v="119"/>
    <x v="119"/>
    <s v="Consumer"/>
    <s v="Houston"/>
    <s v="Texas"/>
    <x v="0"/>
    <x v="1"/>
    <x v="1"/>
    <s v="PROD-4409"/>
    <x v="737"/>
    <n v="9"/>
    <n v="0"/>
    <n v="2099.62"/>
    <s v="OK"/>
  </r>
  <r>
    <s v="ORD-1641"/>
    <x v="548"/>
    <d v="2024-01-13T00:00:00"/>
    <s v="First Class"/>
    <x v="151"/>
    <x v="196"/>
    <s v="Consumer"/>
    <s v="Seattle"/>
    <s v="Washington"/>
    <x v="3"/>
    <x v="1"/>
    <x v="9"/>
    <s v="PROD-5979"/>
    <x v="738"/>
    <n v="3"/>
    <n v="0"/>
    <n v="921.23"/>
    <s v="OK"/>
  </r>
  <r>
    <s v="ORD-1556"/>
    <x v="549"/>
    <d v="2024-01-18T00:00:00"/>
    <s v="Standard Class"/>
    <x v="164"/>
    <x v="164"/>
    <s v="Corporate"/>
    <s v="Milwaukee"/>
    <s v="Wisconsin"/>
    <x v="2"/>
    <x v="1"/>
    <x v="8"/>
    <s v="PROD-8051"/>
    <x v="739"/>
    <n v="5"/>
    <n v="0.4"/>
    <n v="10.23"/>
    <s v="OK"/>
  </r>
  <r>
    <s v="ORD-1215"/>
    <x v="550"/>
    <d v="2024-01-17T00:00:00"/>
    <s v="Same Day"/>
    <x v="2"/>
    <x v="2"/>
    <s v="Consumer"/>
    <s v="Cleveland"/>
    <s v="Ohio"/>
    <x v="2"/>
    <x v="2"/>
    <x v="5"/>
    <s v="PROD-4727"/>
    <x v="740"/>
    <n v="2"/>
    <n v="0"/>
    <n v="49.73"/>
    <s v="OK"/>
  </r>
  <r>
    <s v="ORD-1403"/>
    <x v="551"/>
    <d v="2024-01-19T00:00:00"/>
    <s v="Second Class"/>
    <x v="50"/>
    <x v="50"/>
    <s v="Consumer"/>
    <s v="Montgomery"/>
    <s v="Alabama"/>
    <x v="0"/>
    <x v="0"/>
    <x v="0"/>
    <s v="PROD-3270"/>
    <x v="741"/>
    <n v="5"/>
    <n v="0.5"/>
    <n v="-274.14999999999998"/>
    <s v="OK"/>
  </r>
  <r>
    <s v="ORD-1706"/>
    <x v="552"/>
    <d v="2024-01-20T00:00:00"/>
    <s v="First Class"/>
    <x v="39"/>
    <x v="39"/>
    <s v="Corporate"/>
    <s v="Philadelphia"/>
    <s v="Pennsylvania"/>
    <x v="1"/>
    <x v="1"/>
    <x v="9"/>
    <s v="PROD-5906"/>
    <x v="742"/>
    <n v="10"/>
    <n v="0"/>
    <n v="604.51"/>
    <s v="OK"/>
  </r>
  <r>
    <s v="ORD-1979"/>
    <x v="553"/>
    <d v="2024-01-23T00:00:00"/>
    <s v="Second Class"/>
    <x v="88"/>
    <x v="88"/>
    <s v="Corporate"/>
    <s v="Denver"/>
    <s v="Colorado"/>
    <x v="3"/>
    <x v="2"/>
    <x v="4"/>
    <s v="PROD-6848"/>
    <x v="743"/>
    <n v="2"/>
    <n v="0"/>
    <n v="157.87"/>
    <s v="OK"/>
  </r>
  <r>
    <s v="ORD-1095"/>
    <x v="554"/>
    <d v="2024-01-24T00:00:00"/>
    <s v="Same Day"/>
    <x v="136"/>
    <x v="136"/>
    <s v="Consumer"/>
    <s v="Virginia Beach"/>
    <s v="Virginia"/>
    <x v="1"/>
    <x v="0"/>
    <x v="7"/>
    <s v="PROD-7214"/>
    <x v="744"/>
    <n v="5"/>
    <n v="0.3"/>
    <n v="69.430000000000007"/>
    <s v="OK"/>
  </r>
  <r>
    <s v="ORD-1453"/>
    <x v="555"/>
    <d v="2024-01-27T00:00:00"/>
    <s v="Second Class"/>
    <x v="11"/>
    <x v="11"/>
    <s v="Corporate"/>
    <s v="Detroit"/>
    <s v="Michigan"/>
    <x v="2"/>
    <x v="2"/>
    <x v="16"/>
    <s v="PROD-3841"/>
    <x v="745"/>
    <n v="7"/>
    <n v="0.2"/>
    <n v="115.85"/>
    <s v="OK"/>
  </r>
  <r>
    <s v="ORD-1381"/>
    <x v="556"/>
    <d v="2024-01-27T00:00:00"/>
    <s v="Second Class"/>
    <x v="9"/>
    <x v="9"/>
    <s v="Home Office"/>
    <s v="Denver"/>
    <s v="Colorado"/>
    <x v="3"/>
    <x v="2"/>
    <x v="16"/>
    <s v="PROD-5162"/>
    <x v="746"/>
    <n v="6"/>
    <n v="0.5"/>
    <n v="16.670000000000002"/>
    <s v="OK"/>
  </r>
  <r>
    <s v="ORD-1457"/>
    <x v="557"/>
    <d v="2024-01-26T00:00:00"/>
    <s v="First Class"/>
    <x v="8"/>
    <x v="8"/>
    <s v="Corporate"/>
    <s v="Boston"/>
    <s v="Massachusetts"/>
    <x v="1"/>
    <x v="2"/>
    <x v="5"/>
    <s v="PROD-1620"/>
    <x v="747"/>
    <n v="4"/>
    <n v="0.4"/>
    <n v="35.78"/>
    <s v="OK"/>
  </r>
  <r>
    <s v="ORD-1953"/>
    <x v="558"/>
    <d v="2024-01-29T00:00:00"/>
    <s v="First Class"/>
    <x v="196"/>
    <x v="197"/>
    <s v="Corporate"/>
    <s v="Los Angeles"/>
    <s v="California"/>
    <x v="3"/>
    <x v="2"/>
    <x v="16"/>
    <s v="PROD-8194"/>
    <x v="748"/>
    <n v="3"/>
    <n v="0.05"/>
    <n v="48.96"/>
    <s v="OK"/>
  </r>
  <r>
    <s v="ORD-1110"/>
    <x v="558"/>
    <d v="2024-01-26T00:00:00"/>
    <s v="Same Day"/>
    <x v="134"/>
    <x v="134"/>
    <s v="Consumer"/>
    <s v="Boulder"/>
    <s v="Colorado"/>
    <x v="3"/>
    <x v="1"/>
    <x v="8"/>
    <s v="PROD-9882"/>
    <x v="749"/>
    <n v="6"/>
    <n v="0"/>
    <n v="1010.45"/>
    <s v="OK"/>
  </r>
  <r>
    <s v="ORD-1569"/>
    <x v="559"/>
    <d v="2024-01-30T00:00:00"/>
    <s v="Second Class"/>
    <x v="126"/>
    <x v="126"/>
    <s v="Home Office"/>
    <s v="Virginia Beach"/>
    <s v="Virginia"/>
    <x v="1"/>
    <x v="0"/>
    <x v="3"/>
    <s v="PROD-9457"/>
    <x v="750"/>
    <n v="10"/>
    <n v="0.4"/>
    <n v="-1233.95"/>
    <s v="OK"/>
  </r>
  <r>
    <s v="ORD-1774"/>
    <x v="560"/>
    <d v="2024-01-30T00:00:00"/>
    <s v="Same Day"/>
    <x v="46"/>
    <x v="46"/>
    <s v="Consumer"/>
    <s v="Boulder"/>
    <s v="Colorado"/>
    <x v="3"/>
    <x v="0"/>
    <x v="3"/>
    <s v="PROD-7921"/>
    <x v="751"/>
    <n v="5"/>
    <n v="0"/>
    <n v="73.069999999999993"/>
    <s v="OK"/>
  </r>
  <r>
    <s v="ORD-1422"/>
    <x v="561"/>
    <d v="2024-02-08T00:00:00"/>
    <s v="Standard Class"/>
    <x v="43"/>
    <x v="43"/>
    <s v="Corporate"/>
    <s v="Virginia Beach"/>
    <s v="Virginia"/>
    <x v="1"/>
    <x v="0"/>
    <x v="6"/>
    <s v="PROD-8713"/>
    <x v="752"/>
    <n v="7"/>
    <n v="0"/>
    <n v="139.15"/>
    <s v="OK"/>
  </r>
  <r>
    <s v="ORD-1053"/>
    <x v="562"/>
    <d v="2024-02-07T00:00:00"/>
    <s v="Second Class"/>
    <x v="58"/>
    <x v="58"/>
    <s v="Home Office"/>
    <s v="Spokane"/>
    <s v="Washington"/>
    <x v="3"/>
    <x v="0"/>
    <x v="3"/>
    <s v="PROD-8088"/>
    <x v="753"/>
    <n v="9"/>
    <n v="0.15"/>
    <n v="40.28"/>
    <s v="OK"/>
  </r>
  <r>
    <s v="ORD-1271"/>
    <x v="563"/>
    <d v="2024-02-11T00:00:00"/>
    <s v="Second Class"/>
    <x v="182"/>
    <x v="181"/>
    <s v="Home Office"/>
    <s v="Birmingham"/>
    <s v="Alabama"/>
    <x v="0"/>
    <x v="2"/>
    <x v="14"/>
    <s v="PROD-4435"/>
    <x v="754"/>
    <n v="9"/>
    <n v="0.15"/>
    <n v="41.15"/>
    <s v="OK"/>
  </r>
  <r>
    <s v="ORD-1051"/>
    <x v="564"/>
    <d v="2024-02-12T00:00:00"/>
    <s v="First Class"/>
    <x v="2"/>
    <x v="2"/>
    <s v="Consumer"/>
    <s v="Cleveland"/>
    <s v="Ohio"/>
    <x v="2"/>
    <x v="0"/>
    <x v="0"/>
    <s v="PROD-3126"/>
    <x v="755"/>
    <n v="4"/>
    <n v="0.3"/>
    <n v="108.38"/>
    <s v="OK"/>
  </r>
  <r>
    <s v="ORD-1693"/>
    <x v="565"/>
    <d v="2024-02-13T00:00:00"/>
    <s v="Second Class"/>
    <x v="34"/>
    <x v="34"/>
    <s v="Consumer"/>
    <s v="Richmond"/>
    <s v="Virginia"/>
    <x v="1"/>
    <x v="0"/>
    <x v="6"/>
    <s v="PROD-4211"/>
    <x v="756"/>
    <n v="5"/>
    <n v="0"/>
    <n v="74.47"/>
    <s v="OK"/>
  </r>
  <r>
    <s v="ORD-1320"/>
    <x v="566"/>
    <d v="2024-02-17T00:00:00"/>
    <s v="Same Day"/>
    <x v="65"/>
    <x v="65"/>
    <s v="Consumer"/>
    <s v="Charlotte"/>
    <s v="North Carolina"/>
    <x v="0"/>
    <x v="2"/>
    <x v="15"/>
    <s v="PROD-7065"/>
    <x v="757"/>
    <n v="7"/>
    <n v="0.05"/>
    <n v="61.65"/>
    <s v="OK"/>
  </r>
  <r>
    <s v="ORD-1102"/>
    <x v="566"/>
    <d v="2024-02-20T00:00:00"/>
    <s v="Second Class"/>
    <x v="54"/>
    <x v="54"/>
    <s v="Home Office"/>
    <s v="Bridgeport"/>
    <s v="Connecticut"/>
    <x v="1"/>
    <x v="0"/>
    <x v="3"/>
    <s v="PROD-4978"/>
    <x v="758"/>
    <n v="9"/>
    <n v="0.2"/>
    <n v="-1308.9100000000001"/>
    <s v="OK"/>
  </r>
  <r>
    <s v="ORD-1709"/>
    <x v="567"/>
    <d v="2024-02-24T00:00:00"/>
    <s v="Standard Class"/>
    <x v="126"/>
    <x v="126"/>
    <s v="Home Office"/>
    <s v="Virginia Beach"/>
    <s v="Virginia"/>
    <x v="1"/>
    <x v="0"/>
    <x v="3"/>
    <s v="PROD-3276"/>
    <x v="759"/>
    <n v="7"/>
    <n v="1.47"/>
    <n v="299.81"/>
    <s v="OK"/>
  </r>
  <r>
    <s v="ORD-1369"/>
    <x v="568"/>
    <d v="2024-02-23T00:00:00"/>
    <s v="First Class"/>
    <x v="145"/>
    <x v="145"/>
    <s v="Corporate"/>
    <s v="Houston"/>
    <s v="Texas"/>
    <x v="0"/>
    <x v="1"/>
    <x v="1"/>
    <s v="PROD-9029"/>
    <x v="760"/>
    <n v="1"/>
    <n v="0.3"/>
    <n v="-101.96"/>
    <s v="OK"/>
  </r>
  <r>
    <s v="ORD-1236"/>
    <x v="568"/>
    <d v="2024-02-24T00:00:00"/>
    <s v="Second Class"/>
    <x v="27"/>
    <x v="27"/>
    <s v="Home Office"/>
    <s v="San Diego"/>
    <s v="California"/>
    <x v="3"/>
    <x v="1"/>
    <x v="1"/>
    <s v="PROD-6499"/>
    <x v="761"/>
    <n v="8"/>
    <n v="0"/>
    <m/>
    <s v="OK"/>
  </r>
  <r>
    <s v="ORD-1104"/>
    <x v="568"/>
    <d v="2024-02-23T00:00:00"/>
    <s v="Second Class"/>
    <x v="74"/>
    <x v="74"/>
    <s v="Home Office"/>
    <s v="Phoenix"/>
    <s v="Arizona"/>
    <x v="3"/>
    <x v="1"/>
    <x v="2"/>
    <s v="PROD-4422"/>
    <x v="762"/>
    <n v="4"/>
    <n v="0.5"/>
    <n v="-95.66"/>
    <s v="OK"/>
  </r>
  <r>
    <s v="ORD-1327"/>
    <x v="569"/>
    <d v="2024-02-23T00:00:00"/>
    <s v="First Class"/>
    <x v="191"/>
    <x v="191"/>
    <s v="Home Office"/>
    <s v="Portland"/>
    <s v="Oregon"/>
    <x v="3"/>
    <x v="1"/>
    <x v="1"/>
    <s v="PROD-5530"/>
    <x v="763"/>
    <n v="2"/>
    <n v="0"/>
    <n v="1072.6600000000001"/>
    <s v="OK"/>
  </r>
  <r>
    <s v="ORD-1530"/>
    <x v="569"/>
    <d v="2024-02-21T00:00:00"/>
    <s v="Same Day"/>
    <x v="57"/>
    <x v="57"/>
    <s v="Home Office"/>
    <s v="Spokane"/>
    <s v="Washington"/>
    <x v="3"/>
    <x v="1"/>
    <x v="8"/>
    <s v="PROD-1439"/>
    <x v="764"/>
    <n v="5"/>
    <n v="0.5"/>
    <n v="-27.7"/>
    <s v="OK"/>
  </r>
  <r>
    <s v="ORD-1675"/>
    <x v="570"/>
    <d v="2024-02-23T00:00:00"/>
    <s v="Same Day"/>
    <x v="185"/>
    <x v="185"/>
    <s v="Corporate"/>
    <s v="Tucson"/>
    <s v="Arizona"/>
    <x v="3"/>
    <x v="1"/>
    <x v="2"/>
    <s v="PROD-7997"/>
    <x v="765"/>
    <n v="9"/>
    <n v="0.5"/>
    <n v="-108"/>
    <s v="OK"/>
  </r>
  <r>
    <s v="ORD-1072"/>
    <x v="571"/>
    <d v="2024-02-27T00:00:00"/>
    <s v="First Class"/>
    <x v="46"/>
    <x v="46"/>
    <s v="Consumer"/>
    <s v="Boulder"/>
    <s v="Colorado"/>
    <x v="3"/>
    <x v="1"/>
    <x v="8"/>
    <s v="PROD-8837"/>
    <x v="766"/>
    <n v="1"/>
    <n v="0"/>
    <n v="264.69"/>
    <s v="OK"/>
  </r>
  <r>
    <s v="ORD-1878"/>
    <x v="571"/>
    <d v="2024-02-26T00:00:00"/>
    <s v="Second Class"/>
    <x v="72"/>
    <x v="72"/>
    <s v="Corporate"/>
    <s v="Cleveland"/>
    <s v="Ohio"/>
    <x v="2"/>
    <x v="0"/>
    <x v="3"/>
    <s v="PROD-3369"/>
    <x v="767"/>
    <n v="10"/>
    <n v="0.2"/>
    <n v="-582.08000000000004"/>
    <s v="OK"/>
  </r>
  <r>
    <s v="ORD-1767"/>
    <x v="572"/>
    <d v="2024-02-26T00:00:00"/>
    <s v="Same Day"/>
    <x v="2"/>
    <x v="2"/>
    <s v="Consumer"/>
    <s v="Cleveland"/>
    <s v="Ohio"/>
    <x v="2"/>
    <x v="1"/>
    <x v="2"/>
    <s v="PROD-4662"/>
    <x v="768"/>
    <n v="7"/>
    <n v="0.2"/>
    <n v="162.49"/>
    <s v="OK"/>
  </r>
  <r>
    <s v="ORD-1602"/>
    <x v="573"/>
    <d v="2024-03-04T00:00:00"/>
    <s v="Second Class"/>
    <x v="157"/>
    <x v="157"/>
    <s v="Home Office"/>
    <s v="Portland"/>
    <s v="Oregon"/>
    <x v="3"/>
    <x v="0"/>
    <x v="6"/>
    <s v="PROD-1067"/>
    <x v="769"/>
    <n v="3"/>
    <n v="0.4"/>
    <n v="-17.5"/>
    <s v="OK"/>
  </r>
  <r>
    <s v="ORD-1056"/>
    <x v="574"/>
    <d v="2024-03-05T00:00:00"/>
    <s v="Standard Class"/>
    <x v="188"/>
    <x v="188"/>
    <s v="Corporate"/>
    <s v="San Francisco"/>
    <s v="California"/>
    <x v="3"/>
    <x v="1"/>
    <x v="1"/>
    <s v="PROD-2330"/>
    <x v="770"/>
    <n v="10"/>
    <n v="0.5"/>
    <n v="-2091.08"/>
    <s v="OK"/>
  </r>
  <r>
    <s v="ORD-1311"/>
    <x v="574"/>
    <d v="2024-03-07T00:00:00"/>
    <s v="Standard Class"/>
    <x v="7"/>
    <x v="7"/>
    <s v="Corporate"/>
    <s v="Tucson"/>
    <s v="Arizona"/>
    <x v="3"/>
    <x v="0"/>
    <x v="6"/>
    <s v="PROD-5644"/>
    <x v="771"/>
    <n v="9"/>
    <n v="0.2"/>
    <n v="173.57"/>
    <s v="OK"/>
  </r>
  <r>
    <s v="ORD-1388"/>
    <x v="575"/>
    <d v="2024-03-06T00:00:00"/>
    <s v="Second Class"/>
    <x v="6"/>
    <x v="6"/>
    <s v="Corporate"/>
    <s v="Hartford"/>
    <s v="Connecticut"/>
    <x v="1"/>
    <x v="1"/>
    <x v="8"/>
    <s v="PROD-9231"/>
    <x v="772"/>
    <n v="9"/>
    <n v="0"/>
    <n v="263.8"/>
    <s v="OK"/>
  </r>
  <r>
    <s v="ORD-1747"/>
    <x v="576"/>
    <d v="2024-03-07T00:00:00"/>
    <s v="Second Class"/>
    <x v="58"/>
    <x v="58"/>
    <s v="Home Office"/>
    <s v="Spokane"/>
    <s v="Washington"/>
    <x v="3"/>
    <x v="1"/>
    <x v="2"/>
    <s v="PROD-8148"/>
    <x v="773"/>
    <n v="1"/>
    <n v="0"/>
    <n v="36.68"/>
    <s v="OK"/>
  </r>
  <r>
    <s v="ORD-1938"/>
    <x v="577"/>
    <d v="2024-03-09T00:00:00"/>
    <s v="First Class"/>
    <x v="107"/>
    <x v="107"/>
    <s v="Home Office"/>
    <s v="Detroit"/>
    <s v="Michigan"/>
    <x v="2"/>
    <x v="1"/>
    <x v="9"/>
    <s v="PROD-2805"/>
    <x v="774"/>
    <n v="2"/>
    <n v="0.2"/>
    <n v="-160.02000000000001"/>
    <s v="OK"/>
  </r>
  <r>
    <s v="ORD-1083"/>
    <x v="578"/>
    <d v="2024-03-11T00:00:00"/>
    <s v="Second Class"/>
    <x v="171"/>
    <x v="170"/>
    <s v="Consumer"/>
    <s v="Buffalo"/>
    <s v="New York"/>
    <x v="1"/>
    <x v="2"/>
    <x v="15"/>
    <s v="PROD-7643"/>
    <x v="775"/>
    <n v="1"/>
    <n v="0.15"/>
    <n v="4.1500000000000004"/>
    <s v="OK"/>
  </r>
  <r>
    <s v="ORD-1987"/>
    <x v="579"/>
    <d v="2024-03-11T00:00:00"/>
    <s v="First Class"/>
    <x v="67"/>
    <x v="67"/>
    <s v="Corporate"/>
    <s v="Virginia Beach"/>
    <s v="Virginia"/>
    <x v="1"/>
    <x v="1"/>
    <x v="9"/>
    <s v="PROD-7247"/>
    <x v="776"/>
    <n v="9"/>
    <n v="0.3"/>
    <n v="-1373.78"/>
    <s v="OK"/>
  </r>
  <r>
    <s v="ORD-1613"/>
    <x v="580"/>
    <d v="2024-03-13T00:00:00"/>
    <s v="First Class"/>
    <x v="42"/>
    <x v="42"/>
    <s v="Consumer"/>
    <s v="Las Vegas"/>
    <s v="Nevada"/>
    <x v="3"/>
    <x v="1"/>
    <x v="2"/>
    <s v="PROD-5175"/>
    <x v="777"/>
    <n v="7"/>
    <n v="0"/>
    <n v="303.89"/>
    <s v="OK"/>
  </r>
  <r>
    <s v="ORD-1673"/>
    <x v="581"/>
    <d v="2024-03-12T00:00:00"/>
    <s v="Same Day"/>
    <x v="103"/>
    <x v="103"/>
    <s v="Home Office"/>
    <s v="Denver"/>
    <s v="Colorado"/>
    <x v="3"/>
    <x v="1"/>
    <x v="1"/>
    <s v="PROD-4174"/>
    <x v="778"/>
    <n v="7"/>
    <n v="0"/>
    <n v="435.97"/>
    <s v="OK"/>
  </r>
  <r>
    <s v="ORD-1428"/>
    <x v="581"/>
    <d v="2024-03-16T00:00:00"/>
    <s v="Standard Class"/>
    <x v="160"/>
    <x v="160"/>
    <s v="Corporate"/>
    <s v="Virginia Beach"/>
    <s v="Virginia"/>
    <x v="1"/>
    <x v="2"/>
    <x v="5"/>
    <s v="PROD-4178"/>
    <x v="779"/>
    <n v="6"/>
    <n v="0.15"/>
    <n v="94.65"/>
    <s v="OK"/>
  </r>
  <r>
    <s v="ORD-1674"/>
    <x v="582"/>
    <d v="2024-03-18T00:00:00"/>
    <s v="Second Class"/>
    <x v="154"/>
    <x v="154"/>
    <s v="Home Office"/>
    <s v="Saint Paul"/>
    <s v="Minnesota"/>
    <x v="2"/>
    <x v="1"/>
    <x v="1"/>
    <s v="PROD-5494"/>
    <x v="780"/>
    <n v="3"/>
    <n v="0"/>
    <n v="503.27"/>
    <s v="OK"/>
  </r>
  <r>
    <s v="ORD-1588"/>
    <x v="583"/>
    <d v="2024-03-17T00:00:00"/>
    <s v="Second Class"/>
    <x v="20"/>
    <x v="20"/>
    <s v="Home Office"/>
    <s v="Fort Wayne"/>
    <s v="Indiana"/>
    <x v="2"/>
    <x v="0"/>
    <x v="7"/>
    <s v="PROD-1376"/>
    <x v="781"/>
    <n v="3"/>
    <n v="0.2"/>
    <n v="101.93"/>
    <s v="OK"/>
  </r>
  <r>
    <s v="ORD-1177"/>
    <x v="584"/>
    <d v="2024-03-18T00:00:00"/>
    <s v="First Class"/>
    <x v="2"/>
    <x v="2"/>
    <s v="Consumer"/>
    <s v="Cleveland"/>
    <s v="Ohio"/>
    <x v="2"/>
    <x v="2"/>
    <x v="11"/>
    <s v="PROD-9225"/>
    <x v="782"/>
    <n v="6"/>
    <n v="0.1"/>
    <n v="28.51"/>
    <s v="OK"/>
  </r>
  <r>
    <s v="ORD-1701"/>
    <x v="584"/>
    <d v="2024-03-20T00:00:00"/>
    <s v="Second Class"/>
    <x v="142"/>
    <x v="142"/>
    <s v="Consumer"/>
    <s v="Cleveland"/>
    <s v="Ohio"/>
    <x v="2"/>
    <x v="2"/>
    <x v="11"/>
    <s v="PROD-5170"/>
    <x v="783"/>
    <n v="5"/>
    <n v="0.2"/>
    <n v="15.56"/>
    <s v="OK"/>
  </r>
  <r>
    <s v="ORD-1221"/>
    <x v="585"/>
    <d v="2024-03-18T00:00:00"/>
    <s v="Same Day"/>
    <x v="141"/>
    <x v="141"/>
    <s v="Corporate"/>
    <s v="Saint Paul"/>
    <s v="Minnesota"/>
    <x v="2"/>
    <x v="1"/>
    <x v="9"/>
    <s v="PROD-3821"/>
    <x v="784"/>
    <n v="5"/>
    <n v="0.2"/>
    <n v="-219.69"/>
    <s v="OK"/>
  </r>
  <r>
    <s v="ORD-1654"/>
    <x v="585"/>
    <d v="2024-03-21T00:00:00"/>
    <s v="First Class"/>
    <x v="42"/>
    <x v="42"/>
    <s v="Consumer"/>
    <s v="Las Vegas"/>
    <s v="Nevada"/>
    <x v="3"/>
    <x v="1"/>
    <x v="8"/>
    <s v="PROD-3028"/>
    <x v="785"/>
    <n v="2"/>
    <n v="0"/>
    <n v="413.89"/>
    <s v="OK"/>
  </r>
  <r>
    <s v="ORD-1564"/>
    <x v="586"/>
    <d v="2024-03-24T00:00:00"/>
    <s v="Standard Class"/>
    <x v="153"/>
    <x v="153"/>
    <s v="Consumer"/>
    <s v="Springfield"/>
    <s v="Illinois"/>
    <x v="2"/>
    <x v="2"/>
    <x v="5"/>
    <s v="PROD-2639"/>
    <x v="786"/>
    <n v="7"/>
    <n v="0.5"/>
    <n v="-107.91"/>
    <s v="OK"/>
  </r>
  <r>
    <s v="ORD-1085"/>
    <x v="587"/>
    <d v="2024-03-25T00:00:00"/>
    <s v="Standard Class"/>
    <x v="91"/>
    <x v="91"/>
    <s v="Consumer"/>
    <s v="Savannah"/>
    <s v="Georgia"/>
    <x v="0"/>
    <x v="2"/>
    <x v="11"/>
    <s v="PROD-6890"/>
    <x v="787"/>
    <n v="5"/>
    <n v="0.15"/>
    <n v="27.69"/>
    <s v="OK"/>
  </r>
  <r>
    <s v="ORD-1389"/>
    <x v="588"/>
    <d v="2024-03-29T00:00:00"/>
    <s v="Standard Class"/>
    <x v="153"/>
    <x v="153"/>
    <s v="Consumer"/>
    <s v="Springfield"/>
    <s v="Illinois"/>
    <x v="2"/>
    <x v="0"/>
    <x v="0"/>
    <s v="PROD-8076"/>
    <x v="788"/>
    <n v="7"/>
    <n v="0.3"/>
    <n v="-32.92"/>
    <s v="OK"/>
  </r>
  <r>
    <s v="ORD-1533"/>
    <x v="588"/>
    <d v="2024-03-30T00:00:00"/>
    <s v="Standard Class"/>
    <x v="65"/>
    <x v="65"/>
    <s v="Consumer"/>
    <s v="Charlotte"/>
    <s v="North Carolina"/>
    <x v="0"/>
    <x v="2"/>
    <x v="15"/>
    <s v="PROD-3668"/>
    <x v="789"/>
    <n v="8"/>
    <n v="0"/>
    <n v="51.75"/>
    <s v="OK"/>
  </r>
  <r>
    <s v="ORD-1392"/>
    <x v="589"/>
    <d v="2024-03-30T00:00:00"/>
    <s v="Standard Class"/>
    <x v="73"/>
    <x v="73"/>
    <s v="Corporate"/>
    <s v="Detroit"/>
    <s v="Michigan"/>
    <x v="2"/>
    <x v="1"/>
    <x v="1"/>
    <s v="PROD-7776"/>
    <x v="790"/>
    <n v="5"/>
    <n v="0.2"/>
    <n v="468.18"/>
    <s v="OK"/>
  </r>
  <r>
    <s v="ORD-1960"/>
    <x v="589"/>
    <d v="2024-03-27T00:00:00"/>
    <s v="First Class"/>
    <x v="17"/>
    <x v="17"/>
    <s v="Home Office"/>
    <s v="Columbus"/>
    <s v="Ohio"/>
    <x v="2"/>
    <x v="0"/>
    <x v="3"/>
    <s v="PROD-6309"/>
    <x v="791"/>
    <n v="8"/>
    <n v="0.5"/>
    <n v="-1365.55"/>
    <s v="OK"/>
  </r>
  <r>
    <s v="ORD-1011"/>
    <x v="589"/>
    <d v="2024-03-28T00:00:00"/>
    <s v="Same Day"/>
    <x v="114"/>
    <x v="114"/>
    <s v="Corporate"/>
    <s v="Nashville"/>
    <s v="Tennessee"/>
    <x v="0"/>
    <x v="2"/>
    <x v="5"/>
    <s v="PROD-7626"/>
    <x v="792"/>
    <n v="8"/>
    <n v="0"/>
    <n v="364.87"/>
    <s v="OK"/>
  </r>
  <r>
    <s v="ORD-1718"/>
    <x v="589"/>
    <d v="2024-04-01T00:00:00"/>
    <s v="Standard Class"/>
    <x v="139"/>
    <x v="139"/>
    <s v="Corporate"/>
    <s v="Montgomery"/>
    <s v="Alabama"/>
    <x v="0"/>
    <x v="1"/>
    <x v="1"/>
    <s v="PROD-2492"/>
    <x v="793"/>
    <n v="10"/>
    <n v="0.3"/>
    <n v="-979.85"/>
    <s v="OK"/>
  </r>
  <r>
    <s v="ORD-1386"/>
    <x v="590"/>
    <d v="2024-03-27T00:00:00"/>
    <s v="Same Day"/>
    <x v="180"/>
    <x v="179"/>
    <s v="Corporate"/>
    <s v="Columbus"/>
    <s v="Ohio"/>
    <x v="2"/>
    <x v="1"/>
    <x v="2"/>
    <s v="PROD-1916"/>
    <x v="794"/>
    <n v="5"/>
    <n v="0"/>
    <n v="223.45"/>
    <s v="OK"/>
  </r>
  <r>
    <s v="ORD-1918"/>
    <x v="591"/>
    <d v="2024-04-01T00:00:00"/>
    <s v="Same Day"/>
    <x v="156"/>
    <x v="156"/>
    <s v="Corporate"/>
    <s v="Hartford"/>
    <s v="Connecticut"/>
    <x v="1"/>
    <x v="1"/>
    <x v="8"/>
    <s v="PROD-9029"/>
    <x v="795"/>
    <n v="2"/>
    <n v="0.4"/>
    <n v="-25.42"/>
    <s v="OK"/>
  </r>
  <r>
    <s v="ORD-1880"/>
    <x v="592"/>
    <d v="2024-04-04T00:00:00"/>
    <s v="Standard Class"/>
    <x v="0"/>
    <x v="0"/>
    <s v="Consumer"/>
    <s v="Montgomery"/>
    <s v="Alabama"/>
    <x v="0"/>
    <x v="1"/>
    <x v="2"/>
    <s v="PROD-4581"/>
    <x v="796"/>
    <n v="3"/>
    <n v="0.3"/>
    <n v="46.15"/>
    <s v="OK"/>
  </r>
  <r>
    <s v="ORD-1502"/>
    <x v="593"/>
    <d v="2024-04-06T00:00:00"/>
    <s v="Second Class"/>
    <x v="168"/>
    <x v="167"/>
    <s v="Consumer"/>
    <s v="Boulder"/>
    <s v="Colorado"/>
    <x v="3"/>
    <x v="1"/>
    <x v="8"/>
    <s v="PROD-3440"/>
    <x v="797"/>
    <n v="4"/>
    <n v="0.05"/>
    <n v="853.83"/>
    <s v="OK"/>
  </r>
  <r>
    <s v="ORD-1489"/>
    <x v="594"/>
    <d v="2024-04-11T00:00:00"/>
    <s v="Standard Class"/>
    <x v="197"/>
    <x v="198"/>
    <s v="Consumer"/>
    <s v="Montgomery"/>
    <s v="Alabama"/>
    <x v="0"/>
    <x v="2"/>
    <x v="12"/>
    <s v="PROD-2637"/>
    <x v="798"/>
    <n v="9"/>
    <n v="0"/>
    <n v="368.55"/>
    <s v="OK"/>
  </r>
  <r>
    <s v="ORD-1022"/>
    <x v="595"/>
    <d v="2024-04-12T00:00:00"/>
    <s v="Second Class"/>
    <x v="76"/>
    <x v="76"/>
    <s v="Consumer"/>
    <s v="Milwaukee"/>
    <s v="Wisconsin"/>
    <x v="2"/>
    <x v="1"/>
    <x v="8"/>
    <s v="PROD-6082"/>
    <x v="799"/>
    <n v="10"/>
    <n v="0"/>
    <n v="1011.73"/>
    <s v="OK"/>
  </r>
  <r>
    <s v="ORD-1220"/>
    <x v="595"/>
    <d v="2024-04-13T00:00:00"/>
    <s v="Standard Class"/>
    <x v="186"/>
    <x v="186"/>
    <s v="Corporate"/>
    <s v="Montgomery"/>
    <s v="Alabama"/>
    <x v="0"/>
    <x v="0"/>
    <x v="3"/>
    <s v="PROD-2654"/>
    <x v="800"/>
    <n v="3"/>
    <n v="0"/>
    <n v="50.93"/>
    <s v="OK"/>
  </r>
  <r>
    <s v="ORD-1077"/>
    <x v="596"/>
    <d v="2024-04-19T00:00:00"/>
    <s v="Second Class"/>
    <x v="101"/>
    <x v="101"/>
    <s v="Corporate"/>
    <s v="Hartford"/>
    <s v="Connecticut"/>
    <x v="1"/>
    <x v="0"/>
    <x v="6"/>
    <s v="PROD-1831"/>
    <x v="801"/>
    <n v="5"/>
    <n v="0"/>
    <n v="358.18"/>
    <s v="OK"/>
  </r>
  <r>
    <s v="ORD-1001"/>
    <x v="596"/>
    <d v="2024-04-20T00:00:00"/>
    <s v="First Class"/>
    <x v="177"/>
    <x v="176"/>
    <s v="Home Office"/>
    <s v="Bridgeport"/>
    <s v="Connecticut"/>
    <x v="1"/>
    <x v="0"/>
    <x v="3"/>
    <s v="PROD-3002"/>
    <x v="802"/>
    <n v="6"/>
    <n v="0"/>
    <n v="96.76"/>
    <s v="OK"/>
  </r>
  <r>
    <s v="ORD-1330"/>
    <x v="596"/>
    <d v="2024-04-22T00:00:00"/>
    <s v="Standard Class"/>
    <x v="195"/>
    <x v="195"/>
    <s v="Consumer"/>
    <s v="Nashville"/>
    <s v="Tennessee"/>
    <x v="0"/>
    <x v="1"/>
    <x v="8"/>
    <s v="PROD-2904"/>
    <x v="803"/>
    <n v="6"/>
    <n v="0.3"/>
    <n v="190.39"/>
    <s v="OK"/>
  </r>
  <r>
    <s v="ORD-1903"/>
    <x v="597"/>
    <d v="2024-04-20T00:00:00"/>
    <s v="First Class"/>
    <x v="185"/>
    <x v="185"/>
    <s v="Corporate"/>
    <s v="Tucson"/>
    <s v="Arizona"/>
    <x v="3"/>
    <x v="2"/>
    <x v="12"/>
    <s v="PROD-4372"/>
    <x v="804"/>
    <n v="5"/>
    <n v="0.2"/>
    <n v="38.1"/>
    <s v="OK"/>
  </r>
  <r>
    <s v="ORD-1684"/>
    <x v="597"/>
    <d v="2024-04-21T00:00:00"/>
    <s v="Second Class"/>
    <x v="77"/>
    <x v="77"/>
    <s v="Consumer"/>
    <s v="Detroit"/>
    <s v="Michigan"/>
    <x v="2"/>
    <x v="2"/>
    <x v="10"/>
    <s v="PROD-2682"/>
    <x v="805"/>
    <n v="1"/>
    <n v="0.3"/>
    <n v="3.29"/>
    <s v="OK"/>
  </r>
  <r>
    <s v="ORD-1955"/>
    <x v="598"/>
    <d v="2024-04-22T00:00:00"/>
    <s v="Same Day"/>
    <x v="187"/>
    <x v="187"/>
    <s v="Consumer"/>
    <s v="Newark"/>
    <s v="New Jersey"/>
    <x v="1"/>
    <x v="1"/>
    <x v="1"/>
    <s v="PROD-5508"/>
    <x v="806"/>
    <n v="5"/>
    <n v="0.1"/>
    <n v="1270.01"/>
    <s v="OK"/>
  </r>
  <r>
    <s v="ORD-1301"/>
    <x v="599"/>
    <d v="2024-04-24T00:00:00"/>
    <s v="First Class"/>
    <x v="109"/>
    <x v="109"/>
    <s v="Home Office"/>
    <s v="Atlanta"/>
    <s v="Georgia"/>
    <x v="0"/>
    <x v="1"/>
    <x v="8"/>
    <s v="PROD-8613"/>
    <x v="807"/>
    <n v="3"/>
    <n v="0.15"/>
    <n v="395.65"/>
    <s v="OK"/>
  </r>
  <r>
    <s v="ORD-1578"/>
    <x v="599"/>
    <d v="2024-04-28T00:00:00"/>
    <s v="Standard Class"/>
    <x v="197"/>
    <x v="198"/>
    <s v="Consumer"/>
    <s v="Montgomery"/>
    <s v="Alabama"/>
    <x v="0"/>
    <x v="0"/>
    <x v="0"/>
    <s v="PROD-9740"/>
    <x v="808"/>
    <n v="5"/>
    <n v="0.3"/>
    <n v="-4.4800000000000004"/>
    <s v="OK"/>
  </r>
  <r>
    <s v="ORD-1560"/>
    <x v="600"/>
    <d v="2024-04-29T00:00:00"/>
    <s v="Standard Class"/>
    <x v="95"/>
    <x v="95"/>
    <s v="Consumer"/>
    <s v="Springfield"/>
    <s v="Illinois"/>
    <x v="2"/>
    <x v="1"/>
    <x v="9"/>
    <s v="PROD-7003"/>
    <x v="809"/>
    <n v="5"/>
    <n v="0.15"/>
    <n v="942.13"/>
    <s v="OK"/>
  </r>
  <r>
    <s v="ORD-1528"/>
    <x v="600"/>
    <d v="2024-04-25T00:00:00"/>
    <s v="Same Day"/>
    <x v="197"/>
    <x v="198"/>
    <s v="Consumer"/>
    <s v="Montgomery"/>
    <s v="Alabama"/>
    <x v="0"/>
    <x v="0"/>
    <x v="6"/>
    <s v="PROD-1108"/>
    <x v="810"/>
    <n v="9"/>
    <n v="0.15"/>
    <n v="215.87"/>
    <s v="OK"/>
  </r>
  <r>
    <s v="ORD-1486"/>
    <x v="601"/>
    <d v="2024-04-30T00:00:00"/>
    <s v="Standard Class"/>
    <x v="12"/>
    <x v="12"/>
    <s v="Consumer"/>
    <s v="Tucson"/>
    <s v="Arizona"/>
    <x v="3"/>
    <x v="0"/>
    <x v="6"/>
    <s v="PROD-2870"/>
    <x v="811"/>
    <n v="2"/>
    <n v="0.3"/>
    <n v="0.74"/>
    <s v="OK"/>
  </r>
  <r>
    <s v="ORD-1446"/>
    <x v="601"/>
    <d v="2024-04-27T00:00:00"/>
    <s v="Same Day"/>
    <x v="160"/>
    <x v="160"/>
    <s v="Corporate"/>
    <s v="Virginia Beach"/>
    <s v="Virginia"/>
    <x v="1"/>
    <x v="0"/>
    <x v="3"/>
    <s v="PROD-6606"/>
    <x v="812"/>
    <n v="6"/>
    <n v="0.05"/>
    <n v="-0.56000000000000005"/>
    <s v="OK"/>
  </r>
  <r>
    <s v="ORD-1008"/>
    <x v="602"/>
    <d v="2024-05-02T00:00:00"/>
    <s v="Same Day"/>
    <x v="149"/>
    <x v="149"/>
    <s v="Home Office"/>
    <s v="Cleveland"/>
    <s v="Ohio"/>
    <x v="2"/>
    <x v="1"/>
    <x v="2"/>
    <s v="PROD-6053"/>
    <x v="813"/>
    <n v="2"/>
    <n v="0.1"/>
    <n v="41.03"/>
    <s v="OK"/>
  </r>
  <r>
    <s v="ORD-1940"/>
    <x v="602"/>
    <d v="2024-05-04T00:00:00"/>
    <s v="Standard Class"/>
    <x v="141"/>
    <x v="141"/>
    <s v="Corporate"/>
    <s v="Saint Paul"/>
    <s v="Minnesota"/>
    <x v="2"/>
    <x v="0"/>
    <x v="6"/>
    <s v="PROD-9001"/>
    <x v="814"/>
    <n v="1"/>
    <n v="0.05"/>
    <n v="3.95"/>
    <s v="OK"/>
  </r>
  <r>
    <s v="ORD-1893"/>
    <x v="603"/>
    <d v="2024-05-03T00:00:00"/>
    <s v="Second Class"/>
    <x v="181"/>
    <x v="180"/>
    <s v="Home Office"/>
    <s v="Miami"/>
    <s v="Florida"/>
    <x v="0"/>
    <x v="0"/>
    <x v="7"/>
    <s v="PROD-9907"/>
    <x v="815"/>
    <n v="7"/>
    <n v="0"/>
    <n v="339.27"/>
    <s v="OK"/>
  </r>
  <r>
    <s v="ORD-1436"/>
    <x v="604"/>
    <d v="2024-05-08T00:00:00"/>
    <s v="Standard Class"/>
    <x v="186"/>
    <x v="186"/>
    <s v="Corporate"/>
    <s v="Montgomery"/>
    <s v="Alabama"/>
    <x v="0"/>
    <x v="2"/>
    <x v="14"/>
    <s v="PROD-8649"/>
    <x v="816"/>
    <n v="5"/>
    <n v="0"/>
    <n v="24.74"/>
    <s v="OK"/>
  </r>
  <r>
    <s v="ORD-1382"/>
    <x v="605"/>
    <d v="2024-05-12T00:00:00"/>
    <s v="Standard Class"/>
    <x v="38"/>
    <x v="38"/>
    <s v="Corporate"/>
    <s v="Charlotte"/>
    <s v="North Carolina"/>
    <x v="0"/>
    <x v="2"/>
    <x v="4"/>
    <s v="PROD-3213"/>
    <x v="817"/>
    <n v="1"/>
    <n v="0"/>
    <n v="78.7"/>
    <s v="OK"/>
  </r>
  <r>
    <s v="ORD-1448"/>
    <x v="606"/>
    <d v="2024-05-08T00:00:00"/>
    <s v="Same Day"/>
    <x v="167"/>
    <x v="166"/>
    <s v="Home Office"/>
    <s v="Indianapolis"/>
    <s v="Indiana"/>
    <x v="2"/>
    <x v="0"/>
    <x v="6"/>
    <s v="PROD-9098"/>
    <x v="818"/>
    <n v="2"/>
    <n v="0.5"/>
    <n v="-44.99"/>
    <s v="OK"/>
  </r>
  <r>
    <s v="ORD-1144"/>
    <x v="606"/>
    <d v="2024-05-11T00:00:00"/>
    <s v="Second Class"/>
    <x v="41"/>
    <x v="41"/>
    <s v="Home Office"/>
    <s v="Jersey City"/>
    <s v="New Jersey"/>
    <x v="1"/>
    <x v="2"/>
    <x v="10"/>
    <s v="PROD-7286"/>
    <x v="819"/>
    <n v="3"/>
    <n v="0.4"/>
    <n v="2.73"/>
    <s v="OK"/>
  </r>
  <r>
    <s v="ORD-1399"/>
    <x v="607"/>
    <d v="2024-05-12T00:00:00"/>
    <s v="Standard Class"/>
    <x v="22"/>
    <x v="22"/>
    <s v="Corporate"/>
    <s v="Indianapolis"/>
    <s v="Indiana"/>
    <x v="2"/>
    <x v="2"/>
    <x v="14"/>
    <s v="PROD-4258"/>
    <x v="820"/>
    <n v="2"/>
    <n v="0.15"/>
    <n v="35.770000000000003"/>
    <s v="OK"/>
  </r>
  <r>
    <s v="ORD-1195"/>
    <x v="607"/>
    <d v="2024-05-10T00:00:00"/>
    <s v="Second Class"/>
    <x v="180"/>
    <x v="179"/>
    <s v="Corporate"/>
    <s v="Columbus"/>
    <s v="Ohio"/>
    <x v="2"/>
    <x v="2"/>
    <x v="14"/>
    <s v="PROD-5602"/>
    <x v="821"/>
    <n v="5"/>
    <n v="0"/>
    <n v="78.89"/>
    <s v="OK"/>
  </r>
  <r>
    <s v="ORD-1736"/>
    <x v="608"/>
    <d v="2024-05-12T00:00:00"/>
    <s v="Same Day"/>
    <x v="164"/>
    <x v="164"/>
    <s v="Corporate"/>
    <s v="Milwaukee"/>
    <s v="Wisconsin"/>
    <x v="2"/>
    <x v="0"/>
    <x v="0"/>
    <s v="PROD-6385"/>
    <x v="822"/>
    <n v="1"/>
    <n v="0.05"/>
    <n v="41.65"/>
    <s v="OK"/>
  </r>
  <r>
    <s v="ORD-1097"/>
    <x v="608"/>
    <d v="2024-05-14T00:00:00"/>
    <s v="Standard Class"/>
    <x v="95"/>
    <x v="95"/>
    <s v="Consumer"/>
    <s v="Springfield"/>
    <s v="Illinois"/>
    <x v="2"/>
    <x v="0"/>
    <x v="0"/>
    <s v="PROD-1724"/>
    <x v="823"/>
    <n v="2"/>
    <n v="0.5"/>
    <n v="-47.49"/>
    <s v="OK"/>
  </r>
  <r>
    <s v="ORD-1370"/>
    <x v="609"/>
    <d v="2024-05-10T00:00:00"/>
    <s v="Second Class"/>
    <x v="85"/>
    <x v="85"/>
    <s v="Consumer"/>
    <s v="Cleveland"/>
    <s v="Ohio"/>
    <x v="2"/>
    <x v="1"/>
    <x v="1"/>
    <s v="PROD-9702"/>
    <x v="824"/>
    <n v="6"/>
    <n v="0.3"/>
    <n v="-194.88"/>
    <s v="Error"/>
  </r>
  <r>
    <s v="ORD-1668"/>
    <x v="610"/>
    <d v="2024-05-14T00:00:00"/>
    <s v="First Class"/>
    <x v="156"/>
    <x v="156"/>
    <s v="Corporate"/>
    <s v="Hartford"/>
    <s v="Connecticut"/>
    <x v="1"/>
    <x v="1"/>
    <x v="8"/>
    <s v="PROD-3190"/>
    <x v="825"/>
    <n v="6"/>
    <n v="0.15"/>
    <n v="398.23"/>
    <s v="OK"/>
  </r>
  <r>
    <s v="ORD-1889"/>
    <x v="611"/>
    <d v="2024-05-16T00:00:00"/>
    <s v="First Class"/>
    <x v="189"/>
    <x v="189"/>
    <s v="Corporate"/>
    <s v="New York City"/>
    <s v="New York"/>
    <x v="1"/>
    <x v="0"/>
    <x v="7"/>
    <s v="PROD-3792"/>
    <x v="826"/>
    <n v="6"/>
    <n v="0.4"/>
    <n v="-115.63"/>
    <s v="OK"/>
  </r>
  <r>
    <s v="ORD-1609"/>
    <x v="612"/>
    <d v="2024-05-15T00:00:00"/>
    <s v="Same Day"/>
    <x v="104"/>
    <x v="104"/>
    <s v="Corporate"/>
    <s v="Charlotte"/>
    <s v="North Carolina"/>
    <x v="0"/>
    <x v="1"/>
    <x v="1"/>
    <s v="PROD-7922"/>
    <x v="827"/>
    <n v="7"/>
    <n v="0.3"/>
    <n v="-191.52"/>
    <s v="OK"/>
  </r>
  <r>
    <s v="ORD-1908"/>
    <x v="613"/>
    <d v="2024-05-22T00:00:00"/>
    <s v="Second Class"/>
    <x v="101"/>
    <x v="101"/>
    <s v="Corporate"/>
    <s v="Hartford"/>
    <s v="Connecticut"/>
    <x v="1"/>
    <x v="2"/>
    <x v="13"/>
    <s v="PROD-4562"/>
    <x v="828"/>
    <n v="9"/>
    <n v="0"/>
    <n v="152.36000000000001"/>
    <s v="OK"/>
  </r>
  <r>
    <s v="ORD-1043"/>
    <x v="614"/>
    <d v="2024-05-20T00:00:00"/>
    <s v="Same Day"/>
    <x v="109"/>
    <x v="109"/>
    <s v="Home Office"/>
    <s v="Atlanta"/>
    <s v="Georgia"/>
    <x v="0"/>
    <x v="2"/>
    <x v="13"/>
    <s v="PROD-8272"/>
    <x v="829"/>
    <n v="6"/>
    <n v="0.1"/>
    <n v="13.49"/>
    <s v="OK"/>
  </r>
  <r>
    <s v="ORD-1500"/>
    <x v="615"/>
    <d v="2024-05-26T00:00:00"/>
    <s v="Second Class"/>
    <x v="31"/>
    <x v="31"/>
    <s v="Corporate"/>
    <s v="Madison"/>
    <s v="Wisconsin"/>
    <x v="2"/>
    <x v="2"/>
    <x v="4"/>
    <s v="PROD-3784"/>
    <x v="830"/>
    <n v="6"/>
    <n v="0.05"/>
    <n v="191.76"/>
    <s v="OK"/>
  </r>
  <r>
    <s v="ORD-1307"/>
    <x v="616"/>
    <d v="2024-05-29T00:00:00"/>
    <s v="Standard Class"/>
    <x v="127"/>
    <x v="127"/>
    <s v="Home Office"/>
    <s v="Saint Paul"/>
    <s v="Minnesota"/>
    <x v="2"/>
    <x v="2"/>
    <x v="13"/>
    <s v="PROD-3276"/>
    <x v="831"/>
    <n v="6"/>
    <n v="0.3"/>
    <n v="20.46"/>
    <s v="OK"/>
  </r>
  <r>
    <s v="ORD-1224"/>
    <x v="617"/>
    <d v="2024-05-28T00:00:00"/>
    <s v="Standard Class"/>
    <x v="113"/>
    <x v="113"/>
    <s v="Home Office"/>
    <s v="Raleigh"/>
    <s v="North Carolina"/>
    <x v="0"/>
    <x v="1"/>
    <x v="8"/>
    <s v="PROD-8237"/>
    <x v="832"/>
    <n v="6"/>
    <n v="0.1"/>
    <n v="914.18"/>
    <s v="OK"/>
  </r>
  <r>
    <s v="ORD-1248"/>
    <x v="618"/>
    <d v="2024-05-29T00:00:00"/>
    <s v="Second Class"/>
    <x v="98"/>
    <x v="98"/>
    <s v="Home Office"/>
    <s v="Cleveland"/>
    <s v="Ohio"/>
    <x v="2"/>
    <x v="1"/>
    <x v="2"/>
    <s v="PROD-2718"/>
    <x v="833"/>
    <n v="2"/>
    <n v="0.4"/>
    <n v="4.95"/>
    <s v="OK"/>
  </r>
  <r>
    <s v="ORD-1314"/>
    <x v="618"/>
    <d v="2024-05-30T00:00:00"/>
    <s v="Standard Class"/>
    <x v="24"/>
    <x v="24"/>
    <s v="Corporate"/>
    <s v="Orlando"/>
    <s v="Florida"/>
    <x v="0"/>
    <x v="0"/>
    <x v="7"/>
    <s v="PROD-8796"/>
    <x v="834"/>
    <n v="9"/>
    <n v="0.2"/>
    <n v="198.57"/>
    <s v="OK"/>
  </r>
  <r>
    <s v="ORD-1741"/>
    <x v="618"/>
    <d v="2024-05-29T00:00:00"/>
    <s v="Second Class"/>
    <x v="47"/>
    <x v="47"/>
    <s v="Home Office"/>
    <s v="Raleigh"/>
    <s v="North Carolina"/>
    <x v="0"/>
    <x v="1"/>
    <x v="8"/>
    <s v="PROD-5675"/>
    <x v="835"/>
    <n v="4"/>
    <n v="0.05"/>
    <n v="369.29"/>
    <s v="OK"/>
  </r>
  <r>
    <s v="ORD-1963"/>
    <x v="619"/>
    <d v="2024-06-01T00:00:00"/>
    <s v="Standard Class"/>
    <x v="183"/>
    <x v="182"/>
    <s v="Home Office"/>
    <s v="Columbus"/>
    <s v="Ohio"/>
    <x v="2"/>
    <x v="1"/>
    <x v="9"/>
    <s v="PROD-6261"/>
    <x v="836"/>
    <n v="2"/>
    <n v="0.3"/>
    <n v="-102.85"/>
    <s v="OK"/>
  </r>
  <r>
    <s v="ORD-1999"/>
    <x v="620"/>
    <d v="2024-05-31T00:00:00"/>
    <s v="Same Day"/>
    <x v="30"/>
    <x v="30"/>
    <s v="Home Office"/>
    <s v="Indianapolis"/>
    <s v="Indiana"/>
    <x v="2"/>
    <x v="0"/>
    <x v="3"/>
    <s v="PROD-9592"/>
    <x v="837"/>
    <n v="2"/>
    <n v="0.4"/>
    <n v="-369.39"/>
    <s v="OK"/>
  </r>
  <r>
    <s v="ORD-1410"/>
    <x v="621"/>
    <d v="2024-06-02T00:00:00"/>
    <s v="Same Day"/>
    <x v="72"/>
    <x v="72"/>
    <s v="Corporate"/>
    <s v="Cleveland"/>
    <s v="Ohio"/>
    <x v="2"/>
    <x v="2"/>
    <x v="4"/>
    <s v="PROD-6126"/>
    <x v="838"/>
    <n v="7"/>
    <n v="0.2"/>
    <n v="198.47"/>
    <s v="OK"/>
  </r>
  <r>
    <s v="ORD-1020"/>
    <x v="622"/>
    <d v="2024-06-06T00:00:00"/>
    <s v="Second Class"/>
    <x v="137"/>
    <x v="137"/>
    <s v="Consumer"/>
    <s v="Philadelphia"/>
    <s v="Pennsylvania"/>
    <x v="1"/>
    <x v="0"/>
    <x v="0"/>
    <s v="PROD-7108"/>
    <x v="839"/>
    <n v="8"/>
    <n v="0.3"/>
    <n v="-13.65"/>
    <s v="OK"/>
  </r>
  <r>
    <s v="ORD-1638"/>
    <x v="623"/>
    <d v="2024-06-09T00:00:00"/>
    <s v="Second Class"/>
    <x v="67"/>
    <x v="67"/>
    <s v="Corporate"/>
    <s v="Virginia Beach"/>
    <s v="Virginia"/>
    <x v="1"/>
    <x v="1"/>
    <x v="9"/>
    <s v="PROD-7618"/>
    <x v="840"/>
    <n v="1"/>
    <n v="0.1"/>
    <n v="65.89"/>
    <s v="OK"/>
  </r>
  <r>
    <s v="ORD-1970"/>
    <x v="624"/>
    <d v="2024-06-08T00:00:00"/>
    <s v="First Class"/>
    <x v="125"/>
    <x v="125"/>
    <s v="Consumer"/>
    <s v="Houston"/>
    <s v="Texas"/>
    <x v="0"/>
    <x v="0"/>
    <x v="6"/>
    <s v="PROD-1928"/>
    <x v="841"/>
    <n v="10"/>
    <n v="0.05"/>
    <n v="51.69"/>
    <s v="OK"/>
  </r>
  <r>
    <s v="ORD-1421"/>
    <x v="624"/>
    <d v="2024-06-09T00:00:00"/>
    <s v="Second Class"/>
    <x v="162"/>
    <x v="162"/>
    <s v="Corporate"/>
    <s v="Montgomery"/>
    <s v="Alabama"/>
    <x v="0"/>
    <x v="0"/>
    <x v="7"/>
    <s v="PROD-6901"/>
    <x v="842"/>
    <n v="3"/>
    <n v="0"/>
    <n v="153.24"/>
    <s v="OK"/>
  </r>
  <r>
    <s v="ORD-1622"/>
    <x v="625"/>
    <d v="2024-06-07T00:00:00"/>
    <s v="Same Day"/>
    <x v="40"/>
    <x v="40"/>
    <s v="Home Office"/>
    <s v="Boston"/>
    <s v="Massachusetts"/>
    <x v="1"/>
    <x v="1"/>
    <x v="9"/>
    <s v="PROD-1994"/>
    <x v="843"/>
    <n v="7"/>
    <n v="0.3"/>
    <n v="-156.21"/>
    <s v="OK"/>
  </r>
  <r>
    <s v="ORD-1134"/>
    <x v="626"/>
    <d v="2024-06-15T00:00:00"/>
    <s v="Standard Class"/>
    <x v="38"/>
    <x v="38"/>
    <s v="Corporate"/>
    <s v="Charlotte"/>
    <s v="North Carolina"/>
    <x v="0"/>
    <x v="1"/>
    <x v="2"/>
    <s v="PROD-7547"/>
    <x v="844"/>
    <n v="4"/>
    <n v="0.15"/>
    <n v="37.35"/>
    <s v="OK"/>
  </r>
  <r>
    <s v="ORD-1762"/>
    <x v="626"/>
    <d v="2024-06-14T00:00:00"/>
    <s v="Standard Class"/>
    <x v="42"/>
    <x v="42"/>
    <s v="Consumer"/>
    <s v="Las Vegas"/>
    <s v="Nevada"/>
    <x v="3"/>
    <x v="1"/>
    <x v="9"/>
    <s v="PROD-8010"/>
    <x v="845"/>
    <n v="4"/>
    <n v="0.5"/>
    <n v="-1671.11"/>
    <s v="OK"/>
  </r>
  <r>
    <s v="ORD-1209"/>
    <x v="627"/>
    <d v="2024-06-13T00:00:00"/>
    <s v="Same Day"/>
    <x v="27"/>
    <x v="27"/>
    <s v="Home Office"/>
    <s v="San Diego"/>
    <s v="California"/>
    <x v="3"/>
    <x v="2"/>
    <x v="12"/>
    <s v="PROD-1507"/>
    <x v="846"/>
    <n v="9"/>
    <n v="0"/>
    <n v="403.07"/>
    <s v="OK"/>
  </r>
  <r>
    <s v="ORD-1302"/>
    <x v="628"/>
    <d v="2024-06-16T00:00:00"/>
    <s v="Second Class"/>
    <x v="87"/>
    <x v="87"/>
    <s v="Corporate"/>
    <s v="Savannah"/>
    <s v="Georgia"/>
    <x v="0"/>
    <x v="1"/>
    <x v="2"/>
    <s v="PROD-3299"/>
    <x v="847"/>
    <n v="9"/>
    <n v="0"/>
    <n v="287.39999999999998"/>
    <s v="OK"/>
  </r>
  <r>
    <s v="ORD-1899"/>
    <x v="628"/>
    <d v="2024-06-16T00:00:00"/>
    <s v="Standard Class"/>
    <x v="83"/>
    <x v="83"/>
    <s v="Home Office"/>
    <s v="Boston"/>
    <s v="Massachusetts"/>
    <x v="1"/>
    <x v="0"/>
    <x v="7"/>
    <s v="PROD-9548"/>
    <x v="848"/>
    <n v="6"/>
    <n v="0.15"/>
    <n v="199.81"/>
    <s v="OK"/>
  </r>
  <r>
    <s v="ORD-1120"/>
    <x v="628"/>
    <d v="2024-06-13T00:00:00"/>
    <s v="Same Day"/>
    <x v="29"/>
    <x v="29"/>
    <s v="Corporate"/>
    <s v="San Francisco"/>
    <s v="California"/>
    <x v="3"/>
    <x v="0"/>
    <x v="3"/>
    <s v="PROD-1485"/>
    <x v="849"/>
    <n v="2"/>
    <n v="0.15"/>
    <n v="-38.19"/>
    <s v="OK"/>
  </r>
  <r>
    <s v="ORD-1947"/>
    <x v="629"/>
    <d v="2024-06-15T00:00:00"/>
    <s v="First Class"/>
    <x v="77"/>
    <x v="77"/>
    <s v="Consumer"/>
    <s v="Detroit"/>
    <s v="Michigan"/>
    <x v="2"/>
    <x v="0"/>
    <x v="7"/>
    <s v="PROD-9391"/>
    <x v="850"/>
    <n v="7"/>
    <n v="0"/>
    <n v="1664.53"/>
    <s v="OK"/>
  </r>
  <r>
    <s v="ORD-1163"/>
    <x v="630"/>
    <d v="2024-06-16T00:00:00"/>
    <s v="Same Day"/>
    <x v="65"/>
    <x v="65"/>
    <s v="Consumer"/>
    <s v="Charlotte"/>
    <s v="North Carolina"/>
    <x v="0"/>
    <x v="0"/>
    <x v="0"/>
    <s v="PROD-2420"/>
    <x v="851"/>
    <n v="4"/>
    <n v="0"/>
    <n v="248.61"/>
    <s v="OK"/>
  </r>
  <r>
    <s v="ORD-1885"/>
    <x v="631"/>
    <d v="2024-06-17T00:00:00"/>
    <s v="Same Day"/>
    <x v="60"/>
    <x v="60"/>
    <s v="Home Office"/>
    <s v="Fort Wayne"/>
    <s v="Indiana"/>
    <x v="2"/>
    <x v="1"/>
    <x v="2"/>
    <s v="PROD-9133"/>
    <x v="852"/>
    <n v="2"/>
    <n v="0"/>
    <n v="149.76"/>
    <s v="OK"/>
  </r>
  <r>
    <s v="ORD-1816"/>
    <x v="631"/>
    <d v="2024-06-19T00:00:00"/>
    <s v="Second Class"/>
    <x v="24"/>
    <x v="24"/>
    <s v="Corporate"/>
    <s v="Orlando"/>
    <s v="Florida"/>
    <x v="0"/>
    <x v="2"/>
    <x v="5"/>
    <s v="PROD-1834"/>
    <x v="853"/>
    <n v="4"/>
    <n v="0"/>
    <n v="155.88"/>
    <s v="OK"/>
  </r>
  <r>
    <s v="ORD-1112"/>
    <x v="632"/>
    <d v="2024-06-22T00:00:00"/>
    <s v="Same Day"/>
    <x v="125"/>
    <x v="125"/>
    <s v="Consumer"/>
    <s v="Houston"/>
    <s v="Texas"/>
    <x v="0"/>
    <x v="1"/>
    <x v="1"/>
    <s v="PROD-8993"/>
    <x v="854"/>
    <n v="9"/>
    <n v="0.3"/>
    <n v="-89.26"/>
    <s v="OK"/>
  </r>
  <r>
    <s v="ORD-1967"/>
    <x v="633"/>
    <d v="2024-06-23T00:00:00"/>
    <s v="Second Class"/>
    <x v="56"/>
    <x v="56"/>
    <s v="Home Office"/>
    <s v="Nashville"/>
    <s v="Tennessee"/>
    <x v="0"/>
    <x v="0"/>
    <x v="0"/>
    <s v="PROD-8190"/>
    <x v="855"/>
    <n v="8"/>
    <n v="0.4"/>
    <n v="-280.3"/>
    <s v="OK"/>
  </r>
  <r>
    <s v="ORD-1264"/>
    <x v="634"/>
    <d v="2024-06-26T00:00:00"/>
    <s v="Same Day"/>
    <x v="13"/>
    <x v="13"/>
    <s v="Home Office"/>
    <s v="Milwaukee"/>
    <s v="Wisconsin"/>
    <x v="2"/>
    <x v="2"/>
    <x v="5"/>
    <s v="PROD-6952"/>
    <x v="856"/>
    <n v="8"/>
    <n v="0.15"/>
    <n v="436.7"/>
    <s v="OK"/>
  </r>
  <r>
    <s v="ORD-1217"/>
    <x v="635"/>
    <d v="2024-06-27T00:00:00"/>
    <s v="Second Class"/>
    <x v="90"/>
    <x v="90"/>
    <s v="Corporate"/>
    <s v="Springfield"/>
    <s v="Illinois"/>
    <x v="2"/>
    <x v="2"/>
    <x v="5"/>
    <s v="PROD-8357"/>
    <x v="857"/>
    <n v="9"/>
    <n v="0.5"/>
    <n v="-137.04"/>
    <s v="OK"/>
  </r>
  <r>
    <s v="ORD-1928"/>
    <x v="635"/>
    <d v="2024-06-26T00:00:00"/>
    <s v="Same Day"/>
    <x v="43"/>
    <x v="43"/>
    <s v="Corporate"/>
    <s v="Virginia Beach"/>
    <s v="Virginia"/>
    <x v="1"/>
    <x v="1"/>
    <x v="9"/>
    <s v="PROD-7437"/>
    <x v="858"/>
    <n v="9"/>
    <n v="0"/>
    <n v="1256.42"/>
    <s v="OK"/>
  </r>
  <r>
    <s v="ORD-1438"/>
    <x v="636"/>
    <d v="2024-07-04T00:00:00"/>
    <s v="Standard Class"/>
    <x v="122"/>
    <x v="122"/>
    <s v="Consumer"/>
    <s v="Charlotte"/>
    <s v="North Carolina"/>
    <x v="0"/>
    <x v="2"/>
    <x v="10"/>
    <s v="PROD-9888"/>
    <x v="859"/>
    <n v="3"/>
    <n v="0.1"/>
    <n v="22.9"/>
    <s v="OK"/>
  </r>
  <r>
    <s v="ORD-1695"/>
    <x v="637"/>
    <d v="2024-07-03T00:00:00"/>
    <s v="Same Day"/>
    <x v="3"/>
    <x v="3"/>
    <s v="Corporate"/>
    <s v="Saint Paul"/>
    <s v="Minnesota"/>
    <x v="2"/>
    <x v="0"/>
    <x v="6"/>
    <s v="PROD-2071"/>
    <x v="860"/>
    <n v="3"/>
    <n v="0.4"/>
    <n v="-76.819999999999993"/>
    <s v="OK"/>
  </r>
  <r>
    <s v="ORD-1424"/>
    <x v="637"/>
    <d v="2024-07-02T00:00:00"/>
    <s v="First Class"/>
    <x v="89"/>
    <x v="89"/>
    <s v="Home Office"/>
    <s v="Bridgeport"/>
    <s v="Connecticut"/>
    <x v="1"/>
    <x v="2"/>
    <x v="15"/>
    <s v="PROD-9132"/>
    <x v="861"/>
    <n v="6"/>
    <n v="0.1"/>
    <n v="20.54"/>
    <s v="OK"/>
  </r>
  <r>
    <s v="ORD-1939"/>
    <x v="638"/>
    <d v="2024-07-05T00:00:00"/>
    <s v="Second Class"/>
    <x v="83"/>
    <x v="83"/>
    <s v="Home Office"/>
    <s v="Boston"/>
    <s v="Massachusetts"/>
    <x v="1"/>
    <x v="2"/>
    <x v="12"/>
    <s v="PROD-8976"/>
    <x v="862"/>
    <n v="3"/>
    <n v="0.4"/>
    <n v="-20.170000000000002"/>
    <s v="OK"/>
  </r>
  <r>
    <s v="ORD-1159"/>
    <x v="639"/>
    <d v="2024-07-09T00:00:00"/>
    <s v="First Class"/>
    <x v="157"/>
    <x v="157"/>
    <s v="Home Office"/>
    <s v="Portland"/>
    <s v="Oregon"/>
    <x v="3"/>
    <x v="1"/>
    <x v="9"/>
    <s v="PROD-4836"/>
    <x v="863"/>
    <n v="6"/>
    <n v="0"/>
    <n v="999.72"/>
    <s v="OK"/>
  </r>
  <r>
    <s v="ORD-1299"/>
    <x v="640"/>
    <d v="2024-07-14T00:00:00"/>
    <s v="Standard Class"/>
    <x v="121"/>
    <x v="121"/>
    <s v="Home Office"/>
    <s v="Chicago"/>
    <s v="Illinois"/>
    <x v="2"/>
    <x v="1"/>
    <x v="2"/>
    <s v="PROD-2235"/>
    <x v="864"/>
    <n v="3"/>
    <n v="0.4"/>
    <n v="24.76"/>
    <s v="OK"/>
  </r>
  <r>
    <s v="ORD-1431"/>
    <x v="640"/>
    <d v="2024-07-12T00:00:00"/>
    <s v="Second Class"/>
    <x v="198"/>
    <x v="199"/>
    <s v="Corporate"/>
    <s v="Virginia Beach"/>
    <s v="Virginia"/>
    <x v="1"/>
    <x v="0"/>
    <x v="0"/>
    <s v="PROD-7382"/>
    <x v="154"/>
    <n v="1"/>
    <n v="0.15"/>
    <n v="10.75"/>
    <s v="OK"/>
  </r>
  <r>
    <s v="ORD-1016"/>
    <x v="641"/>
    <d v="2024-07-10T00:00:00"/>
    <s v="First Class"/>
    <x v="77"/>
    <x v="77"/>
    <s v="Consumer"/>
    <s v="Detroit"/>
    <s v="Michigan"/>
    <x v="2"/>
    <x v="1"/>
    <x v="8"/>
    <s v="PROD-8205"/>
    <x v="865"/>
    <n v="10"/>
    <n v="0.5"/>
    <n v="-508.52"/>
    <s v="OK"/>
  </r>
  <r>
    <s v="ORD-1892"/>
    <x v="641"/>
    <d v="2024-07-12T00:00:00"/>
    <s v="First Class"/>
    <x v="118"/>
    <x v="118"/>
    <s v="Home Office"/>
    <s v="Los Angeles"/>
    <s v="California"/>
    <x v="3"/>
    <x v="1"/>
    <x v="1"/>
    <s v="PROD-3605"/>
    <x v="866"/>
    <n v="10"/>
    <n v="0.2"/>
    <n v="-105.8"/>
    <s v="OK"/>
  </r>
  <r>
    <s v="ORD-1429"/>
    <x v="641"/>
    <d v="2024-07-11T00:00:00"/>
    <s v="Same Day"/>
    <x v="162"/>
    <x v="162"/>
    <s v="Corporate"/>
    <s v="Montgomery"/>
    <s v="Alabama"/>
    <x v="0"/>
    <x v="2"/>
    <x v="4"/>
    <s v="PROD-6490"/>
    <x v="867"/>
    <n v="1"/>
    <n v="0"/>
    <n v="97.46"/>
    <s v="OK"/>
  </r>
  <r>
    <s v="ORD-1492"/>
    <x v="641"/>
    <d v="2024-07-11T00:00:00"/>
    <s v="First Class"/>
    <x v="121"/>
    <x v="121"/>
    <s v="Home Office"/>
    <s v="Chicago"/>
    <s v="Illinois"/>
    <x v="2"/>
    <x v="1"/>
    <x v="2"/>
    <s v="PROD-7861"/>
    <x v="868"/>
    <n v="8"/>
    <n v="0.5"/>
    <n v="-169.69"/>
    <s v="OK"/>
  </r>
  <r>
    <s v="ORD-1535"/>
    <x v="642"/>
    <d v="2024-07-13T00:00:00"/>
    <s v="Second Class"/>
    <x v="173"/>
    <x v="172"/>
    <s v="Home Office"/>
    <s v="Minneapolis"/>
    <s v="Minnesota"/>
    <x v="2"/>
    <x v="2"/>
    <x v="15"/>
    <s v="PROD-3738"/>
    <x v="869"/>
    <n v="2"/>
    <n v="0.4"/>
    <n v="2.85"/>
    <s v="OK"/>
  </r>
  <r>
    <s v="ORD-1070"/>
    <x v="643"/>
    <d v="2024-07-13T00:00:00"/>
    <s v="Same Day"/>
    <x v="0"/>
    <x v="0"/>
    <s v="Consumer"/>
    <s v="Montgomery"/>
    <s v="Alabama"/>
    <x v="0"/>
    <x v="1"/>
    <x v="1"/>
    <s v="PROD-4968"/>
    <x v="870"/>
    <n v="10"/>
    <n v="0.3"/>
    <n v="80.7"/>
    <s v="OK"/>
  </r>
  <r>
    <s v="ORD-1791"/>
    <x v="644"/>
    <d v="2024-07-17T00:00:00"/>
    <s v="First Class"/>
    <x v="68"/>
    <x v="68"/>
    <s v="Consumer"/>
    <s v="Detroit"/>
    <s v="Michigan"/>
    <x v="2"/>
    <x v="1"/>
    <x v="8"/>
    <s v="PROD-4156"/>
    <x v="871"/>
    <n v="3"/>
    <n v="0.4"/>
    <n v="61.97"/>
    <s v="OK"/>
  </r>
  <r>
    <s v="ORD-1692"/>
    <x v="645"/>
    <d v="2024-07-18T00:00:00"/>
    <s v="First Class"/>
    <x v="114"/>
    <x v="114"/>
    <s v="Corporate"/>
    <s v="Nashville"/>
    <s v="Tennessee"/>
    <x v="0"/>
    <x v="2"/>
    <x v="5"/>
    <s v="PROD-1486"/>
    <x v="872"/>
    <n v="3"/>
    <n v="0.1"/>
    <n v="150.30000000000001"/>
    <s v="OK"/>
  </r>
  <r>
    <s v="ORD-1240"/>
    <x v="645"/>
    <d v="2024-07-20T00:00:00"/>
    <s v="Second Class"/>
    <x v="71"/>
    <x v="71"/>
    <s v="Consumer"/>
    <s v="Charlotte"/>
    <s v="North Carolina"/>
    <x v="0"/>
    <x v="1"/>
    <x v="8"/>
    <s v="PROD-1950"/>
    <x v="873"/>
    <n v="3"/>
    <n v="0"/>
    <n v="160.76"/>
    <s v="OK"/>
  </r>
  <r>
    <s v="ORD-1005"/>
    <x v="646"/>
    <d v="2024-07-25T00:00:00"/>
    <s v="Standard Class"/>
    <x v="119"/>
    <x v="119"/>
    <s v="Consumer"/>
    <s v="Houston"/>
    <s v="Texas"/>
    <x v="0"/>
    <x v="0"/>
    <x v="0"/>
    <s v="PROD-9691"/>
    <x v="874"/>
    <n v="7"/>
    <n v="0"/>
    <n v="853.49"/>
    <s v="OK"/>
  </r>
  <r>
    <s v="ORD-1265"/>
    <x v="647"/>
    <d v="2024-07-25T00:00:00"/>
    <s v="First Class"/>
    <x v="178"/>
    <x v="177"/>
    <s v="Corporate"/>
    <s v="Las Vegas"/>
    <s v="Nevada"/>
    <x v="3"/>
    <x v="2"/>
    <x v="10"/>
    <s v="PROD-9552"/>
    <x v="875"/>
    <n v="4"/>
    <n v="0"/>
    <n v="16.260000000000002"/>
    <s v="OK"/>
  </r>
  <r>
    <s v="ORD-1875"/>
    <x v="648"/>
    <d v="2024-07-28T00:00:00"/>
    <s v="Second Class"/>
    <x v="144"/>
    <x v="144"/>
    <s v="Corporate"/>
    <s v="San Francisco"/>
    <s v="California"/>
    <x v="3"/>
    <x v="2"/>
    <x v="11"/>
    <s v="PROD-3322"/>
    <x v="876"/>
    <n v="1"/>
    <n v="0.2"/>
    <n v="1.18"/>
    <s v="OK"/>
  </r>
  <r>
    <s v="ORD-1663"/>
    <x v="649"/>
    <d v="2024-07-29T00:00:00"/>
    <s v="Second Class"/>
    <x v="19"/>
    <x v="19"/>
    <s v="Corporate"/>
    <s v="Birmingham"/>
    <s v="Alabama"/>
    <x v="0"/>
    <x v="1"/>
    <x v="1"/>
    <s v="PROD-7116"/>
    <x v="877"/>
    <n v="7"/>
    <n v="0.3"/>
    <n v="165.57"/>
    <s v="OK"/>
  </r>
  <r>
    <s v="ORD-1449"/>
    <x v="649"/>
    <d v="2024-07-31T00:00:00"/>
    <s v="Standard Class"/>
    <x v="120"/>
    <x v="120"/>
    <s v="Corporate"/>
    <s v="San Diego"/>
    <s v="California"/>
    <x v="3"/>
    <x v="1"/>
    <x v="2"/>
    <s v="PROD-3444"/>
    <x v="878"/>
    <n v="3"/>
    <n v="0.5"/>
    <n v="-13.42"/>
    <s v="OK"/>
  </r>
  <r>
    <s v="ORD-1358"/>
    <x v="650"/>
    <d v="2024-07-31T00:00:00"/>
    <s v="Same Day"/>
    <x v="165"/>
    <x v="165"/>
    <s v="Consumer"/>
    <s v="Reno"/>
    <s v="Nevada"/>
    <x v="3"/>
    <x v="2"/>
    <x v="11"/>
    <s v="PROD-8418"/>
    <x v="879"/>
    <n v="3"/>
    <n v="0"/>
    <n v="41.47"/>
    <s v="OK"/>
  </r>
  <r>
    <s v="ORD-1371"/>
    <x v="651"/>
    <d v="2024-08-02T00:00:00"/>
    <s v="Same Day"/>
    <x v="35"/>
    <x v="35"/>
    <s v="Consumer"/>
    <s v="Hartford"/>
    <s v="Connecticut"/>
    <x v="1"/>
    <x v="2"/>
    <x v="15"/>
    <s v="PROD-4039"/>
    <x v="194"/>
    <n v="9"/>
    <n v="0.15"/>
    <n v="50.31"/>
    <s v="OK"/>
  </r>
  <r>
    <s v="ORD-1034"/>
    <x v="652"/>
    <d v="2024-08-02T00:00:00"/>
    <s v="Same Day"/>
    <x v="32"/>
    <x v="32"/>
    <s v="Corporate"/>
    <s v="Birmingham"/>
    <s v="Alabama"/>
    <x v="0"/>
    <x v="0"/>
    <x v="6"/>
    <s v="PROD-2816"/>
    <x v="880"/>
    <n v="2"/>
    <n v="0"/>
    <n v="39.909999999999997"/>
    <s v="OK"/>
  </r>
  <r>
    <s v="ORD-1477"/>
    <x v="653"/>
    <d v="2024-08-09T00:00:00"/>
    <s v="Standard Class"/>
    <x v="169"/>
    <x v="168"/>
    <s v="Home Office"/>
    <s v="Salem"/>
    <s v="Oregon"/>
    <x v="3"/>
    <x v="1"/>
    <x v="9"/>
    <s v="PROD-7397"/>
    <x v="881"/>
    <n v="1"/>
    <n v="0.3"/>
    <n v="-69.58"/>
    <s v="OK"/>
  </r>
  <r>
    <s v="ORD-1734"/>
    <x v="653"/>
    <d v="2024-08-09T00:00:00"/>
    <s v="Second Class"/>
    <x v="125"/>
    <x v="125"/>
    <s v="Consumer"/>
    <s v="Houston"/>
    <s v="Texas"/>
    <x v="0"/>
    <x v="2"/>
    <x v="5"/>
    <s v="PROD-1217"/>
    <x v="882"/>
    <n v="10"/>
    <n v="0.3"/>
    <n v="227.5"/>
    <s v="OK"/>
  </r>
  <r>
    <s v="ORD-1793"/>
    <x v="653"/>
    <d v="2024-08-10T00:00:00"/>
    <s v="Standard Class"/>
    <x v="30"/>
    <x v="30"/>
    <s v="Home Office"/>
    <s v="Indianapolis"/>
    <s v="Indiana"/>
    <x v="2"/>
    <x v="2"/>
    <x v="10"/>
    <s v="PROD-6464"/>
    <x v="883"/>
    <n v="9"/>
    <n v="0.2"/>
    <n v="95.71"/>
    <s v="OK"/>
  </r>
  <r>
    <s v="ORD-1297"/>
    <x v="654"/>
    <d v="2024-08-07T00:00:00"/>
    <s v="Same Day"/>
    <x v="126"/>
    <x v="126"/>
    <s v="Home Office"/>
    <s v="Virginia Beach"/>
    <s v="Virginia"/>
    <x v="1"/>
    <x v="2"/>
    <x v="12"/>
    <s v="PROD-6889"/>
    <x v="884"/>
    <n v="4"/>
    <n v="0.05"/>
    <n v="3.23"/>
    <s v="OK"/>
  </r>
  <r>
    <s v="ORD-1038"/>
    <x v="655"/>
    <d v="2024-08-14T00:00:00"/>
    <s v="Second Class"/>
    <x v="5"/>
    <x v="5"/>
    <s v="Corporate"/>
    <s v="Madison"/>
    <s v="Wisconsin"/>
    <x v="2"/>
    <x v="1"/>
    <x v="9"/>
    <s v="PROD-8612"/>
    <x v="885"/>
    <n v="6"/>
    <n v="0.4"/>
    <n v="-414.66"/>
    <s v="OK"/>
  </r>
  <r>
    <s v="ORD-1023"/>
    <x v="656"/>
    <d v="2024-08-12T00:00:00"/>
    <s v="First Class"/>
    <x v="150"/>
    <x v="150"/>
    <s v="Consumer"/>
    <s v="Atlanta"/>
    <s v="Georgia"/>
    <x v="0"/>
    <x v="1"/>
    <x v="8"/>
    <s v="PROD-9624"/>
    <x v="886"/>
    <n v="2"/>
    <n v="0.1"/>
    <n v="69.959999999999994"/>
    <s v="OK"/>
  </r>
  <r>
    <s v="ORD-1552"/>
    <x v="657"/>
    <d v="2024-08-13T00:00:00"/>
    <s v="Same Day"/>
    <x v="196"/>
    <x v="197"/>
    <s v="Corporate"/>
    <s v="Los Angeles"/>
    <s v="California"/>
    <x v="3"/>
    <x v="0"/>
    <x v="3"/>
    <s v="PROD-8795"/>
    <x v="887"/>
    <n v="5"/>
    <n v="0.5"/>
    <n v="-1411.28"/>
    <s v="OK"/>
  </r>
  <r>
    <s v="ORD-1837"/>
    <x v="658"/>
    <d v="2024-08-17T00:00:00"/>
    <s v="Standard Class"/>
    <x v="52"/>
    <x v="52"/>
    <s v="Home Office"/>
    <s v="Atlanta"/>
    <s v="Georgia"/>
    <x v="0"/>
    <x v="0"/>
    <x v="3"/>
    <s v="PROD-5068"/>
    <x v="888"/>
    <n v="2"/>
    <n v="0"/>
    <n v="47.11"/>
    <s v="OK"/>
  </r>
  <r>
    <s v="ORD-1367"/>
    <x v="659"/>
    <d v="2024-08-18T00:00:00"/>
    <s v="Second Class"/>
    <x v="14"/>
    <x v="14"/>
    <s v="Consumer"/>
    <s v="Raleigh"/>
    <s v="North Carolina"/>
    <x v="0"/>
    <x v="2"/>
    <x v="10"/>
    <s v="PROD-9787"/>
    <x v="889"/>
    <n v="6"/>
    <n v="0"/>
    <n v="131.46"/>
    <s v="OK"/>
  </r>
  <r>
    <s v="ORD-1782"/>
    <x v="659"/>
    <d v="2024-08-15T00:00:00"/>
    <s v="Same Day"/>
    <x v="128"/>
    <x v="128"/>
    <s v="Corporate"/>
    <s v="Nashville"/>
    <s v="Tennessee"/>
    <x v="0"/>
    <x v="1"/>
    <x v="2"/>
    <s v="PROD-3051"/>
    <x v="890"/>
    <n v="3"/>
    <n v="0.2"/>
    <n v="97.78"/>
    <s v="OK"/>
  </r>
  <r>
    <s v="ORD-1475"/>
    <x v="660"/>
    <d v="2024-08-15T00:00:00"/>
    <s v="Same Day"/>
    <x v="117"/>
    <x v="117"/>
    <s v="Corporate"/>
    <s v="Orlando"/>
    <s v="Florida"/>
    <x v="0"/>
    <x v="0"/>
    <x v="3"/>
    <s v="PROD-3357"/>
    <x v="891"/>
    <n v="4"/>
    <n v="0.5"/>
    <n v="-1352.95"/>
    <s v="OK"/>
  </r>
  <r>
    <s v="ORD-1749"/>
    <x v="660"/>
    <d v="2024-08-18T00:00:00"/>
    <s v="Second Class"/>
    <x v="99"/>
    <x v="99"/>
    <s v="Consumer"/>
    <s v="Spokane"/>
    <s v="Washington"/>
    <x v="3"/>
    <x v="2"/>
    <x v="5"/>
    <s v="PROD-8462"/>
    <x v="892"/>
    <n v="6"/>
    <n v="0"/>
    <n v="542.34"/>
    <s v="OK"/>
  </r>
  <r>
    <s v="ORD-1858"/>
    <x v="661"/>
    <d v="2024-08-18T00:00:00"/>
    <s v="Same Day"/>
    <x v="150"/>
    <x v="150"/>
    <s v="Consumer"/>
    <s v="Atlanta"/>
    <s v="Georgia"/>
    <x v="0"/>
    <x v="1"/>
    <x v="8"/>
    <s v="PROD-5422"/>
    <x v="893"/>
    <n v="3"/>
    <n v="0"/>
    <n v="663.25"/>
    <s v="OK"/>
  </r>
  <r>
    <s v="ORD-1040"/>
    <x v="661"/>
    <d v="2024-08-21T00:00:00"/>
    <s v="Second Class"/>
    <x v="126"/>
    <x v="126"/>
    <s v="Home Office"/>
    <s v="Virginia Beach"/>
    <s v="Virginia"/>
    <x v="1"/>
    <x v="2"/>
    <x v="14"/>
    <s v="PROD-6848"/>
    <x v="894"/>
    <n v="9"/>
    <n v="0.3"/>
    <n v="18.05"/>
    <s v="OK"/>
  </r>
  <r>
    <s v="ORD-1021"/>
    <x v="662"/>
    <d v="2024-08-20T00:00:00"/>
    <s v="First Class"/>
    <x v="20"/>
    <x v="20"/>
    <s v="Home Office"/>
    <s v="Fort Wayne"/>
    <s v="Indiana"/>
    <x v="2"/>
    <x v="2"/>
    <x v="16"/>
    <s v="PROD-6401"/>
    <x v="895"/>
    <n v="10"/>
    <n v="0"/>
    <n v="286.20999999999998"/>
    <s v="OK"/>
  </r>
  <r>
    <s v="ORD-1138"/>
    <x v="663"/>
    <d v="2024-08-27T00:00:00"/>
    <s v="Standard Class"/>
    <x v="122"/>
    <x v="122"/>
    <s v="Consumer"/>
    <s v="Charlotte"/>
    <s v="North Carolina"/>
    <x v="0"/>
    <x v="0"/>
    <x v="6"/>
    <s v="PROD-3692"/>
    <x v="896"/>
    <n v="2"/>
    <n v="0"/>
    <n v="9.77"/>
    <s v="OK"/>
  </r>
  <r>
    <s v="ORD-1623"/>
    <x v="663"/>
    <d v="2024-08-22T00:00:00"/>
    <s v="Same Day"/>
    <x v="82"/>
    <x v="82"/>
    <s v="Corporate"/>
    <s v="Fort Wayne"/>
    <s v="Indiana"/>
    <x v="2"/>
    <x v="0"/>
    <x v="3"/>
    <s v="PROD-2915"/>
    <x v="897"/>
    <n v="9"/>
    <n v="0"/>
    <n v="692.59"/>
    <s v="OK"/>
  </r>
  <r>
    <s v="ORD-1485"/>
    <x v="664"/>
    <d v="2024-08-24T00:00:00"/>
    <s v="Second Class"/>
    <x v="59"/>
    <x v="59"/>
    <s v="Consumer"/>
    <s v="Virginia Beach"/>
    <s v="Virginia"/>
    <x v="1"/>
    <x v="1"/>
    <x v="2"/>
    <s v="PROD-3822"/>
    <x v="898"/>
    <n v="10"/>
    <n v="0"/>
    <n v="439.1"/>
    <s v="OK"/>
  </r>
  <r>
    <s v="ORD-1780"/>
    <x v="665"/>
    <d v="2024-08-26T00:00:00"/>
    <s v="Same Day"/>
    <x v="53"/>
    <x v="53"/>
    <s v="Home Office"/>
    <s v="Birmingham"/>
    <s v="Alabama"/>
    <x v="0"/>
    <x v="1"/>
    <x v="1"/>
    <s v="PROD-8292"/>
    <x v="899"/>
    <n v="7"/>
    <n v="0"/>
    <n v="3907.23"/>
    <s v="OK"/>
  </r>
  <r>
    <s v="ORD-1748"/>
    <x v="666"/>
    <d v="2024-08-28T00:00:00"/>
    <s v="Same Day"/>
    <x v="68"/>
    <x v="68"/>
    <s v="Consumer"/>
    <s v="Detroit"/>
    <s v="Michigan"/>
    <x v="2"/>
    <x v="1"/>
    <x v="9"/>
    <s v="PROD-5043"/>
    <x v="900"/>
    <n v="8"/>
    <n v="0.15"/>
    <n v="162.31"/>
    <s v="OK"/>
  </r>
  <r>
    <s v="ORD-1784"/>
    <x v="667"/>
    <d v="2024-09-01T00:00:00"/>
    <s v="Standard Class"/>
    <x v="82"/>
    <x v="82"/>
    <s v="Corporate"/>
    <s v="Fort Wayne"/>
    <s v="Indiana"/>
    <x v="2"/>
    <x v="2"/>
    <x v="10"/>
    <s v="PROD-2922"/>
    <x v="901"/>
    <n v="10"/>
    <n v="0.4"/>
    <n v="5.15"/>
    <s v="OK"/>
  </r>
  <r>
    <s v="ORD-1996"/>
    <x v="668"/>
    <d v="2024-08-31T00:00:00"/>
    <s v="First Class"/>
    <x v="20"/>
    <x v="20"/>
    <s v="Home Office"/>
    <s v="Fort Wayne"/>
    <s v="Indiana"/>
    <x v="2"/>
    <x v="0"/>
    <x v="7"/>
    <s v="PROD-5817"/>
    <x v="902"/>
    <n v="6"/>
    <n v="0.15"/>
    <n v="234.41"/>
    <s v="OK"/>
  </r>
  <r>
    <s v="ORD-1978"/>
    <x v="669"/>
    <d v="2024-09-07T00:00:00"/>
    <s v="Second Class"/>
    <x v="7"/>
    <x v="7"/>
    <s v="Corporate"/>
    <s v="Tucson"/>
    <s v="Arizona"/>
    <x v="3"/>
    <x v="0"/>
    <x v="3"/>
    <s v="PROD-3125"/>
    <x v="903"/>
    <n v="1"/>
    <n v="0.15"/>
    <n v="-6.34"/>
    <s v="OK"/>
  </r>
  <r>
    <s v="ORD-1015"/>
    <x v="670"/>
    <d v="2024-09-09T00:00:00"/>
    <s v="Standard Class"/>
    <x v="11"/>
    <x v="11"/>
    <s v="Corporate"/>
    <s v="Detroit"/>
    <s v="Michigan"/>
    <x v="2"/>
    <x v="0"/>
    <x v="0"/>
    <s v="PROD-9095"/>
    <x v="904"/>
    <n v="3"/>
    <n v="0.5"/>
    <n v="-94.13"/>
    <s v="OK"/>
  </r>
  <r>
    <s v="ORD-1076"/>
    <x v="671"/>
    <d v="2024-09-09T00:00:00"/>
    <s v="First Class"/>
    <x v="5"/>
    <x v="5"/>
    <s v="Corporate"/>
    <s v="Madison"/>
    <s v="Wisconsin"/>
    <x v="2"/>
    <x v="0"/>
    <x v="6"/>
    <s v="PROD-8849"/>
    <x v="905"/>
    <n v="2"/>
    <n v="0.15"/>
    <n v="3.67"/>
    <s v="OK"/>
  </r>
  <r>
    <s v="ORD-1625"/>
    <x v="672"/>
    <d v="2024-09-08T00:00:00"/>
    <s v="Same Day"/>
    <x v="22"/>
    <x v="22"/>
    <s v="Corporate"/>
    <s v="Indianapolis"/>
    <s v="Indiana"/>
    <x v="2"/>
    <x v="1"/>
    <x v="1"/>
    <s v="PROD-5806"/>
    <x v="906"/>
    <n v="6"/>
    <n v="0.5"/>
    <n v="-4551.09"/>
    <s v="OK"/>
  </r>
  <r>
    <s v="ORD-1954"/>
    <x v="673"/>
    <d v="2024-09-11T00:00:00"/>
    <s v="Second Class"/>
    <x v="154"/>
    <x v="154"/>
    <s v="Home Office"/>
    <s v="Saint Paul"/>
    <s v="Minnesota"/>
    <x v="2"/>
    <x v="1"/>
    <x v="2"/>
    <s v="PROD-9380"/>
    <x v="907"/>
    <n v="1"/>
    <n v="0"/>
    <n v="42.14"/>
    <s v="OK"/>
  </r>
  <r>
    <s v="ORD-1731"/>
    <x v="674"/>
    <d v="2024-09-13T00:00:00"/>
    <s v="First Class"/>
    <x v="139"/>
    <x v="139"/>
    <s v="Corporate"/>
    <s v="Montgomery"/>
    <s v="Alabama"/>
    <x v="0"/>
    <x v="1"/>
    <x v="9"/>
    <s v="PROD-7045"/>
    <x v="908"/>
    <n v="4"/>
    <n v="0.3"/>
    <n v="-38.020000000000003"/>
    <s v="OK"/>
  </r>
  <r>
    <s v="ORD-1372"/>
    <x v="675"/>
    <d v="2024-09-11T00:00:00"/>
    <s v="Same Day"/>
    <x v="158"/>
    <x v="158"/>
    <s v="Consumer"/>
    <s v="Detroit"/>
    <s v="Michigan"/>
    <x v="2"/>
    <x v="1"/>
    <x v="9"/>
    <s v="PROD-9586"/>
    <x v="909"/>
    <n v="4"/>
    <n v="0.15"/>
    <n v="92.85"/>
    <s v="OK"/>
  </r>
  <r>
    <s v="ORD-1132"/>
    <x v="675"/>
    <d v="2024-09-15T00:00:00"/>
    <s v="Second Class"/>
    <x v="69"/>
    <x v="69"/>
    <s v="Consumer"/>
    <s v="Richmond"/>
    <s v="Virginia"/>
    <x v="1"/>
    <x v="0"/>
    <x v="3"/>
    <s v="PROD-7932"/>
    <x v="910"/>
    <n v="3"/>
    <n v="0.1"/>
    <n v="79.05"/>
    <s v="OK"/>
  </r>
  <r>
    <s v="ORD-1683"/>
    <x v="676"/>
    <d v="2024-09-19T00:00:00"/>
    <s v="Standard Class"/>
    <x v="164"/>
    <x v="164"/>
    <s v="Corporate"/>
    <s v="Milwaukee"/>
    <s v="Wisconsin"/>
    <x v="2"/>
    <x v="2"/>
    <x v="16"/>
    <s v="PROD-7290"/>
    <x v="911"/>
    <n v="7"/>
    <n v="0.05"/>
    <n v="33.42"/>
    <s v="OK"/>
  </r>
  <r>
    <s v="ORD-1290"/>
    <x v="677"/>
    <d v="2024-09-21T00:00:00"/>
    <s v="Standard Class"/>
    <x v="57"/>
    <x v="57"/>
    <s v="Home Office"/>
    <s v="Spokane"/>
    <s v="Washington"/>
    <x v="3"/>
    <x v="1"/>
    <x v="9"/>
    <s v="PROD-3561"/>
    <x v="912"/>
    <n v="5"/>
    <n v="0.3"/>
    <n v="-515.39"/>
    <s v="OK"/>
  </r>
  <r>
    <s v="ORD-1213"/>
    <x v="677"/>
    <d v="2024-09-17T00:00:00"/>
    <s v="First Class"/>
    <x v="90"/>
    <x v="90"/>
    <s v="Corporate"/>
    <s v="Springfield"/>
    <s v="Illinois"/>
    <x v="2"/>
    <x v="2"/>
    <x v="10"/>
    <s v="PROD-9914"/>
    <x v="913"/>
    <n v="7"/>
    <n v="0.3"/>
    <n v="21.86"/>
    <s v="OK"/>
  </r>
  <r>
    <s v="ORD-1802"/>
    <x v="678"/>
    <d v="2024-09-23T00:00:00"/>
    <s v="Standard Class"/>
    <x v="39"/>
    <x v="39"/>
    <s v="Corporate"/>
    <s v="Philadelphia"/>
    <s v="Pennsylvania"/>
    <x v="1"/>
    <x v="0"/>
    <x v="3"/>
    <s v="PROD-8350"/>
    <x v="914"/>
    <n v="6"/>
    <n v="0.05"/>
    <n v="-115.5"/>
    <s v="OK"/>
  </r>
  <r>
    <s v="ORD-1580"/>
    <x v="679"/>
    <d v="2024-09-25T00:00:00"/>
    <s v="Standard Class"/>
    <x v="178"/>
    <x v="177"/>
    <s v="Corporate"/>
    <s v="Las Vegas"/>
    <s v="Nevada"/>
    <x v="3"/>
    <x v="2"/>
    <x v="15"/>
    <s v="PROD-4926"/>
    <x v="915"/>
    <n v="10"/>
    <n v="0"/>
    <n v="5.96"/>
    <s v="OK"/>
  </r>
  <r>
    <s v="ORD-1634"/>
    <x v="680"/>
    <d v="2024-09-26T00:00:00"/>
    <s v="Second Class"/>
    <x v="141"/>
    <x v="141"/>
    <s v="Corporate"/>
    <s v="Saint Paul"/>
    <s v="Minnesota"/>
    <x v="2"/>
    <x v="1"/>
    <x v="1"/>
    <s v="PROD-9677"/>
    <x v="916"/>
    <n v="6"/>
    <n v="0.2"/>
    <n v="266.94"/>
    <s v="OK"/>
  </r>
  <r>
    <s v="ORD-1738"/>
    <x v="680"/>
    <d v="2024-09-28T00:00:00"/>
    <s v="Second Class"/>
    <x v="171"/>
    <x v="170"/>
    <s v="Consumer"/>
    <s v="Buffalo"/>
    <s v="New York"/>
    <x v="1"/>
    <x v="2"/>
    <x v="13"/>
    <s v="PROD-4644"/>
    <x v="917"/>
    <n v="9"/>
    <n v="0"/>
    <n v="38.840000000000003"/>
    <s v="OK"/>
  </r>
  <r>
    <s v="ORD-1886"/>
    <x v="681"/>
    <d v="2024-10-02T00:00:00"/>
    <s v="First Class"/>
    <x v="61"/>
    <x v="61"/>
    <s v="Consumer"/>
    <s v="Pittsburgh"/>
    <s v="Pennsylvania"/>
    <x v="1"/>
    <x v="1"/>
    <x v="2"/>
    <s v="PROD-4471"/>
    <x v="918"/>
    <n v="9"/>
    <n v="0.5"/>
    <n v="-174.76"/>
    <s v="OK"/>
  </r>
  <r>
    <s v="ORD-1876"/>
    <x v="682"/>
    <d v="2024-10-05T00:00:00"/>
    <s v="First Class"/>
    <x v="125"/>
    <x v="125"/>
    <s v="Consumer"/>
    <s v="Houston"/>
    <s v="Texas"/>
    <x v="0"/>
    <x v="2"/>
    <x v="16"/>
    <s v="PROD-1880"/>
    <x v="919"/>
    <n v="8"/>
    <n v="0.2"/>
    <n v="26.36"/>
    <s v="OK"/>
  </r>
  <r>
    <s v="ORD-1454"/>
    <x v="683"/>
    <d v="2024-10-07T00:00:00"/>
    <s v="Second Class"/>
    <x v="97"/>
    <x v="97"/>
    <s v="Home Office"/>
    <s v="Portland"/>
    <s v="Oregon"/>
    <x v="3"/>
    <x v="0"/>
    <x v="0"/>
    <s v="PROD-1190"/>
    <x v="920"/>
    <n v="6"/>
    <n v="0.2"/>
    <n v="288.61"/>
    <s v="OK"/>
  </r>
  <r>
    <s v="ORD-1100"/>
    <x v="684"/>
    <d v="2024-10-09T00:00:00"/>
    <s v="Same Day"/>
    <x v="23"/>
    <x v="23"/>
    <s v="Home Office"/>
    <s v="Savannah"/>
    <s v="Georgia"/>
    <x v="0"/>
    <x v="1"/>
    <x v="8"/>
    <s v="PROD-6222"/>
    <x v="921"/>
    <n v="1"/>
    <n v="0.15"/>
    <n v="72.98"/>
    <s v="OK"/>
  </r>
  <r>
    <s v="ORD-1295"/>
    <x v="684"/>
    <d v="2024-10-09T00:00:00"/>
    <s v="Second Class"/>
    <x v="163"/>
    <x v="163"/>
    <s v="Consumer"/>
    <s v="Dallas"/>
    <s v="Texas"/>
    <x v="0"/>
    <x v="0"/>
    <x v="0"/>
    <s v="PROD-5671"/>
    <x v="922"/>
    <n v="8"/>
    <n v="0.15"/>
    <n v="549.16"/>
    <s v="OK"/>
  </r>
  <r>
    <s v="ORD-1143"/>
    <x v="685"/>
    <d v="2024-10-12T00:00:00"/>
    <s v="Second Class"/>
    <x v="186"/>
    <x v="186"/>
    <s v="Corporate"/>
    <s v="Montgomery"/>
    <s v="Alabama"/>
    <x v="0"/>
    <x v="1"/>
    <x v="1"/>
    <s v="PROD-2931"/>
    <x v="923"/>
    <n v="5"/>
    <n v="0.5"/>
    <n v="-4377.3599999999997"/>
    <s v="OK"/>
  </r>
  <r>
    <s v="ORD-1705"/>
    <x v="686"/>
    <d v="2024-10-17T00:00:00"/>
    <s v="First Class"/>
    <x v="118"/>
    <x v="118"/>
    <s v="Home Office"/>
    <s v="Los Angeles"/>
    <s v="California"/>
    <x v="3"/>
    <x v="0"/>
    <x v="7"/>
    <s v="PROD-5959"/>
    <x v="924"/>
    <n v="9"/>
    <n v="0.05"/>
    <n v="997.54"/>
    <s v="OK"/>
  </r>
  <r>
    <s v="ORD-1713"/>
    <x v="686"/>
    <d v="2024-10-17T00:00:00"/>
    <s v="Second Class"/>
    <x v="162"/>
    <x v="162"/>
    <s v="Corporate"/>
    <s v="Montgomery"/>
    <s v="Alabama"/>
    <x v="0"/>
    <x v="1"/>
    <x v="8"/>
    <s v="PROD-9005"/>
    <x v="925"/>
    <n v="5"/>
    <n v="0"/>
    <n v="1129.08"/>
    <s v="OK"/>
  </r>
  <r>
    <s v="ORD-1259"/>
    <x v="687"/>
    <d v="2024-10-18T00:00:00"/>
    <s v="Same Day"/>
    <x v="72"/>
    <x v="72"/>
    <s v="Corporate"/>
    <s v="Cleveland"/>
    <s v="Ohio"/>
    <x v="2"/>
    <x v="1"/>
    <x v="2"/>
    <s v="PROD-1894"/>
    <x v="926"/>
    <n v="4"/>
    <n v="0.3"/>
    <n v="46"/>
    <s v="OK"/>
  </r>
  <r>
    <s v="ORD-1550"/>
    <x v="687"/>
    <d v="2024-10-22T00:00:00"/>
    <s v="Standard Class"/>
    <x v="84"/>
    <x v="84"/>
    <s v="Consumer"/>
    <s v="San Diego"/>
    <s v="California"/>
    <x v="3"/>
    <x v="0"/>
    <x v="3"/>
    <s v="PROD-3348"/>
    <x v="927"/>
    <n v="7"/>
    <n v="0.3"/>
    <n v="-908.94"/>
    <s v="OK"/>
  </r>
  <r>
    <s v="ORD-1075"/>
    <x v="687"/>
    <d v="2024-10-19T00:00:00"/>
    <s v="Same Day"/>
    <x v="122"/>
    <x v="122"/>
    <s v="Consumer"/>
    <s v="Charlotte"/>
    <s v="North Carolina"/>
    <x v="0"/>
    <x v="2"/>
    <x v="13"/>
    <s v="PROD-6654"/>
    <x v="928"/>
    <n v="5"/>
    <n v="0.1"/>
    <n v="47.82"/>
    <s v="OK"/>
  </r>
  <r>
    <s v="ORD-1603"/>
    <x v="688"/>
    <d v="2024-10-24T00:00:00"/>
    <s v="Standard Class"/>
    <x v="26"/>
    <x v="26"/>
    <s v="Consumer"/>
    <s v="Portland"/>
    <s v="Oregon"/>
    <x v="3"/>
    <x v="1"/>
    <x v="1"/>
    <s v="PROD-1425"/>
    <x v="929"/>
    <n v="2"/>
    <n v="0.05"/>
    <n v="578.28"/>
    <s v="OK"/>
  </r>
  <r>
    <s v="ORD-1682"/>
    <x v="689"/>
    <d v="2024-10-26T00:00:00"/>
    <s v="Standard Class"/>
    <x v="123"/>
    <x v="123"/>
    <s v="Consumer"/>
    <s v="Salem"/>
    <s v="Oregon"/>
    <x v="3"/>
    <x v="0"/>
    <x v="3"/>
    <s v="PROD-1855"/>
    <x v="930"/>
    <n v="10"/>
    <n v="0.2"/>
    <n v="-43.91"/>
    <s v="OK"/>
  </r>
  <r>
    <s v="ORD-1796"/>
    <x v="690"/>
    <d v="2024-10-22T00:00:00"/>
    <s v="Same Day"/>
    <x v="88"/>
    <x v="88"/>
    <s v="Corporate"/>
    <s v="Denver"/>
    <s v="Colorado"/>
    <x v="3"/>
    <x v="0"/>
    <x v="7"/>
    <s v="PROD-3090"/>
    <x v="931"/>
    <n v="7"/>
    <n v="0"/>
    <n v="532.39"/>
    <s v="OK"/>
  </r>
  <r>
    <s v="ORD-1487"/>
    <x v="691"/>
    <d v="2024-10-23T00:00:00"/>
    <s v="Same Day"/>
    <x v="56"/>
    <x v="56"/>
    <s v="Home Office"/>
    <s v="Nashville"/>
    <s v="Tennessee"/>
    <x v="0"/>
    <x v="1"/>
    <x v="1"/>
    <s v="PROD-2979"/>
    <x v="932"/>
    <n v="4"/>
    <n v="0.2"/>
    <n v="162.24"/>
    <s v="OK"/>
  </r>
  <r>
    <s v="ORD-1046"/>
    <x v="692"/>
    <d v="2024-10-24T00:00:00"/>
    <s v="Same Day"/>
    <x v="11"/>
    <x v="11"/>
    <s v="Corporate"/>
    <s v="Detroit"/>
    <s v="Michigan"/>
    <x v="2"/>
    <x v="1"/>
    <x v="9"/>
    <s v="PROD-7095"/>
    <x v="933"/>
    <n v="10"/>
    <n v="0"/>
    <n v="1502.08"/>
    <s v="OK"/>
  </r>
  <r>
    <s v="ORD-1665"/>
    <x v="693"/>
    <d v="2024-10-26T00:00:00"/>
    <s v="Same Day"/>
    <x v="150"/>
    <x v="150"/>
    <s v="Consumer"/>
    <s v="Atlanta"/>
    <s v="Georgia"/>
    <x v="0"/>
    <x v="0"/>
    <x v="7"/>
    <s v="PROD-4485"/>
    <x v="934"/>
    <n v="8"/>
    <n v="0.1"/>
    <n v="231.21"/>
    <s v="OK"/>
  </r>
  <r>
    <s v="ORD-1995"/>
    <x v="694"/>
    <d v="2024-10-27T00:00:00"/>
    <s v="Same Day"/>
    <x v="31"/>
    <x v="31"/>
    <s v="Corporate"/>
    <s v="Madison"/>
    <s v="Wisconsin"/>
    <x v="2"/>
    <x v="1"/>
    <x v="2"/>
    <s v="PROD-7987"/>
    <x v="935"/>
    <n v="6"/>
    <n v="0.5"/>
    <n v="-26.22"/>
    <s v="OK"/>
  </r>
  <r>
    <s v="ORD-1450"/>
    <x v="695"/>
    <d v="2024-10-30T00:00:00"/>
    <s v="First Class"/>
    <x v="70"/>
    <x v="70"/>
    <s v="Consumer"/>
    <s v="Buffalo"/>
    <s v="New York"/>
    <x v="1"/>
    <x v="1"/>
    <x v="9"/>
    <s v="PROD-5989"/>
    <x v="936"/>
    <n v="10"/>
    <n v="0.3"/>
    <n v="-447.12"/>
    <s v="OK"/>
  </r>
  <r>
    <s v="ORD-1811"/>
    <x v="696"/>
    <d v="2024-11-01T00:00:00"/>
    <s v="Second Class"/>
    <x v="179"/>
    <x v="178"/>
    <s v="Home Office"/>
    <s v="Worcester"/>
    <s v="Massachusetts"/>
    <x v="1"/>
    <x v="1"/>
    <x v="9"/>
    <s v="PROD-7551"/>
    <x v="937"/>
    <n v="8"/>
    <n v="0.4"/>
    <n v="-589.53"/>
    <s v="OK"/>
  </r>
  <r>
    <s v="ORD-1863"/>
    <x v="697"/>
    <d v="2024-10-30T00:00:00"/>
    <s v="Same Day"/>
    <x v="176"/>
    <x v="175"/>
    <s v="Home Office"/>
    <s v="Bridgeport"/>
    <s v="Connecticut"/>
    <x v="1"/>
    <x v="1"/>
    <x v="8"/>
    <s v="PROD-2528"/>
    <x v="938"/>
    <n v="1"/>
    <n v="0.1"/>
    <n v="132.77000000000001"/>
    <s v="OK"/>
  </r>
  <r>
    <s v="ORD-1229"/>
    <x v="697"/>
    <d v="2024-11-04T00:00:00"/>
    <s v="Standard Class"/>
    <x v="166"/>
    <x v="183"/>
    <s v="Corporate"/>
    <s v="Buffalo"/>
    <s v="New York"/>
    <x v="1"/>
    <x v="1"/>
    <x v="1"/>
    <s v="PROD-3167"/>
    <x v="939"/>
    <n v="5"/>
    <n v="0.2"/>
    <n v="672.04"/>
    <s v="OK"/>
  </r>
  <r>
    <s v="ORD-1865"/>
    <x v="698"/>
    <d v="2024-10-31T00:00:00"/>
    <s v="Same Day"/>
    <x v="190"/>
    <x v="190"/>
    <s v="Home Office"/>
    <s v="Tucson"/>
    <s v="Arizona"/>
    <x v="3"/>
    <x v="2"/>
    <x v="13"/>
    <s v="PROD-4421"/>
    <x v="940"/>
    <n v="7"/>
    <n v="0"/>
    <n v="69.680000000000007"/>
    <s v="OK"/>
  </r>
  <r>
    <s v="ORD-1278"/>
    <x v="698"/>
    <d v="2024-11-04T00:00:00"/>
    <s v="Standard Class"/>
    <x v="51"/>
    <x v="51"/>
    <s v="Home Office"/>
    <s v="Richmond"/>
    <s v="Virginia"/>
    <x v="1"/>
    <x v="1"/>
    <x v="1"/>
    <s v="PROD-3847"/>
    <x v="941"/>
    <n v="4"/>
    <n v="0.1"/>
    <n v="2006.94"/>
    <s v="OK"/>
  </r>
  <r>
    <s v="ORD-1820"/>
    <x v="698"/>
    <d v="2024-11-03T00:00:00"/>
    <s v="Second Class"/>
    <x v="163"/>
    <x v="163"/>
    <s v="Consumer"/>
    <s v="Dallas"/>
    <s v="Texas"/>
    <x v="0"/>
    <x v="2"/>
    <x v="13"/>
    <s v="PROD-6907"/>
    <x v="942"/>
    <n v="2"/>
    <n v="0"/>
    <n v="12.44"/>
    <s v="OK"/>
  </r>
  <r>
    <s v="ORD-1218"/>
    <x v="699"/>
    <d v="2024-11-01T00:00:00"/>
    <s v="Same Day"/>
    <x v="121"/>
    <x v="121"/>
    <s v="Home Office"/>
    <s v="Chicago"/>
    <s v="Illinois"/>
    <x v="2"/>
    <x v="0"/>
    <x v="0"/>
    <s v="PROD-3422"/>
    <x v="943"/>
    <n v="3"/>
    <n v="0"/>
    <n v="433.7"/>
    <s v="OK"/>
  </r>
  <r>
    <s v="ORD-1333"/>
    <x v="699"/>
    <d v="2024-11-04T00:00:00"/>
    <s v="Second Class"/>
    <x v="97"/>
    <x v="97"/>
    <s v="Home Office"/>
    <s v="Portland"/>
    <s v="Oregon"/>
    <x v="3"/>
    <x v="2"/>
    <x v="13"/>
    <s v="PROD-4271"/>
    <x v="944"/>
    <n v="10"/>
    <n v="0.1"/>
    <n v="41.32"/>
    <s v="OK"/>
  </r>
  <r>
    <s v="ORD-1109"/>
    <x v="700"/>
    <d v="2024-11-06T00:00:00"/>
    <s v="First Class"/>
    <x v="162"/>
    <x v="162"/>
    <s v="Corporate"/>
    <s v="Montgomery"/>
    <s v="Alabama"/>
    <x v="0"/>
    <x v="0"/>
    <x v="3"/>
    <s v="PROD-9005"/>
    <x v="945"/>
    <n v="4"/>
    <n v="0.3"/>
    <n v="-462.68"/>
    <s v="OK"/>
  </r>
  <r>
    <s v="ORD-1357"/>
    <x v="700"/>
    <d v="2024-11-06T00:00:00"/>
    <s v="First Class"/>
    <x v="0"/>
    <x v="0"/>
    <s v="Consumer"/>
    <s v="Montgomery"/>
    <s v="Alabama"/>
    <x v="0"/>
    <x v="0"/>
    <x v="3"/>
    <s v="PROD-9715"/>
    <x v="946"/>
    <n v="9"/>
    <n v="0.5"/>
    <n v="-2426.8000000000002"/>
    <s v="OK"/>
  </r>
  <r>
    <s v="ORD-1340"/>
    <x v="701"/>
    <d v="2024-11-08T00:00:00"/>
    <s v="Second Class"/>
    <x v="18"/>
    <x v="18"/>
    <s v="Corporate"/>
    <s v="Nashville"/>
    <s v="Tennessee"/>
    <x v="0"/>
    <x v="2"/>
    <x v="15"/>
    <s v="PROD-5422"/>
    <x v="947"/>
    <n v="10"/>
    <n v="0"/>
    <n v="38.56"/>
    <s v="OK"/>
  </r>
  <r>
    <s v="ORD-1086"/>
    <x v="702"/>
    <d v="2024-11-10T00:00:00"/>
    <s v="First Class"/>
    <x v="69"/>
    <x v="69"/>
    <s v="Consumer"/>
    <s v="Richmond"/>
    <s v="Virginia"/>
    <x v="1"/>
    <x v="0"/>
    <x v="7"/>
    <s v="PROD-2923"/>
    <x v="948"/>
    <n v="8"/>
    <n v="0.1"/>
    <n v="1365.89"/>
    <s v="OK"/>
  </r>
  <r>
    <s v="ORD-1000"/>
    <x v="703"/>
    <d v="2024-11-08T00:00:00"/>
    <s v="Same Day"/>
    <x v="76"/>
    <x v="76"/>
    <s v="Consumer"/>
    <s v="Milwaukee"/>
    <s v="Wisconsin"/>
    <x v="2"/>
    <x v="2"/>
    <x v="16"/>
    <s v="PROD-2494"/>
    <x v="949"/>
    <n v="5"/>
    <n v="0.15"/>
    <n v="39.450000000000003"/>
    <s v="OK"/>
  </r>
  <r>
    <s v="ORD-1733"/>
    <x v="704"/>
    <d v="2024-11-13T00:00:00"/>
    <s v="First Class"/>
    <x v="112"/>
    <x v="112"/>
    <s v="Corporate"/>
    <s v="Boulder"/>
    <s v="Colorado"/>
    <x v="3"/>
    <x v="2"/>
    <x v="16"/>
    <s v="PROD-8899"/>
    <x v="950"/>
    <n v="3"/>
    <n v="0.15"/>
    <n v="67.33"/>
    <s v="OK"/>
  </r>
  <r>
    <s v="ORD-1536"/>
    <x v="705"/>
    <d v="2024-11-12T00:00:00"/>
    <s v="First Class"/>
    <x v="109"/>
    <x v="109"/>
    <s v="Home Office"/>
    <s v="Atlanta"/>
    <s v="Georgia"/>
    <x v="0"/>
    <x v="2"/>
    <x v="13"/>
    <s v="PROD-9755"/>
    <x v="951"/>
    <n v="5"/>
    <n v="0.1"/>
    <n v="53.53"/>
    <s v="OK"/>
  </r>
  <r>
    <s v="ORD-1562"/>
    <x v="705"/>
    <d v="2024-11-16T00:00:00"/>
    <s v="Standard Class"/>
    <x v="7"/>
    <x v="7"/>
    <s v="Corporate"/>
    <s v="Tucson"/>
    <s v="Arizona"/>
    <x v="3"/>
    <x v="1"/>
    <x v="1"/>
    <s v="PROD-2875"/>
    <x v="952"/>
    <n v="5"/>
    <n v="0.5"/>
    <n v="-1116.3800000000001"/>
    <s v="OK"/>
  </r>
  <r>
    <s v="ORD-1069"/>
    <x v="705"/>
    <d v="2024-11-17T00:00:00"/>
    <s v="Standard Class"/>
    <x v="97"/>
    <x v="97"/>
    <s v="Home Office"/>
    <s v="Portland"/>
    <s v="Oregon"/>
    <x v="3"/>
    <x v="0"/>
    <x v="6"/>
    <s v="PROD-8775"/>
    <x v="953"/>
    <n v="2"/>
    <n v="0.2"/>
    <n v="15.55"/>
    <s v="OK"/>
  </r>
  <r>
    <s v="ORD-1907"/>
    <x v="705"/>
    <d v="2024-11-17T00:00:00"/>
    <s v="Standard Class"/>
    <x v="114"/>
    <x v="114"/>
    <s v="Corporate"/>
    <s v="Nashville"/>
    <s v="Tennessee"/>
    <x v="0"/>
    <x v="0"/>
    <x v="6"/>
    <s v="PROD-6388"/>
    <x v="954"/>
    <n v="6"/>
    <n v="0"/>
    <n v="192.86"/>
    <s v="OK"/>
  </r>
  <r>
    <s v="ORD-1058"/>
    <x v="706"/>
    <d v="2024-11-16T00:00:00"/>
    <s v="Standard Class"/>
    <x v="57"/>
    <x v="57"/>
    <s v="Home Office"/>
    <s v="Spokane"/>
    <s v="Washington"/>
    <x v="3"/>
    <x v="1"/>
    <x v="9"/>
    <s v="PROD-8202"/>
    <x v="955"/>
    <n v="7"/>
    <n v="0.1"/>
    <n v="784.71"/>
    <s v="OK"/>
  </r>
  <r>
    <s v="ORD-1383"/>
    <x v="707"/>
    <d v="2024-11-17T00:00:00"/>
    <s v="First Class"/>
    <x v="53"/>
    <x v="53"/>
    <s v="Home Office"/>
    <s v="Birmingham"/>
    <s v="Alabama"/>
    <x v="0"/>
    <x v="0"/>
    <x v="6"/>
    <s v="PROD-9376"/>
    <x v="956"/>
    <n v="4"/>
    <n v="0.15"/>
    <n v="194.29"/>
    <s v="OK"/>
  </r>
  <r>
    <s v="ORD-1165"/>
    <x v="708"/>
    <d v="2024-11-22T00:00:00"/>
    <s v="Standard Class"/>
    <x v="120"/>
    <x v="120"/>
    <s v="Corporate"/>
    <s v="San Diego"/>
    <s v="California"/>
    <x v="3"/>
    <x v="0"/>
    <x v="0"/>
    <s v="PROD-5942"/>
    <x v="957"/>
    <n v="10"/>
    <n v="0.5"/>
    <n v="-657.67"/>
    <s v="OK"/>
  </r>
  <r>
    <s v="ORD-1857"/>
    <x v="709"/>
    <d v="2024-11-21T00:00:00"/>
    <s v="Same Day"/>
    <x v="166"/>
    <x v="183"/>
    <s v="Corporate"/>
    <s v="Buffalo"/>
    <s v="New York"/>
    <x v="1"/>
    <x v="2"/>
    <x v="12"/>
    <s v="PROD-6131"/>
    <x v="958"/>
    <n v="9"/>
    <n v="0.5"/>
    <n v="-194.52"/>
    <s v="OK"/>
  </r>
  <r>
    <s v="ORD-1026"/>
    <x v="709"/>
    <d v="2024-11-24T00:00:00"/>
    <s v="Second Class"/>
    <x v="143"/>
    <x v="143"/>
    <s v="Consumer"/>
    <s v="Newark"/>
    <s v="New Jersey"/>
    <x v="1"/>
    <x v="1"/>
    <x v="1"/>
    <s v="PROD-8170"/>
    <x v="959"/>
    <n v="3"/>
    <n v="0"/>
    <n v="2266.85"/>
    <s v="OK"/>
  </r>
  <r>
    <s v="ORD-1272"/>
    <x v="710"/>
    <d v="2024-11-26T00:00:00"/>
    <s v="First Class"/>
    <x v="37"/>
    <x v="37"/>
    <s v="Home Office"/>
    <s v="Fort Wayne"/>
    <s v="Indiana"/>
    <x v="2"/>
    <x v="1"/>
    <x v="9"/>
    <s v="PROD-2890"/>
    <x v="960"/>
    <n v="3"/>
    <n v="0"/>
    <n v="849.48"/>
    <s v="OK"/>
  </r>
  <r>
    <s v="ORD-1540"/>
    <x v="710"/>
    <d v="2024-11-27T00:00:00"/>
    <s v="Second Class"/>
    <x v="80"/>
    <x v="80"/>
    <s v="Corporate"/>
    <s v="Birmingham"/>
    <s v="Alabama"/>
    <x v="0"/>
    <x v="2"/>
    <x v="12"/>
    <s v="PROD-4712"/>
    <x v="961"/>
    <n v="1"/>
    <n v="0"/>
    <n v="45.44"/>
    <s v="OK"/>
  </r>
  <r>
    <s v="ORD-1975"/>
    <x v="711"/>
    <d v="2024-11-29T00:00:00"/>
    <s v="Second Class"/>
    <x v="88"/>
    <x v="88"/>
    <s v="Corporate"/>
    <s v="Denver"/>
    <s v="Colorado"/>
    <x v="3"/>
    <x v="2"/>
    <x v="5"/>
    <s v="PROD-7993"/>
    <x v="962"/>
    <n v="1"/>
    <n v="0.2"/>
    <n v="26.9"/>
    <s v="OK"/>
  </r>
  <r>
    <s v="ORD-1618"/>
    <x v="712"/>
    <d v="2024-11-29T00:00:00"/>
    <s v="Second Class"/>
    <x v="53"/>
    <x v="53"/>
    <s v="Home Office"/>
    <s v="Birmingham"/>
    <s v="Alabama"/>
    <x v="0"/>
    <x v="0"/>
    <x v="0"/>
    <s v="PROD-4428"/>
    <x v="963"/>
    <n v="4"/>
    <n v="0"/>
    <n v="114.09"/>
    <s v="OK"/>
  </r>
  <r>
    <s v="ORD-1851"/>
    <x v="712"/>
    <d v="2024-11-28T00:00:00"/>
    <s v="Same Day"/>
    <x v="2"/>
    <x v="2"/>
    <s v="Consumer"/>
    <s v="Cleveland"/>
    <s v="Ohio"/>
    <x v="2"/>
    <x v="0"/>
    <x v="0"/>
    <s v="PROD-1886"/>
    <x v="964"/>
    <n v="3"/>
    <n v="0.2"/>
    <n v="14.67"/>
    <s v="OK"/>
  </r>
  <r>
    <s v="ORD-1669"/>
    <x v="713"/>
    <d v="2024-11-29T00:00:00"/>
    <s v="Same Day"/>
    <x v="120"/>
    <x v="120"/>
    <s v="Corporate"/>
    <s v="San Diego"/>
    <s v="California"/>
    <x v="4"/>
    <x v="0"/>
    <x v="3"/>
    <s v="PROD-9816"/>
    <x v="965"/>
    <n v="1"/>
    <n v="0"/>
    <n v="11.78"/>
    <s v="OK"/>
  </r>
  <r>
    <s v="ORD-1753"/>
    <x v="713"/>
    <d v="2024-11-30T00:00:00"/>
    <s v="Same Day"/>
    <x v="153"/>
    <x v="153"/>
    <s v="Consumer"/>
    <s v="Springfield"/>
    <s v="Illinois"/>
    <x v="2"/>
    <x v="2"/>
    <x v="5"/>
    <s v="PROD-7829"/>
    <x v="966"/>
    <n v="8"/>
    <n v="0"/>
    <n v="957.95"/>
    <s v="OK"/>
  </r>
  <r>
    <s v="ORD-1516"/>
    <x v="714"/>
    <d v="2024-11-30T00:00:00"/>
    <s v="Same Day"/>
    <x v="184"/>
    <x v="184"/>
    <s v="Home Office"/>
    <s v="Minneapolis"/>
    <s v="Minnesota"/>
    <x v="2"/>
    <x v="1"/>
    <x v="9"/>
    <s v="PROD-5982"/>
    <x v="967"/>
    <n v="6"/>
    <n v="0.3"/>
    <n v="-940.07"/>
    <s v="OK"/>
  </r>
  <r>
    <s v="ORD-1639"/>
    <x v="715"/>
    <d v="2024-12-03T00:00:00"/>
    <s v="First Class"/>
    <x v="194"/>
    <x v="194"/>
    <s v="Corporate"/>
    <s v="Tucson"/>
    <s v="Arizona"/>
    <x v="3"/>
    <x v="1"/>
    <x v="1"/>
    <s v="PROD-7627"/>
    <x v="968"/>
    <n v="10"/>
    <n v="0.5"/>
    <n v="-9831.98"/>
    <s v="OK"/>
  </r>
  <r>
    <s v="ORD-1720"/>
    <x v="716"/>
    <d v="2024-12-06T00:00:00"/>
    <s v="Standard Class"/>
    <x v="49"/>
    <x v="49"/>
    <s v="Consumer"/>
    <s v="Birmingham"/>
    <s v="Alabama"/>
    <x v="0"/>
    <x v="1"/>
    <x v="8"/>
    <s v="PROD-3587"/>
    <x v="969"/>
    <n v="3"/>
    <n v="0.5"/>
    <n v="-63.45"/>
    <s v="OK"/>
  </r>
  <r>
    <s v="ORD-1337"/>
    <x v="716"/>
    <d v="2024-12-03T00:00:00"/>
    <s v="Same Day"/>
    <x v="87"/>
    <x v="87"/>
    <s v="Corporate"/>
    <s v="Savannah"/>
    <s v="Georgia"/>
    <x v="0"/>
    <x v="2"/>
    <x v="16"/>
    <s v="PROD-1137"/>
    <x v="970"/>
    <n v="3"/>
    <n v="0.3"/>
    <n v="25.81"/>
    <s v="OK"/>
  </r>
  <r>
    <s v="ORD-1795"/>
    <x v="717"/>
    <d v="2024-12-09T00:00:00"/>
    <s v="First Class"/>
    <x v="196"/>
    <x v="197"/>
    <s v="Corporate"/>
    <s v="Los Angeles"/>
    <s v="California"/>
    <x v="3"/>
    <x v="0"/>
    <x v="6"/>
    <s v="PROD-5440"/>
    <x v="971"/>
    <n v="8"/>
    <n v="0"/>
    <n v="307.49"/>
    <s v="OK"/>
  </r>
  <r>
    <s v="ORD-1198"/>
    <x v="717"/>
    <d v="2024-12-09T00:00:00"/>
    <s v="First Class"/>
    <x v="11"/>
    <x v="11"/>
    <s v="Corporate"/>
    <s v="Detroit"/>
    <s v="Michigan"/>
    <x v="2"/>
    <x v="1"/>
    <x v="9"/>
    <s v="PROD-3328"/>
    <x v="972"/>
    <n v="6"/>
    <n v="0.5"/>
    <n v="-2211.2199999999998"/>
    <s v="OK"/>
  </r>
  <r>
    <s v="ORD-1783"/>
    <x v="718"/>
    <d v="2024-12-12T00:00:00"/>
    <s v="Standard Class"/>
    <x v="118"/>
    <x v="118"/>
    <s v="Home Office"/>
    <s v="Los Angeles"/>
    <s v="California"/>
    <x v="3"/>
    <x v="2"/>
    <x v="10"/>
    <s v="PROD-9788"/>
    <x v="973"/>
    <n v="9"/>
    <n v="0"/>
    <n v="182.86"/>
    <s v="OK"/>
  </r>
  <r>
    <s v="ORD-1379"/>
    <x v="719"/>
    <d v="2024-12-10T00:00:00"/>
    <s v="Same Day"/>
    <x v="140"/>
    <x v="140"/>
    <s v="Corporate"/>
    <s v="Nashville"/>
    <s v="Tennessee"/>
    <x v="0"/>
    <x v="1"/>
    <x v="8"/>
    <s v="PROD-3733"/>
    <x v="974"/>
    <n v="10"/>
    <n v="0.15"/>
    <n v="1221.58"/>
    <s v="OK"/>
  </r>
  <r>
    <s v="ORD-1510"/>
    <x v="720"/>
    <d v="2024-12-15T00:00:00"/>
    <s v="Second Class"/>
    <x v="182"/>
    <x v="181"/>
    <s v="Home Office"/>
    <s v="Birmingham"/>
    <s v="Alabama"/>
    <x v="0"/>
    <x v="2"/>
    <x v="11"/>
    <s v="PROD-4693"/>
    <x v="975"/>
    <n v="8"/>
    <n v="0.5"/>
    <n v="-8.1300000000000008"/>
    <s v="OK"/>
  </r>
  <r>
    <s v="ORD-1004"/>
    <x v="720"/>
    <d v="2024-12-13T00:00:00"/>
    <s v="First Class"/>
    <x v="47"/>
    <x v="47"/>
    <s v="Home Office"/>
    <s v="Raleigh"/>
    <s v="North Carolina"/>
    <x v="0"/>
    <x v="1"/>
    <x v="2"/>
    <s v="PROD-6751"/>
    <x v="976"/>
    <n v="5"/>
    <n v="0"/>
    <n v="283.56"/>
    <s v="OK"/>
  </r>
  <r>
    <s v="ORD-1048"/>
    <x v="721"/>
    <d v="2024-12-13T00:00:00"/>
    <s v="Same Day"/>
    <x v="56"/>
    <x v="56"/>
    <s v="Home Office"/>
    <s v="Nashville"/>
    <s v="Tennessee"/>
    <x v="0"/>
    <x v="1"/>
    <x v="8"/>
    <s v="PROD-5678"/>
    <x v="977"/>
    <n v="2"/>
    <n v="0.1"/>
    <n v="346.18"/>
    <s v="OK"/>
  </r>
  <r>
    <s v="ORD-1074"/>
    <x v="722"/>
    <d v="2024-12-19T00:00:00"/>
    <s v="Second Class"/>
    <x v="185"/>
    <x v="185"/>
    <s v="Corporate"/>
    <s v="Tucson"/>
    <s v="Arizona"/>
    <x v="3"/>
    <x v="0"/>
    <x v="6"/>
    <s v="PROD-9011"/>
    <x v="978"/>
    <n v="4"/>
    <n v="0.1"/>
    <n v="81.97"/>
    <s v="OK"/>
  </r>
  <r>
    <s v="ORD-1521"/>
    <x v="723"/>
    <d v="2024-12-18T00:00:00"/>
    <s v="First Class"/>
    <x v="186"/>
    <x v="186"/>
    <s v="Corporate"/>
    <s v="Montgomery"/>
    <s v="Alabama"/>
    <x v="0"/>
    <x v="2"/>
    <x v="12"/>
    <s v="PROD-5748"/>
    <x v="979"/>
    <n v="9"/>
    <n v="0.4"/>
    <n v="0.17"/>
    <s v="OK"/>
  </r>
  <r>
    <s v="ORD-1321"/>
    <x v="723"/>
    <d v="2024-12-18T00:00:00"/>
    <s v="Same Day"/>
    <x v="73"/>
    <x v="73"/>
    <s v="Corporate"/>
    <s v="Detroit"/>
    <s v="Michigan"/>
    <x v="2"/>
    <x v="1"/>
    <x v="8"/>
    <s v="PROD-3262"/>
    <x v="980"/>
    <n v="5"/>
    <n v="0.5"/>
    <n v="-107.18"/>
    <s v="OK"/>
  </r>
  <r>
    <s v="ORD-1656"/>
    <x v="724"/>
    <d v="2024-12-17T00:00:00"/>
    <s v="Same Day"/>
    <x v="158"/>
    <x v="158"/>
    <s v="Consumer"/>
    <s v="Detroit"/>
    <s v="Michigan"/>
    <x v="2"/>
    <x v="0"/>
    <x v="0"/>
    <s v="PROD-9741"/>
    <x v="981"/>
    <n v="5"/>
    <n v="0.05"/>
    <n v="784.25"/>
    <s v="OK"/>
  </r>
  <r>
    <s v="ORD-1958"/>
    <x v="725"/>
    <d v="2024-12-20T00:00:00"/>
    <s v="Same Day"/>
    <x v="128"/>
    <x v="128"/>
    <s v="Corporate"/>
    <s v="Nashville"/>
    <s v="Tennessee"/>
    <x v="0"/>
    <x v="0"/>
    <x v="0"/>
    <s v="PROD-2028"/>
    <x v="982"/>
    <n v="9"/>
    <n v="0.05"/>
    <n v="564.51"/>
    <s v="OK"/>
  </r>
  <r>
    <s v="ORD-1772"/>
    <x v="725"/>
    <d v="2024-12-20T00:00:00"/>
    <s v="Same Day"/>
    <x v="112"/>
    <x v="112"/>
    <s v="Corporate"/>
    <s v="Boulder"/>
    <s v="Colorado"/>
    <x v="3"/>
    <x v="2"/>
    <x v="15"/>
    <s v="PROD-4534"/>
    <x v="983"/>
    <n v="2"/>
    <n v="0.1"/>
    <n v="6.34"/>
    <s v="OK"/>
  </r>
  <r>
    <s v="ORD-1630"/>
    <x v="725"/>
    <d v="2024-12-23T00:00:00"/>
    <s v="Standard Class"/>
    <x v="143"/>
    <x v="143"/>
    <s v="Consumer"/>
    <s v="Newark"/>
    <s v="New Jersey"/>
    <x v="1"/>
    <x v="0"/>
    <x v="6"/>
    <s v="PROD-8489"/>
    <x v="984"/>
    <n v="9"/>
    <n v="0.5"/>
    <n v="-336.09"/>
    <s v="OK"/>
  </r>
  <r>
    <s v="ORD-1054"/>
    <x v="726"/>
    <d v="2024-12-27T00:00:00"/>
    <s v="Second Class"/>
    <x v="87"/>
    <x v="87"/>
    <s v="Corporate"/>
    <s v="Savannah"/>
    <s v="Georgia"/>
    <x v="0"/>
    <x v="0"/>
    <x v="7"/>
    <s v="PROD-9501"/>
    <x v="985"/>
    <n v="5"/>
    <n v="0"/>
    <n v="915.31"/>
    <s v="OK"/>
  </r>
  <r>
    <s v="ORD-1230"/>
    <x v="726"/>
    <d v="2024-12-26T00:00:00"/>
    <s v="First Class"/>
    <x v="120"/>
    <x v="120"/>
    <s v="Corporate"/>
    <s v="San Diego"/>
    <s v="California"/>
    <x v="3"/>
    <x v="0"/>
    <x v="7"/>
    <s v="PROD-7168"/>
    <x v="986"/>
    <n v="10"/>
    <n v="0.1"/>
    <n v="520.70000000000005"/>
    <s v="OK"/>
  </r>
  <r>
    <s v="ORD-1347"/>
    <x v="727"/>
    <d v="2024-12-29T00:00:00"/>
    <s v="First Class"/>
    <x v="114"/>
    <x v="114"/>
    <s v="Corporate"/>
    <s v="Nashville"/>
    <s v="Tennessee"/>
    <x v="0"/>
    <x v="0"/>
    <x v="0"/>
    <s v="PROD-7479"/>
    <x v="987"/>
    <n v="6"/>
    <n v="0.15"/>
    <n v="151.31"/>
    <s v="OK"/>
  </r>
  <r>
    <s v="ORD-1597"/>
    <x v="727"/>
    <d v="2024-12-26T00:00:00"/>
    <s v="Same Day"/>
    <x v="91"/>
    <x v="91"/>
    <s v="Consumer"/>
    <s v="Savannah"/>
    <s v="Georgia"/>
    <x v="0"/>
    <x v="0"/>
    <x v="3"/>
    <s v="PROD-5266"/>
    <x v="988"/>
    <n v="8"/>
    <n v="0"/>
    <n v="1118.8599999999999"/>
    <s v="OK"/>
  </r>
  <r>
    <s v="ORD-1050"/>
    <x v="728"/>
    <d v="2025-01-01T00:00:00"/>
    <s v="Second Class"/>
    <x v="147"/>
    <x v="147"/>
    <s v="Consumer"/>
    <s v="Saint Paul"/>
    <s v="Minnesota"/>
    <x v="2"/>
    <x v="2"/>
    <x v="10"/>
    <s v="PROD-9335"/>
    <x v="989"/>
    <n v="5"/>
    <n v="0.1"/>
    <n v="50.46"/>
    <s v="OK"/>
  </r>
  <r>
    <s v="ORD-1818"/>
    <x v="728"/>
    <d v="2024-12-29T00:00:00"/>
    <s v="Same Day"/>
    <x v="58"/>
    <x v="58"/>
    <s v="Home Office"/>
    <s v="Spokane"/>
    <s v="Washington"/>
    <x v="3"/>
    <x v="0"/>
    <x v="6"/>
    <s v="PROD-6240"/>
    <x v="990"/>
    <n v="-6"/>
    <n v="0.1"/>
    <n v="27.65"/>
    <s v="OK"/>
  </r>
  <r>
    <s v="ORD-1118"/>
    <x v="729"/>
    <d v="2024-12-31T00:00:00"/>
    <s v="Same Day"/>
    <x v="84"/>
    <x v="84"/>
    <s v="Consumer"/>
    <s v="San Diego"/>
    <s v="California"/>
    <x v="3"/>
    <x v="2"/>
    <x v="5"/>
    <s v="PROD-5903"/>
    <x v="991"/>
    <n v="-10"/>
    <n v="0"/>
    <n v="916.9"/>
    <s v="OK"/>
  </r>
  <r>
    <s v="ORD-1594"/>
    <x v="730"/>
    <d v="2025-01-03T00:00:00"/>
    <s v="Same Day"/>
    <x v="177"/>
    <x v="176"/>
    <s v="Home Office"/>
    <s v="Bridgeport"/>
    <s v="Connecticut"/>
    <x v="1"/>
    <x v="0"/>
    <x v="3"/>
    <s v="PROD-7935"/>
    <x v="992"/>
    <n v="6"/>
    <n v="0.2"/>
    <n v="-160.99"/>
    <s v="OK"/>
  </r>
  <r>
    <s v="ORD-1621"/>
    <x v="730"/>
    <d v="2025-01-02T00:00:00"/>
    <s v="Same Day"/>
    <x v="142"/>
    <x v="142"/>
    <s v="Consumer"/>
    <s v="Cleveland"/>
    <s v="Ohio"/>
    <x v="2"/>
    <x v="2"/>
    <x v="16"/>
    <s v="PROD-9121"/>
    <x v="993"/>
    <n v="1"/>
    <n v="0"/>
    <n v="4.2300000000000004"/>
    <s v="OK"/>
  </r>
  <r>
    <s v="ORD-1194"/>
    <x v="730"/>
    <d v="2025-01-03T00:00:00"/>
    <s v="First Class"/>
    <x v="142"/>
    <x v="142"/>
    <s v="Consumer"/>
    <s v="Cleveland"/>
    <s v="Ohio"/>
    <x v="2"/>
    <x v="1"/>
    <x v="1"/>
    <s v="PROD-9921"/>
    <x v="994"/>
    <n v="9"/>
    <n v="0"/>
    <n v="4069.89"/>
    <s v="OK"/>
  </r>
  <r>
    <s v="ORD-1049"/>
    <x v="730"/>
    <d v="2025-01-01T00:00:00"/>
    <s v="Same Day"/>
    <x v="69"/>
    <x v="69"/>
    <s v="Consumer"/>
    <s v="Richmond"/>
    <s v="Virginia"/>
    <x v="1"/>
    <x v="2"/>
    <x v="11"/>
    <s v="PROD-6236"/>
    <x v="995"/>
    <n v="2"/>
    <n v="0.3"/>
    <n v="2.74"/>
    <s v="OK"/>
  </r>
  <r>
    <s v="ORD-1441"/>
    <x v="730"/>
    <d v="2025-01-06T00:00:00"/>
    <s v="Standard Class"/>
    <x v="84"/>
    <x v="84"/>
    <s v="Consumer"/>
    <s v="San Diego"/>
    <s v="California"/>
    <x v="3"/>
    <x v="1"/>
    <x v="8"/>
    <s v="PROD-3159"/>
    <x v="996"/>
    <n v="5"/>
    <n v="0.15"/>
    <n v="452.11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CU-1000"/>
    <s v="Linda Johnson"/>
    <s v="Consumer"/>
    <x v="0"/>
    <s v="Ohio"/>
    <x v="0"/>
    <s v="Linda"/>
    <s v="Johnson"/>
    <n v="13"/>
    <x v="0"/>
  </r>
  <r>
    <s v="CU-1001"/>
    <s v="Michael Garcia"/>
    <s v="Consumer"/>
    <x v="1"/>
    <s v="Texas"/>
    <x v="1"/>
    <s v="Michael"/>
    <s v="Garcia"/>
    <n v="13"/>
    <x v="0"/>
  </r>
  <r>
    <s v="CU-1002"/>
    <s v="Jessica Harris"/>
    <s v="Home Office"/>
    <x v="2"/>
    <s v="Massachusetts"/>
    <x v="2"/>
    <s v="Jessica"/>
    <s v="Harris"/>
    <n v="13"/>
    <x v="0"/>
  </r>
  <r>
    <s v="CU-1003"/>
    <s v="Olivia Young"/>
    <s v="Consumer"/>
    <x v="3"/>
    <s v="Colorado"/>
    <x v="3"/>
    <s v="Olivia"/>
    <s v="Young"/>
    <n v="12"/>
    <x v="1"/>
  </r>
  <r>
    <s v="CU-1004"/>
    <s v="David Hernandez"/>
    <s v="Consumer"/>
    <x v="4"/>
    <s v="Michigan"/>
    <x v="0"/>
    <s v="David"/>
    <s v="Hernandez"/>
    <n v="12"/>
    <x v="1"/>
  </r>
  <r>
    <s v="CU-1005"/>
    <s v="Maria Miller"/>
    <s v="Corporate"/>
    <x v="5"/>
    <s v="Virginia"/>
    <x v="2"/>
    <s v="Maria"/>
    <s v="Miller"/>
    <n v="12"/>
    <x v="1"/>
  </r>
  <r>
    <s v="CU-1006"/>
    <s v="Ahmed Thompson"/>
    <s v="Home Office"/>
    <x v="6"/>
    <s v="Connecticut"/>
    <x v="2"/>
    <s v="Ahmed"/>
    <s v="Thompson"/>
    <n v="12"/>
    <x v="1"/>
  </r>
  <r>
    <s v="CU-1007"/>
    <s v="Linda Hall"/>
    <s v="Home Office"/>
    <x v="7"/>
    <s v="Massachusetts"/>
    <x v="2"/>
    <s v="Linda"/>
    <s v="Hall"/>
    <n v="12"/>
    <x v="1"/>
  </r>
  <r>
    <s v="CU-1008"/>
    <s v="Priya Jackson"/>
    <s v="Corporate"/>
    <x v="8"/>
    <s v="New York"/>
    <x v="2"/>
    <s v="Priya"/>
    <s v="Jackson"/>
    <n v="12"/>
    <x v="1"/>
  </r>
  <r>
    <s v="CU-1009"/>
    <s v="Jennifer Harris"/>
    <s v="Corporate"/>
    <x v="9"/>
    <s v="Virginia"/>
    <x v="2"/>
    <s v="Jennifer"/>
    <s v="Harris"/>
    <n v="12"/>
    <x v="1"/>
  </r>
  <r>
    <s v="CU-1010"/>
    <s v="Priya Anderson"/>
    <s v="Home Office"/>
    <x v="4"/>
    <s v="Michigan"/>
    <x v="0"/>
    <s v="Priya"/>
    <s v="Anderson"/>
    <n v="12"/>
    <x v="1"/>
  </r>
  <r>
    <s v="CU-1011"/>
    <s v="Karen Jones"/>
    <s v="Consumer"/>
    <x v="10"/>
    <s v="Nevada"/>
    <x v="3"/>
    <s v="Karen"/>
    <s v="Jones"/>
    <n v="12"/>
    <x v="1"/>
  </r>
  <r>
    <s v="CU-1012"/>
    <s v="Lucas Hall"/>
    <s v="Home Office"/>
    <x v="11"/>
    <s v="Minnesota"/>
    <x v="0"/>
    <s v="Lucas"/>
    <s v="Hall"/>
    <n v="12"/>
    <x v="1"/>
  </r>
  <r>
    <s v="CU-1013"/>
    <s v="Carlos Brown"/>
    <s v="Corporate"/>
    <x v="12"/>
    <s v="California"/>
    <x v="3"/>
    <s v="Carlos"/>
    <s v="Brown"/>
    <n v="12"/>
    <x v="1"/>
  </r>
  <r>
    <s v="CU-1014"/>
    <s v="Jessica Clark"/>
    <s v="Corporate"/>
    <x v="13"/>
    <s v="Arizona"/>
    <x v="3"/>
    <s v="Jessica"/>
    <s v="Clark"/>
    <n v="12"/>
    <x v="1"/>
  </r>
  <r>
    <s v="CU-1015"/>
    <s v="Lucas Taylor"/>
    <s v="Home Office"/>
    <x v="0"/>
    <s v="Ohio"/>
    <x v="0"/>
    <s v="Lucas"/>
    <s v="Taylor"/>
    <n v="12"/>
    <x v="1"/>
  </r>
  <r>
    <s v="CU-1016"/>
    <s v="Olivia Thompson"/>
    <s v="Corporate"/>
    <x v="14"/>
    <s v="Tennessee"/>
    <x v="1"/>
    <s v="Olivia"/>
    <s v="Thompson"/>
    <n v="12"/>
    <x v="1"/>
  </r>
  <r>
    <s v="CU-1017"/>
    <s v="Joseph Wilson"/>
    <s v="Consumer"/>
    <x v="1"/>
    <s v="Texas"/>
    <x v="1"/>
    <s v="Joseph"/>
    <s v="Wilson"/>
    <n v="12"/>
    <x v="1"/>
  </r>
  <r>
    <s v="CU-1018"/>
    <s v="Barbara Anderson"/>
    <s v="Corporate"/>
    <x v="15"/>
    <s v="Tennessee"/>
    <x v="1"/>
    <s v="Barbara"/>
    <s v="Anderson"/>
    <n v="12"/>
    <x v="1"/>
  </r>
  <r>
    <s v="CU-1019"/>
    <s v="Wei Wright"/>
    <s v="Home Office"/>
    <x v="16"/>
    <s v="Indiana"/>
    <x v="0"/>
    <s v="Wei"/>
    <s v="Wright"/>
    <n v="12"/>
    <x v="1"/>
  </r>
  <r>
    <s v="CU-1020"/>
    <s v="Linda Moore"/>
    <s v="Corporate"/>
    <x v="17"/>
    <s v="Illinois"/>
    <x v="0"/>
    <s v="Linda"/>
    <s v="Moore"/>
    <n v="12"/>
    <x v="1"/>
  </r>
  <r>
    <s v="CU-1021"/>
    <s v="David Wright"/>
    <s v="Home Office"/>
    <x v="6"/>
    <s v="Connecticut"/>
    <x v="2"/>
    <s v="David"/>
    <s v="Wright"/>
    <n v="12"/>
    <x v="1"/>
  </r>
  <r>
    <s v="CU-1022"/>
    <s v="Susan Hill"/>
    <s v="Home Office"/>
    <x v="6"/>
    <s v="Connecticut"/>
    <x v="2"/>
    <s v="Susan"/>
    <s v="Hill"/>
    <n v="12"/>
    <x v="1"/>
  </r>
  <r>
    <s v="CU-1023"/>
    <s v="Emma Jackson"/>
    <s v="Home Office"/>
    <x v="18"/>
    <s v="Oregon"/>
    <x v="3"/>
    <s v="Emma"/>
    <s v="Jackson"/>
    <n v="12"/>
    <x v="1"/>
  </r>
  <r>
    <s v="CU-1024"/>
    <s v="Noah Smith"/>
    <s v="Consumer"/>
    <x v="19"/>
    <s v="Wisconsin"/>
    <x v="0"/>
    <s v="Noah"/>
    <s v="Smith"/>
    <n v="12"/>
    <x v="1"/>
  </r>
  <r>
    <s v="CU-1025"/>
    <s v="Priya Robinson"/>
    <s v="Home Office"/>
    <x v="20"/>
    <s v="California"/>
    <x v="3"/>
    <s v="Priya"/>
    <s v="Robinson"/>
    <n v="12"/>
    <x v="1"/>
  </r>
  <r>
    <s v="CU-1026"/>
    <s v="Jennifer Garcia"/>
    <s v="Consumer"/>
    <x v="21"/>
    <s v="Texas"/>
    <x v="1"/>
    <s v="Jennifer"/>
    <s v="Garcia"/>
    <n v="12"/>
    <x v="1"/>
  </r>
  <r>
    <s v="CU-1027"/>
    <s v="William Lopez"/>
    <s v="Consumer"/>
    <x v="22"/>
    <s v="Oregon"/>
    <x v="3"/>
    <s v="William"/>
    <s v="Lopez"/>
    <n v="12"/>
    <x v="1"/>
  </r>
  <r>
    <s v="CU-1028"/>
    <s v="Olivia Jackson"/>
    <s v="Corporate"/>
    <x v="23"/>
    <s v="Wisconsin"/>
    <x v="0"/>
    <s v="Olivia"/>
    <s v="Jackson"/>
    <n v="12"/>
    <x v="1"/>
  </r>
  <r>
    <s v="CU-1029"/>
    <s v="Noah King"/>
    <s v="Consumer"/>
    <x v="24"/>
    <s v="Pennsylvania"/>
    <x v="2"/>
    <s v="Noah"/>
    <s v="King"/>
    <n v="12"/>
    <x v="1"/>
  </r>
  <r>
    <s v="CU-1030"/>
    <s v="Maria Johnson"/>
    <s v="Consumer"/>
    <x v="10"/>
    <s v="Nevada"/>
    <x v="3"/>
    <s v="Maria"/>
    <s v="Johnson"/>
    <n v="12"/>
    <x v="1"/>
  </r>
  <r>
    <s v="CU-1031"/>
    <s v="Robert Brown"/>
    <s v="Corporate"/>
    <x v="20"/>
    <s v="California"/>
    <x v="3"/>
    <s v="Robert"/>
    <s v="Brown"/>
    <n v="12"/>
    <x v="1"/>
  </r>
  <r>
    <s v="CU-1032"/>
    <s v="Robert Hill"/>
    <s v="Consumer"/>
    <x v="22"/>
    <s v="Oregon"/>
    <x v="3"/>
    <s v="Robert"/>
    <s v="Hill"/>
    <n v="12"/>
    <x v="1"/>
  </r>
  <r>
    <s v="CU-1033"/>
    <s v="Olivia Wilson"/>
    <s v="Corporate"/>
    <x v="25"/>
    <s v="Florida"/>
    <x v="1"/>
    <s v="Olivia"/>
    <s v="Wilson"/>
    <n v="12"/>
    <x v="1"/>
  </r>
  <r>
    <s v="CU-1034"/>
    <s v="Richard Miller"/>
    <s v="Corporate"/>
    <x v="6"/>
    <s v="Connecticut"/>
    <x v="2"/>
    <s v="Richard"/>
    <s v="Miller"/>
    <n v="12"/>
    <x v="1"/>
  </r>
  <r>
    <s v="CU-1035"/>
    <s v="Elena Young"/>
    <s v="Home Office"/>
    <x v="26"/>
    <s v="Alabama"/>
    <x v="1"/>
    <s v="Elena"/>
    <s v="Young"/>
    <n v="12"/>
    <x v="1"/>
  </r>
  <r>
    <s v="CU-1036"/>
    <s v="Michael Brown"/>
    <s v="Consumer"/>
    <x v="27"/>
    <s v="Alabama"/>
    <x v="1"/>
    <s v="Michael"/>
    <s v="Brown"/>
    <n v="12"/>
    <x v="1"/>
  </r>
  <r>
    <s v="CU-1037"/>
    <s v="Sarah Jackson"/>
    <s v="Consumer"/>
    <x v="28"/>
    <s v="Nevada"/>
    <x v="3"/>
    <s v="Sarah"/>
    <s v="Jackson"/>
    <n v="11"/>
    <x v="2"/>
  </r>
  <r>
    <s v="CU-1038"/>
    <s v="Elena Thomas"/>
    <s v="Consumer"/>
    <x v="19"/>
    <s v="Wisconsin"/>
    <x v="0"/>
    <s v="Elena"/>
    <s v="Thomas"/>
    <n v="11"/>
    <x v="2"/>
  </r>
  <r>
    <s v="CU-1039"/>
    <s v="Omar Miller"/>
    <s v="Consumer"/>
    <x v="29"/>
    <s v="Connecticut"/>
    <x v="2"/>
    <s v="Omar"/>
    <s v="Miller"/>
    <n v="11"/>
    <x v="2"/>
  </r>
  <r>
    <s v="CU-1040"/>
    <s v="Sarah Anderson"/>
    <s v="Consumer"/>
    <x v="30"/>
    <s v="North Carolina"/>
    <x v="1"/>
    <s v="Sarah"/>
    <s v="Anderson"/>
    <n v="11"/>
    <x v="2"/>
  </r>
  <r>
    <s v="CU-1041"/>
    <s v="Aisha Brown"/>
    <s v="Corporate"/>
    <x v="31"/>
    <s v="Colorado"/>
    <x v="3"/>
    <s v="Aisha"/>
    <s v="Brown"/>
    <n v="11"/>
    <x v="2"/>
  </r>
  <r>
    <s v="CU-1042"/>
    <s v="Thomas Wright"/>
    <s v="Consumer"/>
    <x v="23"/>
    <s v="Wisconsin"/>
    <x v="0"/>
    <s v="Thomas"/>
    <s v="Wright"/>
    <n v="11"/>
    <x v="2"/>
  </r>
  <r>
    <s v="CU-1043"/>
    <s v="Richard Martinez"/>
    <s v="Home Office"/>
    <x v="32"/>
    <s v="California"/>
    <x v="3"/>
    <s v="Richard"/>
    <s v="Martinez"/>
    <n v="11"/>
    <x v="2"/>
  </r>
  <r>
    <s v="CU-1044"/>
    <s v="Olivia Brown"/>
    <s v="Home Office"/>
    <x v="33"/>
    <s v="Illinois"/>
    <x v="0"/>
    <s v="Olivia"/>
    <s v="Brown"/>
    <n v="11"/>
    <x v="2"/>
  </r>
  <r>
    <s v="CU-1045"/>
    <s v="Sofia Hill"/>
    <s v="Consumer"/>
    <x v="32"/>
    <s v="California"/>
    <x v="3"/>
    <s v="Sofia"/>
    <s v="Hill"/>
    <n v="11"/>
    <x v="2"/>
  </r>
  <r>
    <s v="CU-1046"/>
    <s v="Susan Jones"/>
    <s v="Corporate"/>
    <x v="29"/>
    <s v="Connecticut"/>
    <x v="2"/>
    <s v="Susan"/>
    <s v="Jones"/>
    <n v="11"/>
    <x v="2"/>
  </r>
  <r>
    <s v="CU-1047"/>
    <s v="Linda Martin"/>
    <s v="Corporate"/>
    <x v="2"/>
    <s v="Massachusetts"/>
    <x v="2"/>
    <s v="Linda"/>
    <s v="Martin"/>
    <n v="11"/>
    <x v="2"/>
  </r>
  <r>
    <s v="CU-1048"/>
    <s v="Noah Clark"/>
    <s v="Consumer"/>
    <x v="34"/>
    <s v="Ohio"/>
    <x v="0"/>
    <s v="Noah"/>
    <s v="Clark"/>
    <n v="11"/>
    <x v="2"/>
  </r>
  <r>
    <s v="CU-1049"/>
    <s v="Thomas Allen"/>
    <s v="Corporate"/>
    <x v="13"/>
    <s v="Arizona"/>
    <x v="3"/>
    <s v="Thomas"/>
    <s v="Allen"/>
    <n v="11"/>
    <x v="2"/>
  </r>
  <r>
    <s v="CU-1050"/>
    <s v="Carlos Jones"/>
    <s v="Consumer"/>
    <x v="5"/>
    <s v="Virginia"/>
    <x v="2"/>
    <s v="Carlos"/>
    <s v="Jones"/>
    <n v="11"/>
    <x v="2"/>
  </r>
  <r>
    <s v="CU-1051"/>
    <s v="Olivia White"/>
    <s v="Consumer"/>
    <x v="34"/>
    <s v="Ohio"/>
    <x v="0"/>
    <s v="Olivia"/>
    <s v="White"/>
    <n v="11"/>
    <x v="2"/>
  </r>
  <r>
    <s v="CU-1052"/>
    <s v="Sarah Walker"/>
    <s v="Home Office"/>
    <x v="34"/>
    <s v="Ohio"/>
    <x v="0"/>
    <s v="Sarah"/>
    <s v="Walker"/>
    <n v="11"/>
    <x v="2"/>
  </r>
  <r>
    <s v="CU-1053"/>
    <s v="Lisa Smith"/>
    <s v="Consumer"/>
    <x v="11"/>
    <s v="Minnesota"/>
    <x v="0"/>
    <s v="Lisa"/>
    <s v="Smith"/>
    <n v="11"/>
    <x v="2"/>
  </r>
  <r>
    <s v="CU-1054"/>
    <s v="Thomas Davis"/>
    <s v="Corporate"/>
    <x v="29"/>
    <s v="Connecticut"/>
    <x v="2"/>
    <s v="Thomas"/>
    <s v="Davis"/>
    <n v="11"/>
    <x v="2"/>
  </r>
  <r>
    <s v="CU-1055"/>
    <s v="Charles White"/>
    <s v="Home Office"/>
    <x v="34"/>
    <s v="Ohio"/>
    <x v="0"/>
    <s v="Charles"/>
    <s v="White"/>
    <n v="11"/>
    <x v="2"/>
  </r>
  <r>
    <s v="CU-1056"/>
    <s v="Ethan Thompson"/>
    <s v="Corporate"/>
    <x v="35"/>
    <s v="New York"/>
    <x v="2"/>
    <s v="Ethan"/>
    <s v="Thompson"/>
    <n v="11"/>
    <x v="2"/>
  </r>
  <r>
    <s v="CU-1057"/>
    <s v="John Smith"/>
    <s v="Consumer"/>
    <x v="34"/>
    <s v="Ohio"/>
    <x v="0"/>
    <s v="John"/>
    <s v="Smith"/>
    <n v="11"/>
    <x v="2"/>
  </r>
  <r>
    <s v="CU-1058"/>
    <s v="Omar Hernandez"/>
    <s v="Home Office"/>
    <x v="8"/>
    <s v="New York"/>
    <x v="2"/>
    <s v="Omar"/>
    <s v="Hernandez"/>
    <n v="11"/>
    <x v="2"/>
  </r>
  <r>
    <s v="CU-1059"/>
    <s v="Barbara Williams"/>
    <s v="Corporate"/>
    <x v="16"/>
    <s v="Indiana"/>
    <x v="0"/>
    <s v="Barbara"/>
    <s v="Williams"/>
    <n v="11"/>
    <x v="2"/>
  </r>
  <r>
    <s v="CU-1060"/>
    <s v="William Williams"/>
    <s v="Corporate"/>
    <x v="4"/>
    <s v="Michigan"/>
    <x v="0"/>
    <s v="William"/>
    <s v="Williams"/>
    <n v="11"/>
    <x v="2"/>
  </r>
  <r>
    <s v="CU-1061"/>
    <s v="Jessica Martin"/>
    <s v="Home Office"/>
    <x v="36"/>
    <s v="New Jersey"/>
    <x v="2"/>
    <s v="Jessica"/>
    <s v="Martin"/>
    <n v="11"/>
    <x v="2"/>
  </r>
  <r>
    <s v="CU-1062"/>
    <s v="Barbara Martin"/>
    <s v="Consumer"/>
    <x v="37"/>
    <s v="Washington"/>
    <x v="3"/>
    <s v="Barbara"/>
    <s v="Martin"/>
    <n v="11"/>
    <x v="2"/>
  </r>
  <r>
    <s v="CU-1063"/>
    <s v="Susan Lewis"/>
    <s v="Corporate"/>
    <x v="26"/>
    <s v="Alabama"/>
    <x v="1"/>
    <s v="Susan"/>
    <s v="Lewis"/>
    <n v="11"/>
    <x v="2"/>
  </r>
  <r>
    <s v="CU-1064"/>
    <s v="David Miller"/>
    <s v="Consumer"/>
    <x v="38"/>
    <s v="Texas"/>
    <x v="1"/>
    <s v="David"/>
    <s v="Miller"/>
    <n v="11"/>
    <x v="2"/>
  </r>
  <r>
    <s v="CU-1065"/>
    <s v="Richard Wright"/>
    <s v="Consumer"/>
    <x v="4"/>
    <s v="Michigan"/>
    <x v="0"/>
    <s v="Richard"/>
    <s v="Wright"/>
    <n v="11"/>
    <x v="2"/>
  </r>
  <r>
    <s v="CU-1066"/>
    <s v="Mary Jackson"/>
    <s v="Consumer"/>
    <x v="39"/>
    <s v="Georgia"/>
    <x v="1"/>
    <s v="Mary"/>
    <s v="Jackson"/>
    <n v="11"/>
    <x v="2"/>
  </r>
  <r>
    <s v="CU-1067"/>
    <s v="Karen Lee"/>
    <s v="Consumer"/>
    <x v="27"/>
    <s v="Alabama"/>
    <x v="1"/>
    <s v="Karen"/>
    <s v="Lee"/>
    <n v="11"/>
    <x v="2"/>
  </r>
  <r>
    <s v="CU-1068"/>
    <s v="Linda Thompson"/>
    <s v="Consumer"/>
    <x v="28"/>
    <s v="Nevada"/>
    <x v="3"/>
    <s v="Linda"/>
    <s v="Thompson"/>
    <n v="11"/>
    <x v="2"/>
  </r>
  <r>
    <s v="CU-1069"/>
    <s v="Michael Hernandez"/>
    <s v="Corporate"/>
    <x v="40"/>
    <s v="Minnesota"/>
    <x v="0"/>
    <s v="Michael"/>
    <s v="Hernandez"/>
    <n v="11"/>
    <x v="2"/>
  </r>
  <r>
    <s v="CU-1070"/>
    <s v="Emma Davis"/>
    <s v="Corporate"/>
    <x v="15"/>
    <s v="Tennessee"/>
    <x v="1"/>
    <s v="Emma"/>
    <s v="Davis"/>
    <n v="11"/>
    <x v="2"/>
  </r>
  <r>
    <s v="CU-1071"/>
    <s v="John Hernandez"/>
    <s v="Corporate"/>
    <x v="2"/>
    <s v="Massachusetts"/>
    <x v="2"/>
    <s v="John"/>
    <s v="Hernandez"/>
    <n v="11"/>
    <x v="2"/>
  </r>
  <r>
    <s v="CU-1072"/>
    <s v="Elena Jones"/>
    <s v="Home Office"/>
    <x v="41"/>
    <s v="Indiana"/>
    <x v="0"/>
    <s v="Elena"/>
    <s v="Jones"/>
    <n v="11"/>
    <x v="2"/>
  </r>
  <r>
    <s v="CU-1073"/>
    <s v="Linda Robinson"/>
    <s v="Corporate"/>
    <x v="40"/>
    <s v="Minnesota"/>
    <x v="0"/>
    <s v="Linda"/>
    <s v="Robinson"/>
    <n v="11"/>
    <x v="2"/>
  </r>
  <r>
    <s v="CU-1074"/>
    <s v="Aisha Martinez"/>
    <s v="Home Office"/>
    <x v="37"/>
    <s v="Washington"/>
    <x v="3"/>
    <s v="Aisha"/>
    <s v="Martinez"/>
    <n v="11"/>
    <x v="2"/>
  </r>
  <r>
    <s v="CU-1075"/>
    <s v="Wei Thomas"/>
    <s v="Corporate"/>
    <x v="19"/>
    <s v="Wisconsin"/>
    <x v="0"/>
    <s v="Wei"/>
    <s v="Thomas"/>
    <n v="11"/>
    <x v="2"/>
  </r>
  <r>
    <s v="CU-1076"/>
    <s v="Elena Clark"/>
    <s v="Home Office"/>
    <x v="30"/>
    <s v="North Carolina"/>
    <x v="1"/>
    <s v="Elena"/>
    <s v="Clark"/>
    <n v="11"/>
    <x v="2"/>
  </r>
  <r>
    <s v="CU-1077"/>
    <s v="Jessica Hill"/>
    <s v="Home Office"/>
    <x v="26"/>
    <s v="Alabama"/>
    <x v="1"/>
    <s v="Jessica"/>
    <s v="Hill"/>
    <n v="11"/>
    <x v="2"/>
  </r>
  <r>
    <s v="CU-1078"/>
    <s v="Jennifer Martinez"/>
    <s v="Home Office"/>
    <x v="33"/>
    <s v="Illinois"/>
    <x v="0"/>
    <s v="Jennifer"/>
    <s v="Martinez"/>
    <n v="11"/>
    <x v="2"/>
  </r>
  <r>
    <s v="CU-1079"/>
    <s v="Lisa Harris"/>
    <s v="Consumer"/>
    <x v="42"/>
    <s v="Washington"/>
    <x v="3"/>
    <s v="Lisa"/>
    <s v="Harris"/>
    <n v="11"/>
    <x v="2"/>
  </r>
  <r>
    <s v="CU-1080"/>
    <s v="Sarah Lopez"/>
    <s v="Home Office"/>
    <x v="9"/>
    <s v="Virginia"/>
    <x v="2"/>
    <s v="Sarah"/>
    <s v="Lopez"/>
    <n v="11"/>
    <x v="2"/>
  </r>
  <r>
    <s v="CU-1081"/>
    <s v="Richard Hall"/>
    <s v="Consumer"/>
    <x v="43"/>
    <s v="North Carolina"/>
    <x v="1"/>
    <s v="Richard"/>
    <s v="Hall"/>
    <n v="11"/>
    <x v="2"/>
  </r>
  <r>
    <s v="CU-1082"/>
    <s v="James Miller"/>
    <s v="Home Office"/>
    <x v="44"/>
    <s v="Florida"/>
    <x v="1"/>
    <s v="James"/>
    <s v="Miller"/>
    <n v="11"/>
    <x v="2"/>
  </r>
  <r>
    <s v="CU-1083"/>
    <s v="Noah Wright"/>
    <s v="Consumer"/>
    <x v="2"/>
    <s v="Massachusetts"/>
    <x v="2"/>
    <s v="Noah"/>
    <s v="Wright"/>
    <n v="11"/>
    <x v="2"/>
  </r>
  <r>
    <s v="CU-1084"/>
    <s v="Lucas Wilson"/>
    <s v="Corporate"/>
    <x v="27"/>
    <s v="Alabama"/>
    <x v="1"/>
    <s v="Lucas"/>
    <s v="Wilson"/>
    <n v="11"/>
    <x v="2"/>
  </r>
  <r>
    <s v="CU-1085"/>
    <s v="Emma Hernandez"/>
    <s v="Corporate"/>
    <x v="45"/>
    <s v="Florida"/>
    <x v="1"/>
    <s v="Emma"/>
    <s v="Hernandez"/>
    <n v="11"/>
    <x v="2"/>
  </r>
  <r>
    <s v="CU-1086"/>
    <s v="Omar Thompson"/>
    <s v="Home Office"/>
    <x v="13"/>
    <s v="Arizona"/>
    <x v="3"/>
    <s v="Omar"/>
    <s v="Thompson"/>
    <n v="11"/>
    <x v="2"/>
  </r>
  <r>
    <s v="CU-1087"/>
    <s v="Ethan Martin"/>
    <s v="Home Office"/>
    <x v="19"/>
    <s v="Wisconsin"/>
    <x v="0"/>
    <s v="Ethan"/>
    <s v="Martin"/>
    <n v="11"/>
    <x v="2"/>
  </r>
  <r>
    <s v="CU-1088"/>
    <s v="Charles Martin"/>
    <s v="Home Office"/>
    <x v="46"/>
    <s v="Michigan"/>
    <x v="0"/>
    <s v="Charles"/>
    <s v="Martin"/>
    <n v="11"/>
    <x v="2"/>
  </r>
  <r>
    <s v="CU-1089"/>
    <s v="Jennifer Wilson"/>
    <s v="Home Office"/>
    <x v="37"/>
    <s v="Washington"/>
    <x v="3"/>
    <s v="Jennifer"/>
    <s v="Wilson"/>
    <n v="11"/>
    <x v="2"/>
  </r>
  <r>
    <s v="CU-1090"/>
    <s v="Barbara White"/>
    <s v="Corporate"/>
    <x v="9"/>
    <s v="Virginia"/>
    <x v="2"/>
    <s v="Barbara"/>
    <s v="White"/>
    <n v="11"/>
    <x v="2"/>
  </r>
  <r>
    <s v="CU-1091"/>
    <s v="Olivia Wright"/>
    <s v="Corporate"/>
    <x v="1"/>
    <s v="Texas"/>
    <x v="1"/>
    <s v="Olivia"/>
    <s v="Wright"/>
    <n v="11"/>
    <x v="2"/>
  </r>
  <r>
    <s v="CU-1092"/>
    <s v="Wei Johnson"/>
    <s v="Corporate"/>
    <x v="43"/>
    <s v="North Carolina"/>
    <x v="1"/>
    <s v="Wei"/>
    <s v="Johnson"/>
    <n v="11"/>
    <x v="2"/>
  </r>
  <r>
    <s v="CU-1093"/>
    <s v="Lisa Hall"/>
    <s v="Corporate"/>
    <x v="15"/>
    <s v="Tennessee"/>
    <x v="1"/>
    <s v="Lisa"/>
    <s v="Hall"/>
    <n v="11"/>
    <x v="2"/>
  </r>
  <r>
    <s v="CU-1094"/>
    <s v="Joseph Moore"/>
    <s v="Corporate"/>
    <x v="43"/>
    <s v="North Carolina"/>
    <x v="1"/>
    <s v="Joseph"/>
    <s v="Moore"/>
    <n v="11"/>
    <x v="2"/>
  </r>
  <r>
    <s v="CU-1095"/>
    <s v="Maria Allen"/>
    <s v="Home Office"/>
    <x v="31"/>
    <s v="Colorado"/>
    <x v="3"/>
    <s v="Maria"/>
    <s v="Allen"/>
    <n v="11"/>
    <x v="2"/>
  </r>
  <r>
    <s v="CU-1096"/>
    <s v="Olivia Johnson"/>
    <s v="Consumer"/>
    <x v="15"/>
    <s v="Tennessee"/>
    <x v="1"/>
    <s v="Olivia"/>
    <s v="Johnson"/>
    <n v="11"/>
    <x v="2"/>
  </r>
  <r>
    <s v="CU-1097"/>
    <s v="Elena Wilson"/>
    <s v="Corporate"/>
    <x v="44"/>
    <s v="Florida"/>
    <x v="1"/>
    <s v="Elena"/>
    <s v="Wilson"/>
    <n v="11"/>
    <x v="2"/>
  </r>
  <r>
    <s v="CU-1098"/>
    <s v="Wei Clark"/>
    <s v="Corporate"/>
    <x v="3"/>
    <s v="Colorado"/>
    <x v="3"/>
    <s v="Wei"/>
    <s v="Clark"/>
    <n v="11"/>
    <x v="2"/>
  </r>
  <r>
    <s v="CU-1099"/>
    <s v="Wei Moore"/>
    <s v="Corporate"/>
    <x v="47"/>
    <s v="Georgia"/>
    <x v="1"/>
    <s v="Wei"/>
    <s v="Moore"/>
    <n v="11"/>
    <x v="2"/>
  </r>
  <r>
    <s v="CU-1100"/>
    <s v="Mary Brown"/>
    <s v="Home Office"/>
    <x v="0"/>
    <s v="Ohio"/>
    <x v="0"/>
    <s v="Mary"/>
    <s v="Brown"/>
    <n v="11"/>
    <x v="2"/>
  </r>
  <r>
    <s v="CU-1101"/>
    <s v="John Johnson"/>
    <s v="Home Office"/>
    <x v="42"/>
    <s v="Washington"/>
    <x v="3"/>
    <s v="John"/>
    <s v="Johnson"/>
    <n v="11"/>
    <x v="2"/>
  </r>
  <r>
    <s v="CU-1102"/>
    <s v="Linda White"/>
    <s v="Corporate"/>
    <x v="27"/>
    <s v="Alabama"/>
    <x v="1"/>
    <s v="Linda"/>
    <s v="White"/>
    <n v="11"/>
    <x v="2"/>
  </r>
  <r>
    <s v="CU-1103"/>
    <s v="David Davis"/>
    <s v="Home Office"/>
    <x v="18"/>
    <s v="Oregon"/>
    <x v="3"/>
    <s v="David"/>
    <s v="Davis"/>
    <n v="11"/>
    <x v="2"/>
  </r>
  <r>
    <s v="CU-1104"/>
    <s v="Mary Robinson"/>
    <s v="Consumer"/>
    <x v="43"/>
    <s v="North Carolina"/>
    <x v="1"/>
    <s v="Mary"/>
    <s v="Robinson"/>
    <n v="11"/>
    <x v="2"/>
  </r>
  <r>
    <s v="CU-1105"/>
    <s v="Sarah Miller"/>
    <s v="Home Office"/>
    <x v="11"/>
    <s v="Minnesota"/>
    <x v="0"/>
    <s v="Sarah"/>
    <s v="Miller"/>
    <n v="11"/>
    <x v="2"/>
  </r>
  <r>
    <s v="CU-1106"/>
    <s v="John Lee"/>
    <s v="Consumer"/>
    <x v="27"/>
    <s v="Alabama"/>
    <x v="1"/>
    <s v="John"/>
    <s v="Lee"/>
    <n v="11"/>
    <x v="2"/>
  </r>
  <r>
    <s v="CU-1107"/>
    <s v="Emma Lewis"/>
    <s v="Consumer"/>
    <x v="9"/>
    <s v="Virginia"/>
    <x v="2"/>
    <s v="Emma"/>
    <s v="Lewis"/>
    <n v="11"/>
    <x v="2"/>
  </r>
  <r>
    <s v="CU-1108"/>
    <s v="Elena Walker"/>
    <s v="Corporate"/>
    <x v="26"/>
    <s v="Alabama"/>
    <x v="1"/>
    <s v="Elena"/>
    <s v="Walker"/>
    <n v="11"/>
    <x v="2"/>
  </r>
  <r>
    <s v="CU-1109"/>
    <s v="Susan Moore"/>
    <s v="Home Office"/>
    <x v="30"/>
    <s v="North Carolina"/>
    <x v="1"/>
    <s v="Susan"/>
    <s v="Moore"/>
    <n v="11"/>
    <x v="2"/>
  </r>
  <r>
    <s v="CU-1110"/>
    <s v="Karen Clark"/>
    <s v="Corporate"/>
    <x v="12"/>
    <s v="California"/>
    <x v="3"/>
    <s v="Karen"/>
    <s v="Clark"/>
    <n v="11"/>
    <x v="2"/>
  </r>
  <r>
    <s v="CU-1111"/>
    <s v="Sarah Wright"/>
    <s v="Corporate"/>
    <x v="47"/>
    <s v="Georgia"/>
    <x v="1"/>
    <s v="Sarah"/>
    <s v="Wright"/>
    <n v="11"/>
    <x v="2"/>
  </r>
  <r>
    <s v="CU-1112"/>
    <s v="Carlos Thomas"/>
    <s v="Corporate"/>
    <x v="25"/>
    <s v="Florida"/>
    <x v="1"/>
    <s v="Carlos"/>
    <s v="Thomas"/>
    <n v="11"/>
    <x v="2"/>
  </r>
  <r>
    <s v="CU-1113"/>
    <s v="Maria Moore"/>
    <s v="Home Office"/>
    <x v="16"/>
    <s v="Indiana"/>
    <x v="0"/>
    <s v="Maria"/>
    <s v="Moore"/>
    <n v="11"/>
    <x v="2"/>
  </r>
  <r>
    <s v="CU-1114"/>
    <s v="Richard Garcia"/>
    <s v="Corporate"/>
    <x v="13"/>
    <s v="Arizona"/>
    <x v="3"/>
    <s v="Richard"/>
    <s v="Garcia"/>
    <n v="11"/>
    <x v="2"/>
  </r>
  <r>
    <s v="CU-1115"/>
    <s v="Ethan King"/>
    <s v="Consumer"/>
    <x v="35"/>
    <s v="New York"/>
    <x v="2"/>
    <s v="Ethan"/>
    <s v="King"/>
    <n v="11"/>
    <x v="2"/>
  </r>
  <r>
    <s v="CU-1116"/>
    <s v="Aisha Martin"/>
    <s v="Corporate"/>
    <x v="40"/>
    <s v="Minnesota"/>
    <x v="0"/>
    <s v="Aisha"/>
    <s v="Martin"/>
    <n v="11"/>
    <x v="2"/>
  </r>
  <r>
    <s v="CU-1117"/>
    <s v="Noah Lee"/>
    <s v="Corporate"/>
    <x v="27"/>
    <s v="Alabama"/>
    <x v="1"/>
    <s v="Noah"/>
    <s v="Lee"/>
    <n v="11"/>
    <x v="2"/>
  </r>
  <r>
    <s v="CU-1118"/>
    <s v="Lucas Moore"/>
    <s v="Consumer"/>
    <x v="4"/>
    <s v="Michigan"/>
    <x v="0"/>
    <s v="Lucas"/>
    <s v="Moore"/>
    <n v="11"/>
    <x v="2"/>
  </r>
  <r>
    <s v="CU-1119"/>
    <s v="Richard Clark"/>
    <s v="Consumer"/>
    <x v="29"/>
    <s v="Connecticut"/>
    <x v="2"/>
    <s v="Richard"/>
    <s v="Clark"/>
    <n v="11"/>
    <x v="2"/>
  </r>
  <r>
    <s v="CU-1120"/>
    <s v="Jessica Lopez"/>
    <s v="Consumer"/>
    <x v="40"/>
    <s v="Minnesota"/>
    <x v="0"/>
    <s v="Jessica"/>
    <s v="Lopez"/>
    <n v="11"/>
    <x v="2"/>
  </r>
  <r>
    <s v="CU-1121"/>
    <s v="Joseph Walker"/>
    <s v="Home Office"/>
    <x v="18"/>
    <s v="Oregon"/>
    <x v="3"/>
    <s v="Joseph"/>
    <s v="Walker"/>
    <n v="11"/>
    <x v="2"/>
  </r>
  <r>
    <s v="CU-1122"/>
    <s v="Karen Williams"/>
    <s v="Home Office"/>
    <x v="7"/>
    <s v="Massachusetts"/>
    <x v="2"/>
    <s v="Karen"/>
    <s v="Williams"/>
    <n v="11"/>
    <x v="2"/>
  </r>
  <r>
    <s v="CU-1123"/>
    <s v="William Scott"/>
    <s v="Corporate"/>
    <x v="35"/>
    <s v="New York"/>
    <x v="2"/>
    <s v="William"/>
    <s v="Scott"/>
    <n v="11"/>
    <x v="2"/>
  </r>
  <r>
    <s v="CU-1124"/>
    <s v="Sofia King"/>
    <s v="Corporate"/>
    <x v="0"/>
    <s v="Ohio"/>
    <x v="0"/>
    <s v="Sofia"/>
    <s v="King"/>
    <n v="11"/>
    <x v="2"/>
  </r>
  <r>
    <s v="CU-1125"/>
    <s v="Sofia Davis"/>
    <s v="Consumer"/>
    <x v="9"/>
    <s v="Virginia"/>
    <x v="2"/>
    <s v="Sofia"/>
    <s v="Davis"/>
    <n v="11"/>
    <x v="2"/>
  </r>
  <r>
    <s v="CU-1126"/>
    <s v="Patricia Taylor"/>
    <s v="Consumer"/>
    <x v="28"/>
    <s v="Nevada"/>
    <x v="3"/>
    <s v="Patricia"/>
    <s v="Taylor"/>
    <n v="11"/>
    <x v="2"/>
  </r>
  <r>
    <s v="CU-1127"/>
    <s v="Sarah Davis"/>
    <s v="Home Office"/>
    <x v="15"/>
    <s v="Tennessee"/>
    <x v="1"/>
    <s v="Sarah"/>
    <s v="Davis"/>
    <n v="11"/>
    <x v="2"/>
  </r>
  <r>
    <s v="CU-1128"/>
    <s v="Wei King"/>
    <s v="Corporate"/>
    <x v="39"/>
    <s v="Georgia"/>
    <x v="1"/>
    <s v="Wei"/>
    <s v="King"/>
    <n v="11"/>
    <x v="2"/>
  </r>
  <r>
    <s v="CU-1129"/>
    <s v="Patricia Miller"/>
    <s v="Corporate"/>
    <x v="48"/>
    <s v="Arizona"/>
    <x v="3"/>
    <s v="Patricia"/>
    <s v="Miller"/>
    <n v="11"/>
    <x v="2"/>
  </r>
  <r>
    <s v="CU-1130"/>
    <s v="Jennifer Anderson"/>
    <s v="Consumer"/>
    <x v="42"/>
    <s v="Washington"/>
    <x v="3"/>
    <s v="Jennifer"/>
    <s v="Anderson"/>
    <n v="11"/>
    <x v="2"/>
  </r>
  <r>
    <s v="CU-1131"/>
    <s v="James Young"/>
    <s v="Corporate"/>
    <x v="27"/>
    <s v="Alabama"/>
    <x v="1"/>
    <s v="James"/>
    <s v="Young"/>
    <n v="11"/>
    <x v="2"/>
  </r>
  <r>
    <s v="CU-1132"/>
    <s v="John Harris"/>
    <s v="Home Office"/>
    <x v="40"/>
    <s v="Minnesota"/>
    <x v="0"/>
    <s v="John"/>
    <s v="Harris"/>
    <n v="11"/>
    <x v="2"/>
  </r>
  <r>
    <s v="CU-1133"/>
    <s v="Lucas Jones"/>
    <s v="Corporate"/>
    <x v="18"/>
    <s v="Oregon"/>
    <x v="3"/>
    <s v="Lucas"/>
    <s v="Jones"/>
    <n v="11"/>
    <x v="2"/>
  </r>
  <r>
    <s v="CU-1134"/>
    <s v="Linda Harris"/>
    <s v="Consumer"/>
    <x v="18"/>
    <s v="Oregon"/>
    <x v="3"/>
    <s v="Linda"/>
    <s v="Harris"/>
    <n v="11"/>
    <x v="2"/>
  </r>
  <r>
    <s v="CU-1135"/>
    <s v="Patricia Anderson"/>
    <s v="Corporate"/>
    <x v="41"/>
    <s v="Indiana"/>
    <x v="0"/>
    <s v="Patricia"/>
    <s v="Anderson"/>
    <n v="11"/>
    <x v="2"/>
  </r>
  <r>
    <s v="CU-1136"/>
    <s v="Linda Wright"/>
    <s v="Corporate"/>
    <x v="40"/>
    <s v="Minnesota"/>
    <x v="0"/>
    <s v="Linda"/>
    <s v="Wright"/>
    <n v="11"/>
    <x v="2"/>
  </r>
  <r>
    <s v="CU-1137"/>
    <s v="Emma Scott"/>
    <s v="Consumer"/>
    <x v="21"/>
    <s v="Texas"/>
    <x v="1"/>
    <s v="Emma"/>
    <s v="Scott"/>
    <n v="11"/>
    <x v="2"/>
  </r>
  <r>
    <s v="CU-1138"/>
    <s v="Thomas Johnson"/>
    <s v="Home Office"/>
    <x v="24"/>
    <s v="Pennsylvania"/>
    <x v="2"/>
    <s v="Thomas"/>
    <s v="Johnson"/>
    <n v="11"/>
    <x v="2"/>
  </r>
  <r>
    <s v="CU-1139"/>
    <s v="Susan Lopez"/>
    <s v="Home Office"/>
    <x v="47"/>
    <s v="Georgia"/>
    <x v="1"/>
    <s v="Susan"/>
    <s v="Lopez"/>
    <n v="11"/>
    <x v="2"/>
  </r>
  <r>
    <s v="CU-1140"/>
    <s v="Elena Scott"/>
    <s v="Corporate"/>
    <x v="9"/>
    <s v="Virginia"/>
    <x v="2"/>
    <s v="Elena"/>
    <s v="Scott"/>
    <n v="11"/>
    <x v="2"/>
  </r>
  <r>
    <s v="CU-1141"/>
    <s v="Maria Clark"/>
    <s v="Corporate"/>
    <x v="49"/>
    <s v="Pennsylvania"/>
    <x v="2"/>
    <s v="Maria"/>
    <s v="Clark"/>
    <n v="11"/>
    <x v="2"/>
  </r>
  <r>
    <s v="CU-1142"/>
    <s v="Ethan Martinez"/>
    <s v="Corporate"/>
    <x v="15"/>
    <s v="Tennessee"/>
    <x v="1"/>
    <s v="Ethan"/>
    <s v="Martinez"/>
    <n v="11"/>
    <x v="2"/>
  </r>
  <r>
    <s v="CU-1143"/>
    <s v="Jennifer Clark"/>
    <s v="Corporate"/>
    <x v="4"/>
    <s v="Michigan"/>
    <x v="0"/>
    <s v="Jennifer"/>
    <s v="Clark"/>
    <n v="11"/>
    <x v="2"/>
  </r>
  <r>
    <s v="CU-1144"/>
    <s v="Emma Smith"/>
    <s v="Consumer"/>
    <x v="43"/>
    <s v="North Carolina"/>
    <x v="1"/>
    <s v="Emma"/>
    <s v="Smith"/>
    <n v="11"/>
    <x v="2"/>
  </r>
  <r>
    <s v="CU-1145"/>
    <s v="Noah Walker"/>
    <s v="Consumer"/>
    <x v="27"/>
    <s v="Alabama"/>
    <x v="1"/>
    <s v="Noah"/>
    <s v="Walker"/>
    <n v="11"/>
    <x v="2"/>
  </r>
  <r>
    <s v="CU-1146"/>
    <s v="Jessica Moore"/>
    <s v="Home Office"/>
    <x v="22"/>
    <s v="Oregon"/>
    <x v="3"/>
    <s v="Jessica"/>
    <s v="Moore"/>
    <n v="11"/>
    <x v="2"/>
  </r>
  <r>
    <s v="CU-1147"/>
    <s v="Ethan Davis"/>
    <s v="Home Office"/>
    <x v="29"/>
    <s v="Connecticut"/>
    <x v="2"/>
    <s v="Ethan"/>
    <s v="Davis"/>
    <n v="11"/>
    <x v="2"/>
  </r>
  <r>
    <s v="CU-1148"/>
    <s v="David Robinson"/>
    <s v="Consumer"/>
    <x v="7"/>
    <s v="Massachusetts"/>
    <x v="2"/>
    <s v="David"/>
    <s v="Robinson"/>
    <n v="11"/>
    <x v="2"/>
  </r>
  <r>
    <s v="CU-1149"/>
    <s v="Joseph Davis"/>
    <s v="Consumer"/>
    <x v="21"/>
    <s v="Texas"/>
    <x v="1"/>
    <s v="Joseph"/>
    <s v="Davis"/>
    <n v="10"/>
    <x v="3"/>
  </r>
  <r>
    <s v="CU-1150"/>
    <s v="Emma Moore"/>
    <s v="Consumer"/>
    <x v="30"/>
    <s v="North Carolina"/>
    <x v="1"/>
    <s v="Emma"/>
    <s v="Moore"/>
    <n v="10"/>
    <x v="3"/>
  </r>
  <r>
    <s v="CU-1151"/>
    <s v="Wei Jackson"/>
    <s v="Corporate"/>
    <x v="12"/>
    <s v="California"/>
    <x v="3"/>
    <s v="Wei"/>
    <s v="Jackson"/>
    <n v="10"/>
    <x v="3"/>
  </r>
  <r>
    <s v="CU-1152"/>
    <s v="Maria Hill"/>
    <s v="Home Office"/>
    <x v="17"/>
    <s v="Illinois"/>
    <x v="0"/>
    <s v="Maria"/>
    <s v="Hill"/>
    <n v="10"/>
    <x v="3"/>
  </r>
  <r>
    <s v="CU-1153"/>
    <s v="Lisa Scott"/>
    <s v="Corporate"/>
    <x v="3"/>
    <s v="Colorado"/>
    <x v="3"/>
    <s v="Lisa"/>
    <s v="Scott"/>
    <n v="10"/>
    <x v="3"/>
  </r>
  <r>
    <s v="CU-1154"/>
    <s v="Maria Hall"/>
    <s v="Home Office"/>
    <x v="47"/>
    <s v="Georgia"/>
    <x v="1"/>
    <s v="Maria"/>
    <s v="Hall"/>
    <n v="10"/>
    <x v="3"/>
  </r>
  <r>
    <s v="CU-1155"/>
    <s v="Sarah Hall"/>
    <s v="Corporate"/>
    <x v="31"/>
    <s v="Colorado"/>
    <x v="3"/>
    <s v="Sarah"/>
    <s v="Hall"/>
    <n v="10"/>
    <x v="3"/>
  </r>
  <r>
    <s v="CU-1156"/>
    <s v="Sofia Hall"/>
    <s v="Corporate"/>
    <x v="26"/>
    <s v="Alabama"/>
    <x v="1"/>
    <s v="Sofia"/>
    <s v="Hall"/>
    <n v="10"/>
    <x v="3"/>
  </r>
  <r>
    <s v="CU-1157"/>
    <s v="John Wilson"/>
    <s v="Consumer"/>
    <x v="17"/>
    <s v="Illinois"/>
    <x v="0"/>
    <s v="John"/>
    <s v="Wilson"/>
    <n v="10"/>
    <x v="3"/>
  </r>
  <r>
    <s v="CU-1158"/>
    <s v="James Taylor"/>
    <s v="Consumer"/>
    <x v="26"/>
    <s v="Alabama"/>
    <x v="1"/>
    <s v="James"/>
    <s v="Taylor"/>
    <n v="10"/>
    <x v="3"/>
  </r>
  <r>
    <s v="CU-1159"/>
    <s v="Sofia Thompson"/>
    <s v="Home Office"/>
    <x v="41"/>
    <s v="Indiana"/>
    <x v="0"/>
    <s v="Sofia"/>
    <s v="Thompson"/>
    <n v="10"/>
    <x v="3"/>
  </r>
  <r>
    <s v="CU-1160"/>
    <s v="Jennifer Lewis"/>
    <s v="Home Office"/>
    <x v="39"/>
    <s v="Georgia"/>
    <x v="1"/>
    <s v="Jennifer"/>
    <s v="Lewis"/>
    <n v="10"/>
    <x v="3"/>
  </r>
  <r>
    <s v="CU-1161"/>
    <s v="John Jones"/>
    <s v="Consumer"/>
    <x v="13"/>
    <s v="Arizona"/>
    <x v="3"/>
    <s v="John"/>
    <s v="Jones"/>
    <n v="10"/>
    <x v="3"/>
  </r>
  <r>
    <s v="CU-1162"/>
    <s v="Jennifer Hernandez"/>
    <s v="Corporate"/>
    <x v="29"/>
    <s v="Connecticut"/>
    <x v="2"/>
    <s v="Jennifer"/>
    <s v="Hernandez"/>
    <n v="10"/>
    <x v="3"/>
  </r>
  <r>
    <s v="CU-1163"/>
    <s v="Mary Williams"/>
    <s v="Corporate"/>
    <x v="17"/>
    <s v="Illinois"/>
    <x v="0"/>
    <s v="Mary"/>
    <s v="Williams"/>
    <n v="10"/>
    <x v="3"/>
  </r>
  <r>
    <s v="CU-1164"/>
    <s v="Priya Hernandez"/>
    <s v="Home Office"/>
    <x v="37"/>
    <s v="Washington"/>
    <x v="3"/>
    <s v="Priya"/>
    <s v="Hernandez"/>
    <n v="10"/>
    <x v="3"/>
  </r>
  <r>
    <s v="CU-1165"/>
    <s v="Susan Anderson"/>
    <s v="Corporate"/>
    <x v="32"/>
    <s v="California"/>
    <x v="3"/>
    <s v="Susan"/>
    <s v="Anderson"/>
    <n v="10"/>
    <x v="3"/>
  </r>
  <r>
    <s v="CU-1166"/>
    <s v="Sarah Scott"/>
    <s v="Home Office"/>
    <x v="37"/>
    <s v="Washington"/>
    <x v="3"/>
    <s v="Sarah"/>
    <s v="Scott"/>
    <n v="10"/>
    <x v="3"/>
  </r>
  <r>
    <s v="CU-1167"/>
    <s v="Thomas Smith"/>
    <s v="Consumer"/>
    <x v="47"/>
    <s v="Georgia"/>
    <x v="1"/>
    <s v="Thomas"/>
    <s v="Smith"/>
    <n v="10"/>
    <x v="3"/>
  </r>
  <r>
    <s v="CU-1168"/>
    <s v="Omar Lee"/>
    <s v="Home Office"/>
    <x v="40"/>
    <s v="Minnesota"/>
    <x v="0"/>
    <s v="Omar"/>
    <s v="Lee"/>
    <n v="10"/>
    <x v="3"/>
  </r>
  <r>
    <s v="CU-1169"/>
    <s v="Lisa Jackson"/>
    <s v="Consumer"/>
    <x v="43"/>
    <s v="North Carolina"/>
    <x v="1"/>
    <s v="Lisa"/>
    <s v="Jackson"/>
    <n v="10"/>
    <x v="3"/>
  </r>
  <r>
    <s v="CU-1170"/>
    <s v="Wei Lee"/>
    <s v="Consumer"/>
    <x v="40"/>
    <s v="Minnesota"/>
    <x v="0"/>
    <s v="Wei"/>
    <s v="Lee"/>
    <n v="10"/>
    <x v="3"/>
  </r>
  <r>
    <s v="CU-1171"/>
    <s v="Aisha Moore"/>
    <s v="Home Office"/>
    <x v="2"/>
    <s v="Massachusetts"/>
    <x v="2"/>
    <s v="Aisha"/>
    <s v="Moore"/>
    <n v="10"/>
    <x v="3"/>
  </r>
  <r>
    <s v="CU-1172"/>
    <s v="Joseph Lee"/>
    <s v="Home Office"/>
    <x v="48"/>
    <s v="Arizona"/>
    <x v="3"/>
    <s v="Joseph"/>
    <s v="Lee"/>
    <n v="10"/>
    <x v="3"/>
  </r>
  <r>
    <s v="CU-1173"/>
    <s v="Thomas Wilson"/>
    <s v="Corporate"/>
    <x v="29"/>
    <s v="Connecticut"/>
    <x v="2"/>
    <s v="Thomas"/>
    <s v="Wilson"/>
    <n v="10"/>
    <x v="3"/>
  </r>
  <r>
    <s v="CU-1174"/>
    <s v="Omar Williams"/>
    <s v="Consumer"/>
    <x v="11"/>
    <s v="Minnesota"/>
    <x v="0"/>
    <s v="Omar"/>
    <s v="Williams"/>
    <n v="10"/>
    <x v="3"/>
  </r>
  <r>
    <s v="CU-1175"/>
    <s v="Charles Clark"/>
    <s v="Consumer"/>
    <x v="44"/>
    <s v="Florida"/>
    <x v="1"/>
    <s v="Charles"/>
    <s v="Clark"/>
    <n v="10"/>
    <x v="3"/>
  </r>
  <r>
    <s v="CU-1176"/>
    <s v="Olivia Walker"/>
    <s v="Corporate"/>
    <x v="34"/>
    <s v="Ohio"/>
    <x v="0"/>
    <s v="Olivia"/>
    <s v="Walker"/>
    <n v="10"/>
    <x v="3"/>
  </r>
  <r>
    <s v="CU-1177"/>
    <s v="Charles Lewis"/>
    <s v="Consumer"/>
    <x v="5"/>
    <s v="Virginia"/>
    <x v="2"/>
    <s v="Charles"/>
    <s v="Lewis"/>
    <n v="10"/>
    <x v="3"/>
  </r>
  <r>
    <s v="CU-1178"/>
    <s v="Joseph Allen"/>
    <s v="Consumer"/>
    <x v="17"/>
    <s v="Illinois"/>
    <x v="0"/>
    <s v="Joseph"/>
    <s v="Allen"/>
    <n v="10"/>
    <x v="3"/>
  </r>
  <r>
    <s v="CU-1179"/>
    <s v="Lucas Walker"/>
    <s v="Home Office"/>
    <x v="41"/>
    <s v="Indiana"/>
    <x v="0"/>
    <s v="Lucas"/>
    <s v="Walker"/>
    <n v="10"/>
    <x v="3"/>
  </r>
  <r>
    <s v="CU-1180"/>
    <s v="Priya Miller"/>
    <s v="Home Office"/>
    <x v="31"/>
    <s v="Colorado"/>
    <x v="3"/>
    <s v="Priya"/>
    <s v="Miller"/>
    <n v="10"/>
    <x v="3"/>
  </r>
  <r>
    <s v="CU-1181"/>
    <s v="Carlos Harris"/>
    <s v="Home Office"/>
    <x v="6"/>
    <s v="Connecticut"/>
    <x v="2"/>
    <s v="Carlos"/>
    <s v="Harris"/>
    <n v="10"/>
    <x v="3"/>
  </r>
  <r>
    <s v="CU-1182"/>
    <s v="Lisa Young"/>
    <s v="Consumer"/>
    <x v="24"/>
    <s v="Pennsylvania"/>
    <x v="2"/>
    <s v="Lisa"/>
    <s v="Young"/>
    <n v="10"/>
    <x v="3"/>
  </r>
  <r>
    <s v="CU-1183"/>
    <s v="Linda Miller"/>
    <s v="Corporate"/>
    <x v="10"/>
    <s v="Nevada"/>
    <x v="3"/>
    <s v="Linda"/>
    <s v="Miller"/>
    <n v="10"/>
    <x v="3"/>
  </r>
  <r>
    <s v="CU-1184"/>
    <s v="Barbara Young"/>
    <s v="Corporate"/>
    <x v="9"/>
    <s v="Virginia"/>
    <x v="2"/>
    <s v="Barbara"/>
    <s v="Young"/>
    <n v="10"/>
    <x v="3"/>
  </r>
  <r>
    <s v="CU-1185"/>
    <s v="John Walker"/>
    <s v="Consumer"/>
    <x v="3"/>
    <s v="Colorado"/>
    <x v="3"/>
    <s v="John"/>
    <s v="Walker"/>
    <n v="10"/>
    <x v="3"/>
  </r>
  <r>
    <s v="CU-1186"/>
    <s v="Priya Lee"/>
    <s v="Consumer"/>
    <x v="9"/>
    <s v="Virginia"/>
    <x v="2"/>
    <s v="Priya"/>
    <s v="Lee"/>
    <n v="10"/>
    <x v="3"/>
  </r>
  <r>
    <s v="CU-1187"/>
    <s v="Jennifer White"/>
    <s v="Consumer"/>
    <x v="35"/>
    <s v="New York"/>
    <x v="2"/>
    <s v="Jennifer"/>
    <s v="White"/>
    <n v="10"/>
    <x v="3"/>
  </r>
  <r>
    <s v="CU-1188"/>
    <s v="William White"/>
    <s v="Home Office"/>
    <x v="2"/>
    <s v="Massachusetts"/>
    <x v="2"/>
    <s v="William"/>
    <s v="White"/>
    <n v="10"/>
    <x v="3"/>
  </r>
  <r>
    <s v="CU-1189"/>
    <s v="Maria Taylor"/>
    <s v="Consumer"/>
    <x v="50"/>
    <s v="New Jersey"/>
    <x v="2"/>
    <s v="Maria"/>
    <s v="Taylor"/>
    <n v="10"/>
    <x v="3"/>
  </r>
  <r>
    <s v="CU-1190"/>
    <s v="Susan Davis"/>
    <s v="Corporate"/>
    <x v="24"/>
    <s v="Pennsylvania"/>
    <x v="2"/>
    <s v="Susan"/>
    <s v="Davis"/>
    <n v="10"/>
    <x v="3"/>
  </r>
  <r>
    <s v="CU-1191"/>
    <s v="Sarah Clark"/>
    <s v="Consumer"/>
    <x v="49"/>
    <s v="Pennsylvania"/>
    <x v="2"/>
    <s v="Sarah"/>
    <s v="Clark"/>
    <n v="10"/>
    <x v="3"/>
  </r>
  <r>
    <s v="CU-1192"/>
    <s v="William Young"/>
    <s v="Corporate"/>
    <x v="29"/>
    <s v="Connecticut"/>
    <x v="2"/>
    <s v="William"/>
    <s v="Young"/>
    <n v="10"/>
    <x v="3"/>
  </r>
  <r>
    <s v="CU-1193"/>
    <s v="Omar Walker"/>
    <s v="Home Office"/>
    <x v="5"/>
    <s v="Virginia"/>
    <x v="2"/>
    <s v="Omar"/>
    <s v="Walker"/>
    <n v="10"/>
    <x v="3"/>
  </r>
  <r>
    <s v="CU-1194"/>
    <s v="John Robinson"/>
    <s v="Consumer"/>
    <x v="26"/>
    <s v="Alabama"/>
    <x v="1"/>
    <s v="John"/>
    <s v="Robinson"/>
    <n v="10"/>
    <x v="3"/>
  </r>
  <r>
    <s v="CU-1195"/>
    <s v="Sofia Allen"/>
    <s v="Corporate"/>
    <x v="26"/>
    <s v="Alabama"/>
    <x v="1"/>
    <s v="Sofia"/>
    <s v="Allen"/>
    <n v="10"/>
    <x v="3"/>
  </r>
  <r>
    <s v="CU-1196"/>
    <s v="Omar Jones"/>
    <s v="Consumer"/>
    <x v="50"/>
    <s v="New Jersey"/>
    <x v="2"/>
    <s v="Omar"/>
    <s v="Jones"/>
    <n v="10"/>
    <x v="3"/>
  </r>
  <r>
    <s v="CU-1197"/>
    <s v="William Moore"/>
    <s v="Corporate"/>
    <x v="23"/>
    <s v="Wisconsin"/>
    <x v="0"/>
    <s v="William"/>
    <s v="Moore"/>
    <n v="10"/>
    <x v="3"/>
  </r>
  <r>
    <s v="CU-1198"/>
    <s v="Michael Davis"/>
    <s v="Consumer"/>
    <x v="3"/>
    <s v="Colorado"/>
    <x v="3"/>
    <s v="Michael"/>
    <s v="Davis"/>
    <n v="10"/>
    <x v="3"/>
  </r>
  <r>
    <s v="CU-1199"/>
    <s v="Raj Lewis"/>
    <s v="Home Office"/>
    <x v="30"/>
    <s v="North Carolina"/>
    <x v="1"/>
    <s v="Raj"/>
    <s v="Lewis"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10"/>
    <x v="3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9"/>
    <x v="4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8"/>
    <x v="5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7"/>
    <x v="6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6"/>
    <x v="7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5"/>
    <x v="8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4"/>
    <x v="9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3"/>
    <x v="10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2"/>
    <x v="11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1"/>
    <x v="12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  <r>
    <m/>
    <m/>
    <m/>
    <x v="51"/>
    <m/>
    <x v="4"/>
    <m/>
    <m/>
    <n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96D65-07CC-442D-ABCC-143ADAC214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 rowPageCount="1" colPageCount="1"/>
  <pivotFields count="21">
    <pivotField showAll="0"/>
    <pivotField numFmtId="166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axis="axisPage" dataField="1" numFmtId="165" showAll="0">
      <items count="998">
        <item x="876"/>
        <item x="198"/>
        <item x="20"/>
        <item x="262"/>
        <item x="664"/>
        <item x="995"/>
        <item x="694"/>
        <item x="993"/>
        <item x="105"/>
        <item x="224"/>
        <item x="884"/>
        <item x="814"/>
        <item x="775"/>
        <item x="869"/>
        <item x="915"/>
        <item x="979"/>
        <item x="423"/>
        <item x="369"/>
        <item x="686"/>
        <item x="535"/>
        <item x="562"/>
        <item x="805"/>
        <item x="560"/>
        <item x="475"/>
        <item x="32"/>
        <item x="415"/>
        <item x="392"/>
        <item x="662"/>
        <item x="330"/>
        <item x="257"/>
        <item x="983"/>
        <item x="104"/>
        <item x="569"/>
        <item x="404"/>
        <item x="286"/>
        <item x="707"/>
        <item x="819"/>
        <item x="324"/>
        <item x="469"/>
        <item x="136"/>
        <item x="416"/>
        <item x="251"/>
        <item x="183"/>
        <item x="78"/>
        <item x="359"/>
        <item x="942"/>
        <item x="458"/>
        <item x="66"/>
        <item x="905"/>
        <item x="288"/>
        <item x="658"/>
        <item x="829"/>
        <item x="258"/>
        <item x="206"/>
        <item x="335"/>
        <item x="875"/>
        <item x="523"/>
        <item x="108"/>
        <item x="896"/>
        <item x="103"/>
        <item x="547"/>
        <item x="156"/>
        <item x="417"/>
        <item x="878"/>
        <item x="561"/>
        <item x="204"/>
        <item x="731"/>
        <item x="346"/>
        <item x="637"/>
        <item x="256"/>
        <item x="646"/>
        <item x="238"/>
        <item x="708"/>
        <item x="669"/>
        <item x="861"/>
        <item x="859"/>
        <item x="719"/>
        <item x="399"/>
        <item x="783"/>
        <item x="160"/>
        <item x="661"/>
        <item x="473"/>
        <item x="367"/>
        <item x="143"/>
        <item x="294"/>
        <item x="289"/>
        <item x="70"/>
        <item x="591"/>
        <item x="419"/>
        <item x="787"/>
        <item x="478"/>
        <item x="248"/>
        <item x="443"/>
        <item x="679"/>
        <item x="500"/>
        <item x="129"/>
        <item x="264"/>
        <item x="427"/>
        <item x="975"/>
        <item x="488"/>
        <item x="94"/>
        <item x="266"/>
        <item x="499"/>
        <item x="919"/>
        <item x="559"/>
        <item x="309"/>
        <item x="536"/>
        <item x="684"/>
        <item x="782"/>
        <item x="490"/>
        <item x="338"/>
        <item x="607"/>
        <item x="879"/>
        <item x="374"/>
        <item x="357"/>
        <item x="76"/>
        <item x="769"/>
        <item x="833"/>
        <item x="911"/>
        <item x="185"/>
        <item x="376"/>
        <item x="695"/>
        <item x="344"/>
        <item x="773"/>
        <item x="246"/>
        <item x="303"/>
        <item x="274"/>
        <item x="735"/>
        <item x="556"/>
        <item x="157"/>
        <item x="816"/>
        <item x="907"/>
        <item x="944"/>
        <item x="48"/>
        <item x="352"/>
        <item x="947"/>
        <item x="439"/>
        <item x="166"/>
        <item x="442"/>
        <item x="913"/>
        <item x="917"/>
        <item x="621"/>
        <item x="21"/>
        <item x="965"/>
        <item x="789"/>
        <item x="485"/>
        <item x="844"/>
        <item x="928"/>
        <item x="642"/>
        <item x="271"/>
        <item x="961"/>
        <item x="233"/>
        <item x="880"/>
        <item x="453"/>
        <item x="718"/>
        <item x="722"/>
        <item x="641"/>
        <item x="51"/>
        <item x="310"/>
        <item x="18"/>
        <item x="953"/>
        <item x="531"/>
        <item x="31"/>
        <item x="748"/>
        <item x="949"/>
        <item x="962"/>
        <item x="517"/>
        <item x="190"/>
        <item x="804"/>
        <item x="187"/>
        <item x="165"/>
        <item x="740"/>
        <item x="194"/>
        <item x="862"/>
        <item x="757"/>
        <item x="483"/>
        <item x="534"/>
        <item x="272"/>
        <item x="813"/>
        <item x="353"/>
        <item x="184"/>
        <item x="477"/>
        <item x="37"/>
        <item x="128"/>
        <item x="377"/>
        <item x="831"/>
        <item x="9"/>
        <item x="176"/>
        <item x="950"/>
        <item x="970"/>
        <item x="645"/>
        <item x="518"/>
        <item x="110"/>
        <item x="951"/>
        <item x="383"/>
        <item x="421"/>
        <item x="651"/>
        <item x="329"/>
        <item x="287"/>
        <item x="989"/>
        <item x="764"/>
        <item x="79"/>
        <item x="244"/>
        <item x="823"/>
        <item x="935"/>
        <item x="990"/>
        <item x="293"/>
        <item x="243"/>
        <item x="628"/>
        <item x="507"/>
        <item x="277"/>
        <item x="39"/>
        <item x="697"/>
        <item x="154"/>
        <item x="730"/>
        <item x="617"/>
        <item x="320"/>
        <item x="729"/>
        <item x="413"/>
        <item x="723"/>
        <item x="282"/>
        <item x="259"/>
        <item x="940"/>
        <item x="61"/>
        <item x="114"/>
        <item x="470"/>
        <item x="147"/>
        <item x="168"/>
        <item x="481"/>
        <item x="354"/>
        <item x="371"/>
        <item x="30"/>
        <item x="818"/>
        <item x="252"/>
        <item x="305"/>
        <item x="548"/>
        <item x="567"/>
        <item x="150"/>
        <item x="901"/>
        <item x="275"/>
        <item x="164"/>
        <item x="172"/>
        <item x="820"/>
        <item x="746"/>
        <item x="631"/>
        <item x="389"/>
        <item x="29"/>
        <item x="625"/>
        <item x="193"/>
        <item x="903"/>
        <item x="90"/>
        <item x="821"/>
        <item x="711"/>
        <item x="82"/>
        <item x="756"/>
        <item x="381"/>
        <item x="448"/>
        <item x="609"/>
        <item x="674"/>
        <item x="587"/>
        <item x="281"/>
        <item x="687"/>
        <item x="83"/>
        <item x="593"/>
        <item x="159"/>
        <item x="690"/>
        <item x="841"/>
        <item x="811"/>
        <item x="886"/>
        <item x="52"/>
        <item x="223"/>
        <item x="62"/>
        <item x="728"/>
        <item x="146"/>
        <item x="189"/>
        <item x="883"/>
        <item x="339"/>
        <item x="822"/>
        <item x="689"/>
        <item x="372"/>
        <item x="435"/>
        <item x="151"/>
        <item x="889"/>
        <item x="116"/>
        <item x="311"/>
        <item x="93"/>
        <item x="926"/>
        <item x="24"/>
        <item x="135"/>
        <item x="676"/>
        <item x="503"/>
        <item x="468"/>
        <item x="134"/>
        <item x="565"/>
        <item x="516"/>
        <item x="540"/>
        <item x="964"/>
        <item x="867"/>
        <item x="350"/>
        <item x="452"/>
        <item x="69"/>
        <item x="214"/>
        <item x="779"/>
        <item x="8"/>
        <item x="467"/>
        <item x="455"/>
        <item x="904"/>
        <item x="44"/>
        <item x="817"/>
        <item x="179"/>
        <item x="170"/>
        <item x="462"/>
        <item x="127"/>
        <item x="745"/>
        <item x="497"/>
        <item x="162"/>
        <item x="6"/>
        <item x="860"/>
        <item x="387"/>
        <item x="597"/>
        <item x="430"/>
        <item x="656"/>
        <item x="754"/>
        <item x="437"/>
        <item x="211"/>
        <item x="290"/>
        <item x="181"/>
        <item x="864"/>
        <item x="414"/>
        <item x="649"/>
        <item x="522"/>
        <item x="378"/>
        <item x="553"/>
        <item x="71"/>
        <item x="347"/>
        <item x="663"/>
        <item x="894"/>
        <item x="268"/>
        <item x="828"/>
        <item x="574"/>
        <item x="568"/>
        <item x="292"/>
        <item x="54"/>
        <item x="424"/>
        <item x="668"/>
        <item x="564"/>
        <item x="370"/>
        <item x="245"/>
        <item x="526"/>
        <item x="43"/>
        <item x="762"/>
        <item x="673"/>
        <item x="226"/>
        <item x="537"/>
        <item x="479"/>
        <item x="938"/>
        <item x="297"/>
        <item x="445"/>
        <item x="853"/>
        <item x="308"/>
        <item x="15"/>
        <item x="197"/>
        <item x="747"/>
        <item x="734"/>
        <item x="604"/>
        <item x="788"/>
        <item x="476"/>
        <item x="412"/>
        <item x="450"/>
        <item x="411"/>
        <item x="890"/>
        <item x="921"/>
        <item x="405"/>
        <item x="313"/>
        <item x="230"/>
        <item x="973"/>
        <item x="249"/>
        <item x="533"/>
        <item x="355"/>
        <item x="700"/>
        <item x="733"/>
        <item x="852"/>
        <item x="839"/>
        <item x="743"/>
        <item x="302"/>
        <item x="872"/>
        <item x="623"/>
        <item x="38"/>
        <item x="487"/>
        <item x="796"/>
        <item x="978"/>
        <item x="638"/>
        <item x="873"/>
        <item x="158"/>
        <item x="592"/>
        <item x="75"/>
        <item x="132"/>
        <item x="616"/>
        <item x="218"/>
        <item x="12"/>
        <item x="80"/>
        <item x="375"/>
        <item x="115"/>
        <item x="298"/>
        <item x="720"/>
        <item x="332"/>
        <item x="396"/>
        <item x="72"/>
        <item x="666"/>
        <item x="509"/>
        <item x="495"/>
        <item x="842"/>
        <item x="727"/>
        <item x="908"/>
        <item x="659"/>
        <item x="954"/>
        <item x="849"/>
        <item x="685"/>
        <item x="401"/>
        <item x="868"/>
        <item x="963"/>
        <item x="752"/>
        <item x="672"/>
        <item x="836"/>
        <item x="299"/>
        <item x="49"/>
        <item x="178"/>
        <item x="216"/>
        <item x="426"/>
        <item x="590"/>
        <item x="512"/>
        <item x="192"/>
        <item x="130"/>
        <item x="432"/>
        <item x="388"/>
        <item x="613"/>
        <item x="45"/>
        <item x="474"/>
        <item x="398"/>
        <item x="958"/>
        <item x="588"/>
        <item x="456"/>
        <item x="26"/>
        <item x="4"/>
        <item x="980"/>
        <item x="608"/>
        <item x="365"/>
        <item x="800"/>
        <item x="122"/>
        <item x="969"/>
        <item x="361"/>
        <item x="3"/>
        <item x="918"/>
        <item x="808"/>
        <item x="693"/>
        <item x="572"/>
        <item x="340"/>
        <item x="58"/>
        <item x="395"/>
        <item x="794"/>
        <item x="680"/>
        <item x="648"/>
        <item x="492"/>
        <item x="795"/>
        <item x="13"/>
        <item x="976"/>
        <item x="618"/>
        <item x="895"/>
        <item x="857"/>
        <item x="123"/>
        <item x="837"/>
        <item x="557"/>
        <item x="622"/>
        <item x="772"/>
        <item x="438"/>
        <item x="306"/>
        <item x="440"/>
        <item x="605"/>
        <item x="449"/>
        <item x="327"/>
        <item x="956"/>
        <item x="232"/>
        <item x="167"/>
        <item x="826"/>
        <item x="409"/>
        <item x="205"/>
        <item x="766"/>
        <item x="364"/>
        <item x="741"/>
        <item x="163"/>
        <item x="96"/>
        <item x="142"/>
        <item x="202"/>
        <item x="86"/>
        <item x="627"/>
        <item x="436"/>
        <item x="84"/>
        <item x="511"/>
        <item x="360"/>
        <item x="300"/>
        <item x="768"/>
        <item x="284"/>
        <item x="471"/>
        <item x="777"/>
        <item x="601"/>
        <item x="59"/>
        <item x="589"/>
        <item x="696"/>
        <item x="830"/>
        <item x="810"/>
        <item x="847"/>
        <item x="486"/>
        <item x="460"/>
        <item x="315"/>
        <item x="145"/>
        <item x="566"/>
        <item x="716"/>
        <item x="217"/>
        <item x="603"/>
        <item x="525"/>
        <item x="660"/>
        <item x="328"/>
        <item x="524"/>
        <item x="579"/>
        <item x="984"/>
        <item x="888"/>
        <item x="624"/>
        <item x="544"/>
        <item x="307"/>
        <item x="373"/>
        <item x="848"/>
        <item x="213"/>
        <item x="506"/>
        <item x="575"/>
        <item x="125"/>
        <item x="283"/>
        <item x="149"/>
        <item x="760"/>
        <item x="786"/>
        <item x="494"/>
        <item x="422"/>
        <item x="385"/>
        <item x="538"/>
        <item x="295"/>
        <item x="934"/>
        <item x="765"/>
        <item x="7"/>
        <item x="508"/>
        <item x="260"/>
        <item x="781"/>
        <item x="558"/>
        <item x="801"/>
        <item x="153"/>
        <item x="461"/>
        <item x="798"/>
        <item x="382"/>
        <item x="155"/>
        <item x="446"/>
        <item x="321"/>
        <item x="124"/>
        <item x="74"/>
        <item x="99"/>
        <item x="464"/>
        <item x="971"/>
        <item x="451"/>
        <item x="725"/>
        <item x="472"/>
        <item x="356"/>
        <item x="254"/>
        <item x="992"/>
        <item x="846"/>
        <item x="898"/>
        <item x="792"/>
        <item x="363"/>
        <item x="554"/>
        <item x="319"/>
        <item x="835"/>
        <item x="253"/>
        <item x="815"/>
        <item x="276"/>
        <item x="598"/>
        <item x="652"/>
        <item x="119"/>
        <item x="407"/>
        <item x="237"/>
        <item x="802"/>
        <item x="521"/>
        <item x="348"/>
        <item x="843"/>
        <item x="219"/>
        <item x="100"/>
        <item x="50"/>
        <item x="532"/>
        <item x="633"/>
        <item x="174"/>
        <item x="390"/>
        <item x="23"/>
        <item x="881"/>
        <item x="619"/>
        <item x="77"/>
        <item x="510"/>
        <item x="138"/>
        <item x="882"/>
        <item x="930"/>
        <item x="107"/>
        <item x="312"/>
        <item x="101"/>
        <item x="851"/>
        <item x="504"/>
        <item x="241"/>
        <item x="41"/>
        <item x="785"/>
        <item x="240"/>
        <item x="987"/>
        <item x="739"/>
        <item x="825"/>
        <item x="88"/>
        <item x="602"/>
        <item x="397"/>
        <item x="161"/>
        <item x="118"/>
        <item x="40"/>
        <item x="173"/>
        <item x="630"/>
        <item x="265"/>
        <item x="225"/>
        <item x="513"/>
        <item x="527"/>
        <item x="441"/>
        <item x="296"/>
        <item x="977"/>
        <item x="109"/>
        <item x="653"/>
        <item x="640"/>
        <item x="771"/>
        <item x="55"/>
        <item x="22"/>
        <item x="410"/>
        <item x="35"/>
        <item x="871"/>
        <item x="755"/>
        <item x="807"/>
        <item x="551"/>
        <item x="380"/>
        <item x="331"/>
        <item x="63"/>
        <item x="221"/>
        <item x="892"/>
        <item x="726"/>
        <item x="636"/>
        <item x="171"/>
        <item x="433"/>
        <item x="682"/>
        <item x="87"/>
        <item x="931"/>
        <item x="856"/>
        <item x="885"/>
        <item x="56"/>
        <item x="200"/>
        <item x="465"/>
        <item x="53"/>
        <item x="117"/>
        <item x="65"/>
        <item x="1"/>
        <item x="546"/>
        <item x="278"/>
        <item x="17"/>
        <item x="362"/>
        <item x="677"/>
        <item x="576"/>
        <item x="573"/>
        <item x="678"/>
        <item x="943"/>
        <item x="482"/>
        <item x="838"/>
        <item x="222"/>
        <item x="180"/>
        <item x="420"/>
        <item x="543"/>
        <item x="92"/>
        <item x="945"/>
        <item x="542"/>
        <item x="113"/>
        <item x="316"/>
        <item x="141"/>
        <item x="139"/>
        <item x="791"/>
        <item x="902"/>
        <item x="323"/>
        <item x="484"/>
        <item x="314"/>
        <item x="834"/>
        <item x="780"/>
        <item x="97"/>
        <item x="709"/>
        <item x="840"/>
        <item x="182"/>
        <item x="273"/>
        <item x="444"/>
        <item x="887"/>
        <item x="920"/>
        <item x="932"/>
        <item x="910"/>
        <item x="42"/>
        <item x="681"/>
        <item x="120"/>
        <item x="336"/>
        <item x="208"/>
        <item x="855"/>
        <item x="585"/>
        <item x="891"/>
        <item x="236"/>
        <item x="957"/>
        <item x="582"/>
        <item x="937"/>
        <item x="144"/>
        <item x="152"/>
        <item x="343"/>
        <item x="665"/>
        <item x="5"/>
        <item x="670"/>
        <item x="571"/>
        <item x="64"/>
        <item x="322"/>
        <item x="270"/>
        <item x="706"/>
        <item x="615"/>
        <item x="60"/>
        <item x="111"/>
        <item x="337"/>
        <item x="212"/>
        <item x="133"/>
        <item x="91"/>
        <item x="480"/>
        <item x="966"/>
        <item x="893"/>
        <item x="81"/>
        <item x="402"/>
        <item x="333"/>
        <item x="459"/>
        <item x="25"/>
        <item x="279"/>
        <item x="228"/>
        <item x="393"/>
        <item x="854"/>
        <item x="68"/>
        <item x="982"/>
        <item x="496"/>
        <item x="996"/>
        <item x="16"/>
        <item x="986"/>
        <item x="177"/>
        <item x="744"/>
        <item x="595"/>
        <item x="600"/>
        <item x="698"/>
        <item x="505"/>
        <item x="714"/>
        <item x="985"/>
        <item x="797"/>
        <item x="778"/>
        <item x="552"/>
        <item x="749"/>
        <item x="812"/>
        <item x="73"/>
        <item x="0"/>
        <item x="188"/>
        <item x="203"/>
        <item x="231"/>
        <item x="991"/>
        <item x="555"/>
        <item x="610"/>
        <item x="36"/>
        <item x="717"/>
        <item x="28"/>
        <item x="799"/>
        <item x="614"/>
        <item x="626"/>
        <item x="520"/>
        <item x="874"/>
        <item x="750"/>
        <item x="578"/>
        <item x="612"/>
        <item x="318"/>
        <item x="647"/>
        <item x="428"/>
        <item x="285"/>
        <item x="925"/>
        <item x="803"/>
        <item x="550"/>
        <item x="529"/>
        <item x="639"/>
        <item x="186"/>
        <item x="946"/>
        <item x="774"/>
        <item x="701"/>
        <item x="981"/>
        <item x="207"/>
        <item x="95"/>
        <item x="865"/>
        <item x="515"/>
        <item x="845"/>
        <item x="341"/>
        <item x="366"/>
        <item x="345"/>
        <item x="924"/>
        <item x="577"/>
        <item x="916"/>
        <item x="431"/>
        <item x="952"/>
        <item x="922"/>
        <item x="210"/>
        <item x="724"/>
        <item x="767"/>
        <item x="394"/>
        <item x="140"/>
        <item x="927"/>
        <item x="429"/>
        <item x="643"/>
        <item x="583"/>
        <item x="667"/>
        <item x="227"/>
        <item x="514"/>
        <item x="539"/>
        <item x="549"/>
        <item x="267"/>
        <item x="250"/>
        <item x="654"/>
        <item x="349"/>
        <item x="325"/>
        <item x="738"/>
        <item x="466"/>
        <item x="688"/>
        <item x="832"/>
        <item x="751"/>
        <item x="406"/>
        <item x="929"/>
        <item x="655"/>
        <item x="434"/>
        <item x="596"/>
        <item x="683"/>
        <item x="229"/>
        <item x="657"/>
        <item x="753"/>
        <item x="502"/>
        <item x="863"/>
        <item x="269"/>
        <item x="11"/>
        <item x="201"/>
        <item x="644"/>
        <item x="914"/>
        <item x="491"/>
        <item x="301"/>
        <item x="239"/>
        <item x="89"/>
        <item x="519"/>
        <item x="948"/>
        <item x="175"/>
        <item x="493"/>
        <item x="960"/>
        <item x="351"/>
        <item x="199"/>
        <item x="10"/>
        <item x="763"/>
        <item x="912"/>
        <item x="715"/>
        <item x="632"/>
        <item x="770"/>
        <item x="712"/>
        <item x="703"/>
        <item x="759"/>
        <item x="425"/>
        <item x="790"/>
        <item x="304"/>
        <item x="972"/>
        <item x="530"/>
        <item x="34"/>
        <item x="581"/>
        <item x="675"/>
        <item x="742"/>
        <item x="897"/>
        <item x="169"/>
        <item x="33"/>
        <item x="121"/>
        <item x="974"/>
        <item x="570"/>
        <item x="671"/>
        <item x="261"/>
        <item x="498"/>
        <item x="858"/>
        <item x="850"/>
        <item x="909"/>
        <item x="215"/>
        <item x="67"/>
        <item x="255"/>
        <item x="384"/>
        <item x="967"/>
        <item x="594"/>
        <item x="191"/>
        <item x="501"/>
        <item x="457"/>
        <item x="400"/>
        <item x="758"/>
        <item x="126"/>
        <item x="545"/>
        <item x="936"/>
        <item x="586"/>
        <item x="454"/>
        <item x="98"/>
        <item x="19"/>
        <item x="620"/>
        <item x="57"/>
        <item x="528"/>
        <item x="563"/>
        <item x="955"/>
        <item x="209"/>
        <item x="280"/>
        <item x="809"/>
        <item x="699"/>
        <item x="988"/>
        <item x="317"/>
        <item x="263"/>
        <item x="242"/>
        <item x="877"/>
        <item x="705"/>
        <item x="713"/>
        <item x="784"/>
        <item x="85"/>
        <item x="710"/>
        <item x="906"/>
        <item x="900"/>
        <item x="379"/>
        <item x="959"/>
        <item x="14"/>
        <item x="704"/>
        <item x="291"/>
        <item x="933"/>
        <item x="611"/>
        <item x="923"/>
        <item x="2"/>
        <item x="220"/>
        <item x="131"/>
        <item x="737"/>
        <item x="635"/>
        <item x="806"/>
        <item x="580"/>
        <item x="391"/>
        <item x="824"/>
        <item x="489"/>
        <item x="27"/>
        <item x="368"/>
        <item x="418"/>
        <item x="196"/>
        <item x="106"/>
        <item x="386"/>
        <item x="827"/>
        <item x="584"/>
        <item x="46"/>
        <item x="47"/>
        <item x="776"/>
        <item x="761"/>
        <item x="541"/>
        <item x="939"/>
        <item x="408"/>
        <item x="941"/>
        <item x="403"/>
        <item x="102"/>
        <item x="234"/>
        <item x="463"/>
        <item x="247"/>
        <item x="334"/>
        <item x="195"/>
        <item x="606"/>
        <item x="736"/>
        <item x="358"/>
        <item x="326"/>
        <item x="342"/>
        <item x="793"/>
        <item x="732"/>
        <item x="692"/>
        <item x="599"/>
        <item x="866"/>
        <item x="148"/>
        <item x="137"/>
        <item x="447"/>
        <item x="968"/>
        <item x="112"/>
        <item x="899"/>
        <item x="691"/>
        <item x="634"/>
        <item x="870"/>
        <item x="650"/>
        <item x="994"/>
        <item x="702"/>
        <item x="629"/>
        <item x="235"/>
        <item x="721"/>
        <item t="default"/>
      </items>
    </pivotField>
    <pivotField dataField="1" numFmtId="1" showAll="0"/>
    <pivotField numFmtId="9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hier="-1"/>
  </pageFields>
  <dataFields count="3">
    <dataField name="Sum of Sales" fld="13" baseField="0" baseItem="0" numFmtId="165"/>
    <dataField name="Sum of Profit" fld="16" baseField="0" baseItem="0"/>
    <dataField name="Sum of Quantity" fld="1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AC83F-EE10-46AF-861A-2D8FBB63551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D48" firstHeaderRow="0" firstDataRow="1" firstDataCol="1"/>
  <pivotFields count="21">
    <pivotField dataField="1" showAll="0"/>
    <pivotField numFmtId="166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8">
        <item x="2"/>
        <item x="5"/>
        <item x="10"/>
        <item x="12"/>
        <item x="7"/>
        <item x="0"/>
        <item x="1"/>
        <item x="11"/>
        <item x="15"/>
        <item x="6"/>
        <item x="13"/>
        <item x="9"/>
        <item x="16"/>
        <item x="8"/>
        <item x="4"/>
        <item x="14"/>
        <item x="3"/>
        <item t="default"/>
      </items>
    </pivotField>
    <pivotField showAll="0"/>
    <pivotField dataField="1" numFmtId="165" showAll="0"/>
    <pivotField numFmtId="1" showAll="0"/>
    <pivotField numFmtId="9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0"/>
    <field x="1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5"/>
    <dataField name="Sum of Profit" fld="16" baseField="0" baseItem="0"/>
    <dataField name="Count of Order ID" fld="0" subtotal="count" baseField="0" baseItem="0"/>
  </dataFields>
  <formats count="1"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</pivotAreas>
    </conditionalFormat>
  </conditional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FC3D-B432-430A-ABC5-94D42DAF68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/>
  <pivotFields count="21">
    <pivotField dataField="1" showAll="0"/>
    <pivotField numFmtId="166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8">
        <item x="2"/>
        <item x="5"/>
        <item x="10"/>
        <item x="12"/>
        <item x="7"/>
        <item x="0"/>
        <item x="1"/>
        <item x="11"/>
        <item x="15"/>
        <item x="6"/>
        <item x="13"/>
        <item x="9"/>
        <item x="16"/>
        <item x="8"/>
        <item x="4"/>
        <item x="14"/>
        <item x="3"/>
        <item t="default"/>
      </items>
    </pivotField>
    <pivotField showAll="0"/>
    <pivotField dataField="1" numFmtId="165" showAll="0"/>
    <pivotField numFmtId="1" showAll="0"/>
    <pivotField numFmtId="9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0"/>
    <field x="1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5"/>
    <dataField name="Sum of Profit" fld="16" baseField="0" baseItem="0"/>
    <dataField name="Count of Order ID" fld="0" subtotal="count" baseField="0" baseItem="0"/>
  </dataFields>
  <formats count="1"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E17DC-7D92-4BD9-B307-9EFB841420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20" firstHeaderRow="0" firstDataRow="1" firstDataCol="1"/>
  <pivotFields count="21">
    <pivotField dataField="1" showAll="0"/>
    <pivotField numFmtId="166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" showAll="0"/>
    <pivotField numFmtId="9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2">
    <field x="20"/>
    <field x="18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3" baseField="0" baseItem="0" numFmtId="165"/>
    <dataField name="Sum of Profit" fld="16" baseField="0" baseItem="0"/>
    <dataField name="Count of Order ID" fld="0" subtotal="count" baseField="0" baseItem="0"/>
  </dataFields>
  <chartFormats count="19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1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1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1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1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1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1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1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1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1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2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2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2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2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2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2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2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2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2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2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1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1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1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1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1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1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1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1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1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2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2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2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2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2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2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2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2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2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2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1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1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1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1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1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1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1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1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1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2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2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2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2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2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2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2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2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2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2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1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1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1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1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1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1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1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1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1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1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"/>
          </reference>
          <reference field="20" count="1" selected="0">
            <x v="1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2"/>
          </reference>
          <reference field="18" count="1" selected="0">
            <x v="2"/>
          </reference>
          <reference field="20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2"/>
          </reference>
          <reference field="18" count="1" selected="0">
            <x v="3"/>
          </reference>
          <reference field="20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2"/>
          </reference>
          <reference field="18" count="1" selected="0">
            <x v="4"/>
          </reference>
          <reference field="20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2"/>
          </reference>
          <reference field="18" count="1" selected="0">
            <x v="5"/>
          </reference>
          <reference field="20" count="1" selected="0">
            <x v="1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2"/>
          </reference>
          <reference field="18" count="1" selected="0">
            <x v="6"/>
          </reference>
          <reference field="20" count="1" selected="0">
            <x v="1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2"/>
          </reference>
          <reference field="18" count="1" selected="0">
            <x v="7"/>
          </reference>
          <reference field="20" count="1" selected="0">
            <x v="1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2"/>
          </reference>
          <reference field="18" count="1" selected="0">
            <x v="8"/>
          </reference>
          <reference field="20" count="1" selected="0">
            <x v="1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2"/>
          </reference>
          <reference field="18" count="1" selected="0">
            <x v="9"/>
          </reference>
          <reference field="20" count="1" selected="0">
            <x v="1"/>
          </reference>
        </references>
      </pivotArea>
    </chartFormat>
    <chartFormat chart="5" format="42">
      <pivotArea type="data" outline="0" fieldPosition="0">
        <references count="3">
          <reference field="4294967294" count="1" selected="0">
            <x v="2"/>
          </reference>
          <reference field="18" count="1" selected="0">
            <x v="10"/>
          </reference>
          <reference field="20" count="1" selected="0">
            <x v="1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2"/>
          </reference>
          <reference field="18" count="1" selected="0">
            <x v="11"/>
          </reference>
          <reference field="20" count="1" selected="0">
            <x v="1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2"/>
          </reference>
          <reference field="18" count="1" selected="0">
            <x v="12"/>
          </reference>
          <reference field="20" count="1" selected="0">
            <x v="1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E8742-68BF-4D0E-935A-0224268944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21">
    <pivotField dataField="1" showAll="0"/>
    <pivotField numFmtId="166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umFmtId="166" showAll="0"/>
    <pivotField showAll="0"/>
    <pivotField axis="axisPage" showAll="0">
      <items count="200">
        <item x="94"/>
        <item x="119"/>
        <item x="83"/>
        <item x="168"/>
        <item x="158"/>
        <item x="105"/>
        <item x="176"/>
        <item x="132"/>
        <item x="189"/>
        <item x="43"/>
        <item x="107"/>
        <item x="42"/>
        <item x="173"/>
        <item x="29"/>
        <item x="7"/>
        <item x="183"/>
        <item x="152"/>
        <item x="125"/>
        <item x="114"/>
        <item x="30"/>
        <item x="90"/>
        <item x="177"/>
        <item x="89"/>
        <item x="157"/>
        <item x="76"/>
        <item x="118"/>
        <item x="33"/>
        <item x="135"/>
        <item x="31"/>
        <item x="116"/>
        <item x="45"/>
        <item x="196"/>
        <item x="123"/>
        <item x="24"/>
        <item x="44"/>
        <item x="182"/>
        <item x="197"/>
        <item x="138"/>
        <item x="161"/>
        <item x="35"/>
        <item x="14"/>
        <item x="4"/>
        <item x="192"/>
        <item x="27"/>
        <item x="121"/>
        <item x="84"/>
        <item x="81"/>
        <item x="8"/>
        <item x="85"/>
        <item x="185"/>
        <item x="34"/>
        <item x="142"/>
        <item x="98"/>
        <item x="130"/>
        <item x="101"/>
        <item x="149"/>
        <item x="166"/>
        <item x="2"/>
        <item x="108"/>
        <item x="22"/>
        <item x="11"/>
        <item x="41"/>
        <item x="99"/>
        <item x="19"/>
        <item x="163"/>
        <item x="68"/>
        <item x="91"/>
        <item x="0"/>
        <item x="165"/>
        <item x="100"/>
        <item x="128"/>
        <item x="115"/>
        <item x="20"/>
        <item x="141"/>
        <item x="57"/>
        <item x="164"/>
        <item x="113"/>
        <item x="53"/>
        <item x="106"/>
        <item x="174"/>
        <item x="126"/>
        <item x="122"/>
        <item x="181"/>
        <item x="62"/>
        <item x="162"/>
        <item x="10"/>
        <item x="190"/>
        <item x="13"/>
        <item x="36"/>
        <item x="78"/>
        <item x="198"/>
        <item x="145"/>
        <item x="38"/>
        <item x="18"/>
        <item x="104"/>
        <item x="9"/>
        <item x="195"/>
        <item x="175"/>
        <item x="159"/>
        <item x="92"/>
        <item x="17"/>
        <item x="96"/>
        <item x="139"/>
        <item x="191"/>
        <item x="71"/>
        <item x="184"/>
        <item x="50"/>
        <item x="124"/>
        <item x="32"/>
        <item x="47"/>
        <item x="144"/>
        <item x="170"/>
        <item x="117"/>
        <item x="167"/>
        <item x="194"/>
        <item x="70"/>
        <item x="3"/>
        <item x="186"/>
        <item x="77"/>
        <item x="146"/>
        <item x="193"/>
        <item x="97"/>
        <item x="179"/>
        <item x="172"/>
        <item x="180"/>
        <item x="59"/>
        <item x="148"/>
        <item x="56"/>
        <item x="87"/>
        <item x="63"/>
        <item x="151"/>
        <item x="64"/>
        <item x="127"/>
        <item x="133"/>
        <item x="26"/>
        <item x="82"/>
        <item x="79"/>
        <item x="155"/>
        <item x="1"/>
        <item x="109"/>
        <item x="160"/>
        <item x="28"/>
        <item x="140"/>
        <item x="73"/>
        <item x="65"/>
        <item x="111"/>
        <item x="169"/>
        <item x="25"/>
        <item x="86"/>
        <item x="93"/>
        <item x="131"/>
        <item x="188"/>
        <item x="55"/>
        <item x="112"/>
        <item x="52"/>
        <item x="88"/>
        <item x="21"/>
        <item x="95"/>
        <item x="49"/>
        <item x="37"/>
        <item x="23"/>
        <item x="12"/>
        <item x="6"/>
        <item x="15"/>
        <item x="58"/>
        <item x="120"/>
        <item x="150"/>
        <item x="154"/>
        <item x="102"/>
        <item x="147"/>
        <item x="48"/>
        <item x="74"/>
        <item x="16"/>
        <item x="66"/>
        <item x="75"/>
        <item x="72"/>
        <item x="69"/>
        <item x="153"/>
        <item x="60"/>
        <item x="103"/>
        <item x="54"/>
        <item x="137"/>
        <item x="178"/>
        <item x="67"/>
        <item x="134"/>
        <item x="136"/>
        <item x="171"/>
        <item x="40"/>
        <item x="187"/>
        <item x="39"/>
        <item x="61"/>
        <item x="156"/>
        <item x="51"/>
        <item x="110"/>
        <item x="80"/>
        <item x="143"/>
        <item x="5"/>
        <item x="46"/>
        <item x="129"/>
        <item t="default"/>
      </items>
    </pivotField>
    <pivotField axis="axisRow" showAll="0">
      <items count="201">
        <item x="175"/>
        <item x="4"/>
        <item x="3"/>
        <item x="57"/>
        <item x="48"/>
        <item x="114"/>
        <item x="99"/>
        <item x="199"/>
        <item x="22"/>
        <item x="67"/>
        <item x="29"/>
        <item x="54"/>
        <item x="34"/>
        <item x="117"/>
        <item x="75"/>
        <item x="69"/>
        <item x="36"/>
        <item x="149"/>
        <item x="191"/>
        <item x="158"/>
        <item x="163"/>
        <item x="86"/>
        <item x="176"/>
        <item x="113"/>
        <item x="20"/>
        <item x="160"/>
        <item x="161"/>
        <item x="32"/>
        <item x="174"/>
        <item x="181"/>
        <item x="128"/>
        <item x="10"/>
        <item x="157"/>
        <item x="124"/>
        <item x="131"/>
        <item x="155"/>
        <item x="65"/>
        <item x="25"/>
        <item x="70"/>
        <item x="13"/>
        <item x="140"/>
        <item x="183"/>
        <item x="180"/>
        <item x="49"/>
        <item x="64"/>
        <item x="196"/>
        <item x="73"/>
        <item x="33"/>
        <item x="43"/>
        <item x="6"/>
        <item x="23"/>
        <item x="106"/>
        <item x="170"/>
        <item x="78"/>
        <item x="7"/>
        <item x="83"/>
        <item x="53"/>
        <item x="193"/>
        <item x="41"/>
        <item x="168"/>
        <item x="127"/>
        <item x="115"/>
        <item x="96"/>
        <item x="12"/>
        <item x="50"/>
        <item x="110"/>
        <item x="2"/>
        <item x="134"/>
        <item x="95"/>
        <item x="153"/>
        <item x="93"/>
        <item x="74"/>
        <item x="104"/>
        <item x="97"/>
        <item x="125"/>
        <item x="144"/>
        <item x="42"/>
        <item x="0"/>
        <item x="178"/>
        <item x="132"/>
        <item x="26"/>
        <item x="94"/>
        <item x="8"/>
        <item x="177"/>
        <item x="90"/>
        <item x="141"/>
        <item x="165"/>
        <item x="139"/>
        <item x="79"/>
        <item x="18"/>
        <item x="173"/>
        <item x="102"/>
        <item x="112"/>
        <item x="130"/>
        <item x="137"/>
        <item x="172"/>
        <item x="133"/>
        <item x="77"/>
        <item x="182"/>
        <item x="60"/>
        <item x="162"/>
        <item x="9"/>
        <item x="28"/>
        <item x="52"/>
        <item x="55"/>
        <item x="45"/>
        <item x="105"/>
        <item x="166"/>
        <item x="187"/>
        <item x="17"/>
        <item x="91"/>
        <item x="71"/>
        <item x="15"/>
        <item x="198"/>
        <item x="46"/>
        <item x="119"/>
        <item x="100"/>
        <item x="85"/>
        <item x="116"/>
        <item x="186"/>
        <item x="76"/>
        <item x="111"/>
        <item x="62"/>
        <item x="121"/>
        <item x="31"/>
        <item x="195"/>
        <item x="152"/>
        <item x="72"/>
        <item x="142"/>
        <item x="24"/>
        <item x="145"/>
        <item x="167"/>
        <item x="108"/>
        <item x="143"/>
        <item x="154"/>
        <item x="35"/>
        <item x="190"/>
        <item x="51"/>
        <item x="66"/>
        <item x="82"/>
        <item x="63"/>
        <item x="148"/>
        <item x="107"/>
        <item x="58"/>
        <item x="189"/>
        <item x="136"/>
        <item x="103"/>
        <item x="118"/>
        <item x="129"/>
        <item x="146"/>
        <item x="194"/>
        <item x="122"/>
        <item x="27"/>
        <item x="44"/>
        <item x="68"/>
        <item x="197"/>
        <item x="123"/>
        <item x="14"/>
        <item x="61"/>
        <item x="56"/>
        <item x="88"/>
        <item x="138"/>
        <item x="126"/>
        <item x="184"/>
        <item x="98"/>
        <item x="169"/>
        <item x="80"/>
        <item x="59"/>
        <item x="21"/>
        <item x="84"/>
        <item x="179"/>
        <item x="37"/>
        <item x="120"/>
        <item x="39"/>
        <item x="89"/>
        <item x="81"/>
        <item x="19"/>
        <item x="109"/>
        <item x="47"/>
        <item x="185"/>
        <item x="101"/>
        <item x="1"/>
        <item x="150"/>
        <item x="16"/>
        <item x="192"/>
        <item x="159"/>
        <item x="188"/>
        <item x="38"/>
        <item x="87"/>
        <item x="147"/>
        <item x="92"/>
        <item x="164"/>
        <item x="30"/>
        <item x="135"/>
        <item x="5"/>
        <item x="171"/>
        <item x="40"/>
        <item x="11"/>
        <item x="156"/>
        <item x="1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" showAll="0"/>
    <pivotField numFmtId="9" showAll="0"/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2">
    <field x="20"/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 of Sales" fld="13" baseField="0" baseItem="0" numFmtId="165"/>
    <dataField name="Sum of Profit" fld="16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B7EEA-2F9B-44C8-84F6-535BD8900395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G38" firstHeaderRow="1" firstDataRow="2" firstDataCol="1"/>
  <pivotFields count="10">
    <pivotField showAll="0"/>
    <pivotField showAll="0"/>
    <pivotField dataField="1" showAll="0"/>
    <pivotField showAll="0">
      <items count="53">
        <item x="47"/>
        <item x="21"/>
        <item x="26"/>
        <item x="2"/>
        <item x="3"/>
        <item x="6"/>
        <item x="35"/>
        <item x="43"/>
        <item x="33"/>
        <item x="34"/>
        <item x="0"/>
        <item x="38"/>
        <item x="31"/>
        <item x="4"/>
        <item x="41"/>
        <item x="46"/>
        <item x="29"/>
        <item x="1"/>
        <item x="16"/>
        <item x="36"/>
        <item x="10"/>
        <item x="20"/>
        <item x="23"/>
        <item x="14"/>
        <item x="44"/>
        <item x="19"/>
        <item x="11"/>
        <item x="27"/>
        <item x="15"/>
        <item x="8"/>
        <item x="50"/>
        <item x="25"/>
        <item x="24"/>
        <item x="48"/>
        <item x="49"/>
        <item x="18"/>
        <item x="30"/>
        <item x="28"/>
        <item x="5"/>
        <item x="40"/>
        <item x="22"/>
        <item x="32"/>
        <item x="12"/>
        <item x="39"/>
        <item x="42"/>
        <item x="37"/>
        <item x="17"/>
        <item x="45"/>
        <item x="13"/>
        <item x="9"/>
        <item x="7"/>
        <item x="51"/>
        <item t="default"/>
      </items>
    </pivotField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egment" fld="2" subtotal="count" baseField="0" baseItem="0"/>
  </dataFields>
  <chartFormats count="8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4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5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6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7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8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9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2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3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4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5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6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7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8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9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0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1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2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3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2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3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4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5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6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7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8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9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0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1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2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3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0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2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3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4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5"/>
          </reference>
        </references>
      </pivotArea>
    </chartFormat>
    <chartFormat chart="1" format="5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6"/>
          </reference>
        </references>
      </pivotArea>
    </chartFormat>
    <chartFormat chart="1" format="5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7"/>
          </reference>
        </references>
      </pivotArea>
    </chartFormat>
    <chartFormat chart="1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8"/>
          </reference>
        </references>
      </pivotArea>
    </chartFormat>
    <chartFormat chart="1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9"/>
          </reference>
        </references>
      </pivotArea>
    </chartFormat>
    <chartFormat chart="1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0"/>
          </reference>
        </references>
      </pivotArea>
    </chartFormat>
    <chartFormat chart="1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1"/>
          </reference>
        </references>
      </pivotArea>
    </chartFormat>
    <chartFormat chart="1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2"/>
          </reference>
        </references>
      </pivotArea>
    </chartFormat>
    <chartFormat chart="1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3"/>
          </reference>
        </references>
      </pivotArea>
    </chartFormat>
    <chartFormat chart="1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0"/>
          </reference>
        </references>
      </pivotArea>
    </chartFormat>
    <chartFormat chart="1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"/>
          </reference>
        </references>
      </pivotArea>
    </chartFormat>
    <chartFormat chart="1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2"/>
          </reference>
        </references>
      </pivotArea>
    </chartFormat>
    <chartFormat chart="1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3"/>
          </reference>
        </references>
      </pivotArea>
    </chartFormat>
    <chartFormat chart="1" format="65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4"/>
          </reference>
        </references>
      </pivotArea>
    </chartFormat>
    <chartFormat chart="1" format="66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5"/>
          </reference>
        </references>
      </pivotArea>
    </chartFormat>
    <chartFormat chart="1" format="67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6"/>
          </reference>
        </references>
      </pivotArea>
    </chartFormat>
    <chartFormat chart="1" format="6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7"/>
          </reference>
        </references>
      </pivotArea>
    </chartFormat>
    <chartFormat chart="1" format="6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8"/>
          </reference>
        </references>
      </pivotArea>
    </chartFormat>
    <chartFormat chart="1" format="70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9"/>
          </reference>
        </references>
      </pivotArea>
    </chartFormat>
    <chartFormat chart="1" format="7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0"/>
          </reference>
        </references>
      </pivotArea>
    </chartFormat>
    <chartFormat chart="1" format="7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1"/>
          </reference>
        </references>
      </pivotArea>
    </chartFormat>
    <chartFormat chart="1" format="7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2"/>
          </reference>
        </references>
      </pivotArea>
    </chartFormat>
    <chartFormat chart="1" format="74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433BE-D49F-4C2A-BE44-5A53D6ED2EE0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9" firstHeaderRow="1" firstDataRow="2" firstDataCol="1"/>
  <pivotFields count="10">
    <pivotField showAll="0"/>
    <pivotField showAll="0"/>
    <pivotField dataField="1" showAll="0"/>
    <pivotField showAll="0">
      <items count="53">
        <item x="47"/>
        <item x="21"/>
        <item x="26"/>
        <item x="2"/>
        <item x="3"/>
        <item x="6"/>
        <item x="35"/>
        <item x="43"/>
        <item x="33"/>
        <item x="34"/>
        <item x="0"/>
        <item x="38"/>
        <item x="31"/>
        <item x="4"/>
        <item x="41"/>
        <item x="46"/>
        <item x="29"/>
        <item x="1"/>
        <item x="16"/>
        <item x="36"/>
        <item x="10"/>
        <item x="20"/>
        <item x="23"/>
        <item x="14"/>
        <item x="44"/>
        <item x="19"/>
        <item x="11"/>
        <item x="27"/>
        <item x="15"/>
        <item x="8"/>
        <item x="50"/>
        <item x="25"/>
        <item x="24"/>
        <item x="48"/>
        <item x="49"/>
        <item x="18"/>
        <item x="30"/>
        <item x="28"/>
        <item x="5"/>
        <item x="40"/>
        <item x="22"/>
        <item x="32"/>
        <item x="12"/>
        <item x="39"/>
        <item x="42"/>
        <item x="37"/>
        <item x="17"/>
        <item x="45"/>
        <item x="13"/>
        <item x="9"/>
        <item x="7"/>
        <item x="51"/>
        <item t="default"/>
      </items>
    </pivotField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egm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756F4-F0DD-4B7E-B624-AFE881FB7D81}" name="Table1" displayName="Table1" ref="A1:U1007" totalsRowCount="1" headerRowDxfId="59" dataDxfId="57" totalsRowDxfId="55" headerRowBorderDxfId="58" tableBorderDxfId="56" totalsRowBorderDxfId="54">
  <autoFilter ref="A1:U1006" xr:uid="{5EB756F4-F0DD-4B7E-B624-AFE881FB7D81}"/>
  <sortState xmlns:xlrd2="http://schemas.microsoft.com/office/spreadsheetml/2017/richdata2" ref="A2:R1006">
    <sortCondition ref="B1:B1006"/>
  </sortState>
  <tableColumns count="21">
    <tableColumn id="1" xr3:uid="{C5B1B418-477E-4AF8-A46E-FFA7DECFC4EF}" name="Order ID" totalsRowLabel="answers" dataDxfId="53" totalsRowDxfId="52"/>
    <tableColumn id="2" xr3:uid="{D79CDA71-7B30-4211-8188-0777E1B103B3}" name="Order Date" dataDxfId="51" totalsRowDxfId="50"/>
    <tableColumn id="3" xr3:uid="{CB89B35E-6755-4A95-B60D-EA7D931DD8DA}" name="Ship Date" dataDxfId="49" totalsRowDxfId="48"/>
    <tableColumn id="4" xr3:uid="{E98C26E9-2247-4606-A77F-4A2666233B7D}" name="Ship Mode" totalsRowFunction="custom" dataDxfId="47" totalsRowDxfId="46">
      <totalsRowFormula>PROPER(D2)</totalsRowFormula>
    </tableColumn>
    <tableColumn id="5" xr3:uid="{39AF912A-757B-4B7A-87D3-E32F99838242}" name="Customer ID" dataDxfId="45" totalsRowDxfId="44"/>
    <tableColumn id="6" xr3:uid="{2EBAB66A-3194-4FD3-B432-68F5D17962FF}" name="Customer Name" dataDxfId="43" totalsRowDxfId="42"/>
    <tableColumn id="7" xr3:uid="{4BBF7FFE-1FA7-4BC4-A96F-BA400E6CB642}" name="Segment" dataDxfId="41" totalsRowDxfId="40"/>
    <tableColumn id="8" xr3:uid="{ABA060E5-7383-4074-AADA-4EB645C155B0}" name="City" dataDxfId="39" totalsRowDxfId="38"/>
    <tableColumn id="9" xr3:uid="{6D3E70E6-7DB1-4DF1-A87D-583A1E1B07E9}" name="State" dataDxfId="37" totalsRowDxfId="36"/>
    <tableColumn id="10" xr3:uid="{3D53C48F-833E-4B1B-8943-E6E6359EAE66}" name="Region" totalsRowFunction="custom" dataDxfId="35" totalsRowDxfId="34">
      <totalsRowFormula>COUNTIF(J2:J1006,"East")+COUNTIF(J2:J1006,"West")+COUNTIF(J2:J1006,"Central")+COUNTIF(J2:J1006,"South")</totalsRowFormula>
    </tableColumn>
    <tableColumn id="11" xr3:uid="{6EE5DA5D-2E88-4C48-81BD-434F9DFD5673}" name="Category" dataDxfId="33" totalsRowDxfId="32"/>
    <tableColumn id="12" xr3:uid="{94E985C5-1C38-46BE-A8CA-BFA9E8B201D8}" name="Sub-Category" dataDxfId="31" totalsRowDxfId="30"/>
    <tableColumn id="13" xr3:uid="{DBA7C730-05A7-44F2-AD11-3B72126BAD8D}" name="Product ID" dataDxfId="29" totalsRowDxfId="28"/>
    <tableColumn id="14" xr3:uid="{0D461D0E-687D-48ED-B95A-282CC79138A6}" name="Sales" totalsRowFunction="custom" dataDxfId="27" totalsRowDxfId="26">
      <totalsRowFormula>COUNTIF(N:N,"&lt;0")</totalsRowFormula>
    </tableColumn>
    <tableColumn id="15" xr3:uid="{8263A593-50DA-4C63-B967-1D71DA07A191}" name="Quantity" totalsRowFunction="custom" dataDxfId="25" totalsRowDxfId="24">
      <totalsRowFormula>IF(AND(O2&gt;=0,O2&lt;=1),"Valid","Invalid")</totalsRowFormula>
    </tableColumn>
    <tableColumn id="16" xr3:uid="{A5B6A0DA-9266-457F-A6F9-AF1E43E7DB58}" name="Discount" dataDxfId="23" totalsRowDxfId="22"/>
    <tableColumn id="17" xr3:uid="{1D8CD29D-901B-46E4-B0BF-57B314228263}" name="Profit" dataDxfId="21" totalsRowDxfId="20"/>
    <tableColumn id="18" xr3:uid="{CEA85E19-5464-4040-B4E3-13D9C4D5A319}" name="flag date" dataDxfId="19" totalsRowDxfId="18">
      <calculatedColumnFormula>IF(C2&lt;B2,"Error","OK")</calculatedColumnFormula>
    </tableColumn>
    <tableColumn id="19" xr3:uid="{7E2F9B8C-0946-454A-88CC-5F5DFE0BF5F0}" name="Average Purchase Value per Customer" dataDxfId="17" totalsRowDxfId="16">
      <calculatedColumnFormula>AVERAGEIF(E2:E1000,"CU-1057",N2:N1000)</calculatedColumnFormula>
    </tableColumn>
    <tableColumn id="20" xr3:uid="{2BCE963B-879D-46A4-A20E-ABD910EAFAA8}" name="Total Orders per Customer" dataDxfId="15" totalsRowDxfId="14">
      <calculatedColumnFormula>COUNTIF(E2:E1000,"CU-1057")</calculatedColumnFormula>
    </tableColumn>
    <tableColumn id="21" xr3:uid="{387CFC54-3F6F-43F1-B427-3D5CEEAD6E92}" name="Total Revenue per Customer" dataDxfId="13" totalsRowDxfId="12">
      <calculatedColumnFormula>SUMIF(E2:E1000,"CU-1057",N2:N1000)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Q1006"/>
  <sheetViews>
    <sheetView zoomScale="69" workbookViewId="0">
      <pane ySplit="1" topLeftCell="A973" activePane="bottomLeft" state="frozen"/>
      <selection pane="bottomLeft" sqref="A1:Q1006"/>
    </sheetView>
  </sheetViews>
  <sheetFormatPr defaultRowHeight="14.4" x14ac:dyDescent="0.3"/>
  <cols>
    <col min="1" max="1" width="19.77734375" customWidth="1"/>
    <col min="2" max="2" width="19.109375" customWidth="1"/>
    <col min="3" max="3" width="19.77734375" customWidth="1"/>
    <col min="4" max="4" width="23.109375" customWidth="1"/>
    <col min="5" max="5" width="20.109375" customWidth="1"/>
    <col min="6" max="6" width="24.21875" customWidth="1"/>
    <col min="7" max="7" width="20.109375" customWidth="1"/>
    <col min="8" max="8" width="23.109375" customWidth="1"/>
    <col min="9" max="9" width="18" customWidth="1"/>
    <col min="10" max="10" width="10" customWidth="1"/>
    <col min="11" max="12" width="16" customWidth="1"/>
    <col min="13" max="13" width="13" customWidth="1"/>
    <col min="14" max="14" width="12" customWidth="1"/>
    <col min="15" max="16" width="10" customWidth="1"/>
    <col min="17" max="17" width="12" customWidth="1"/>
  </cols>
  <sheetData>
    <row r="1" spans="1:1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45368</v>
      </c>
      <c r="C2" s="3">
        <v>45369</v>
      </c>
      <c r="D2" s="2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5">
        <v>7096.4</v>
      </c>
      <c r="O2" s="6">
        <v>5</v>
      </c>
      <c r="P2" s="7">
        <v>0.2</v>
      </c>
      <c r="Q2" s="5">
        <v>-219.69</v>
      </c>
    </row>
    <row r="3" spans="1:17" x14ac:dyDescent="0.3">
      <c r="A3" s="8" t="s">
        <v>28</v>
      </c>
      <c r="B3" s="9">
        <v>44472</v>
      </c>
      <c r="C3" s="9">
        <v>44479</v>
      </c>
      <c r="D3" s="8" t="s">
        <v>29</v>
      </c>
      <c r="E3" s="8" t="s">
        <v>30</v>
      </c>
      <c r="F3" s="10" t="s">
        <v>31</v>
      </c>
      <c r="G3" s="10" t="s">
        <v>21</v>
      </c>
      <c r="H3" s="10" t="s">
        <v>32</v>
      </c>
      <c r="I3" s="10" t="s">
        <v>33</v>
      </c>
      <c r="J3" s="10" t="s">
        <v>34</v>
      </c>
      <c r="K3" s="10" t="s">
        <v>35</v>
      </c>
      <c r="L3" s="10" t="s">
        <v>36</v>
      </c>
      <c r="M3" s="10" t="s">
        <v>37</v>
      </c>
      <c r="N3" s="11">
        <v>125.41</v>
      </c>
      <c r="O3" s="12">
        <v>3</v>
      </c>
      <c r="P3" s="13">
        <v>0.5</v>
      </c>
      <c r="Q3" s="11">
        <v>-23.78</v>
      </c>
    </row>
    <row r="4" spans="1:17" x14ac:dyDescent="0.3">
      <c r="A4" s="2" t="s">
        <v>38</v>
      </c>
      <c r="B4" s="3">
        <v>45532</v>
      </c>
      <c r="C4" s="3">
        <v>45535</v>
      </c>
      <c r="D4" s="2" t="s">
        <v>39</v>
      </c>
      <c r="E4" s="2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24</v>
      </c>
      <c r="K4" s="4" t="s">
        <v>45</v>
      </c>
      <c r="L4" s="4" t="s">
        <v>46</v>
      </c>
      <c r="M4" s="4" t="s">
        <v>47</v>
      </c>
      <c r="N4" s="5">
        <v>1607.06</v>
      </c>
      <c r="O4" s="6">
        <v>6</v>
      </c>
      <c r="P4" s="7">
        <v>0.15</v>
      </c>
      <c r="Q4" s="5">
        <v>234.41</v>
      </c>
    </row>
    <row r="5" spans="1:17" x14ac:dyDescent="0.3">
      <c r="A5" s="8" t="s">
        <v>48</v>
      </c>
      <c r="B5" s="9">
        <v>44381</v>
      </c>
      <c r="C5" s="9">
        <v>44383</v>
      </c>
      <c r="D5" s="8" t="s">
        <v>18</v>
      </c>
      <c r="E5" s="8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45</v>
      </c>
      <c r="L5" s="10" t="s">
        <v>46</v>
      </c>
      <c r="M5" s="10" t="s">
        <v>55</v>
      </c>
      <c r="N5" s="11">
        <v>1727.45</v>
      </c>
      <c r="O5" s="12">
        <v>5</v>
      </c>
      <c r="P5" s="13">
        <v>0</v>
      </c>
      <c r="Q5" s="11">
        <v>564.62</v>
      </c>
    </row>
    <row r="6" spans="1:17" x14ac:dyDescent="0.3">
      <c r="A6" s="2" t="s">
        <v>56</v>
      </c>
      <c r="B6" s="3">
        <v>45340</v>
      </c>
      <c r="C6" s="3">
        <v>45346</v>
      </c>
      <c r="D6" s="2" t="s">
        <v>29</v>
      </c>
      <c r="E6" s="2" t="s">
        <v>57</v>
      </c>
      <c r="F6" s="4" t="s">
        <v>58</v>
      </c>
      <c r="G6" s="4" t="s">
        <v>42</v>
      </c>
      <c r="H6" s="4" t="s">
        <v>59</v>
      </c>
      <c r="I6" s="4" t="s">
        <v>60</v>
      </c>
      <c r="J6" s="4" t="s">
        <v>54</v>
      </c>
      <c r="K6" s="4" t="s">
        <v>45</v>
      </c>
      <c r="L6" s="4" t="s">
        <v>61</v>
      </c>
      <c r="M6" s="4" t="s">
        <v>62</v>
      </c>
      <c r="N6" s="5">
        <v>4762.0600000000004</v>
      </c>
      <c r="O6" s="6">
        <v>7</v>
      </c>
      <c r="P6" s="7">
        <v>1.47</v>
      </c>
      <c r="Q6" s="5">
        <v>299.81</v>
      </c>
    </row>
    <row r="7" spans="1:17" x14ac:dyDescent="0.3">
      <c r="A7" s="8" t="s">
        <v>63</v>
      </c>
      <c r="B7" s="9">
        <v>44399</v>
      </c>
      <c r="C7" s="9">
        <v>44406</v>
      </c>
      <c r="D7" s="8" t="s">
        <v>29</v>
      </c>
      <c r="E7" s="8" t="s">
        <v>64</v>
      </c>
      <c r="F7" s="10" t="s">
        <v>65</v>
      </c>
      <c r="G7" s="10" t="s">
        <v>51</v>
      </c>
      <c r="H7" s="10" t="s">
        <v>66</v>
      </c>
      <c r="I7" s="10" t="s">
        <v>67</v>
      </c>
      <c r="J7" s="10" t="s">
        <v>34</v>
      </c>
      <c r="K7" s="10" t="s">
        <v>25</v>
      </c>
      <c r="L7" s="10" t="s">
        <v>68</v>
      </c>
      <c r="M7" s="10" t="s">
        <v>69</v>
      </c>
      <c r="N7" s="11">
        <v>67.64</v>
      </c>
      <c r="O7" s="12">
        <v>4</v>
      </c>
      <c r="P7" s="13">
        <v>0.05</v>
      </c>
      <c r="Q7" s="11">
        <v>22.59</v>
      </c>
    </row>
    <row r="8" spans="1:17" x14ac:dyDescent="0.3">
      <c r="A8" s="2" t="s">
        <v>70</v>
      </c>
      <c r="B8" s="3">
        <v>45033</v>
      </c>
      <c r="C8" s="3">
        <v>45036</v>
      </c>
      <c r="D8" s="2" t="s">
        <v>39</v>
      </c>
      <c r="E8" s="2" t="s">
        <v>64</v>
      </c>
      <c r="F8" s="4" t="s">
        <v>65</v>
      </c>
      <c r="G8" s="4" t="s">
        <v>51</v>
      </c>
      <c r="H8" s="4" t="s">
        <v>66</v>
      </c>
      <c r="I8" s="4" t="s">
        <v>67</v>
      </c>
      <c r="J8" s="4" t="s">
        <v>34</v>
      </c>
      <c r="K8" s="4" t="s">
        <v>25</v>
      </c>
      <c r="L8" s="4" t="s">
        <v>26</v>
      </c>
      <c r="M8" s="4" t="s">
        <v>71</v>
      </c>
      <c r="N8" s="5">
        <v>6078.56</v>
      </c>
      <c r="O8" s="6">
        <v>9</v>
      </c>
      <c r="P8" s="7">
        <v>0.1</v>
      </c>
      <c r="Q8" s="5">
        <v>435.41</v>
      </c>
    </row>
    <row r="9" spans="1:17" x14ac:dyDescent="0.3">
      <c r="A9" s="8" t="s">
        <v>72</v>
      </c>
      <c r="B9" s="9">
        <v>44211</v>
      </c>
      <c r="C9" s="9">
        <v>44214</v>
      </c>
      <c r="D9" s="8" t="s">
        <v>73</v>
      </c>
      <c r="E9" s="8" t="s">
        <v>64</v>
      </c>
      <c r="F9" s="10" t="s">
        <v>65</v>
      </c>
      <c r="G9" s="10" t="s">
        <v>51</v>
      </c>
      <c r="H9" s="10" t="s">
        <v>66</v>
      </c>
      <c r="I9" s="10" t="s">
        <v>67</v>
      </c>
      <c r="J9" s="10" t="s">
        <v>34</v>
      </c>
      <c r="K9" s="10" t="s">
        <v>25</v>
      </c>
      <c r="L9" s="10" t="s">
        <v>74</v>
      </c>
      <c r="M9" s="10" t="s">
        <v>75</v>
      </c>
      <c r="N9" s="11">
        <v>440.16</v>
      </c>
      <c r="O9" s="12">
        <v>1</v>
      </c>
      <c r="P9" s="13">
        <v>0.3</v>
      </c>
      <c r="Q9" s="11">
        <v>92.49</v>
      </c>
    </row>
    <row r="10" spans="1:17" x14ac:dyDescent="0.3">
      <c r="A10" s="2" t="s">
        <v>76</v>
      </c>
      <c r="B10" s="3">
        <v>44262</v>
      </c>
      <c r="C10" s="3">
        <v>44268</v>
      </c>
      <c r="D10" s="2" t="s">
        <v>29</v>
      </c>
      <c r="E10" s="2" t="s">
        <v>77</v>
      </c>
      <c r="F10" s="4" t="s">
        <v>78</v>
      </c>
      <c r="G10" s="4" t="s">
        <v>21</v>
      </c>
      <c r="H10" s="4" t="s">
        <v>79</v>
      </c>
      <c r="I10" s="4" t="s">
        <v>80</v>
      </c>
      <c r="J10" s="4" t="s">
        <v>54</v>
      </c>
      <c r="K10" s="4" t="s">
        <v>35</v>
      </c>
      <c r="L10" s="4" t="s">
        <v>81</v>
      </c>
      <c r="M10" s="4" t="s">
        <v>82</v>
      </c>
      <c r="N10" s="5">
        <v>93.57</v>
      </c>
      <c r="O10" s="6">
        <v>5</v>
      </c>
      <c r="P10" s="7">
        <v>0.05</v>
      </c>
      <c r="Q10" s="5">
        <v>46.91</v>
      </c>
    </row>
    <row r="11" spans="1:17" x14ac:dyDescent="0.3">
      <c r="A11" s="8" t="s">
        <v>83</v>
      </c>
      <c r="B11" s="9">
        <v>44742</v>
      </c>
      <c r="C11" s="9">
        <v>44746</v>
      </c>
      <c r="D11" s="8" t="s">
        <v>39</v>
      </c>
      <c r="E11" s="8" t="s">
        <v>84</v>
      </c>
      <c r="F11" s="10" t="s">
        <v>85</v>
      </c>
      <c r="G11" s="10" t="s">
        <v>21</v>
      </c>
      <c r="H11" s="10" t="s">
        <v>86</v>
      </c>
      <c r="I11" s="10" t="s">
        <v>87</v>
      </c>
      <c r="J11" s="10" t="s">
        <v>88</v>
      </c>
      <c r="K11" s="10" t="s">
        <v>35</v>
      </c>
      <c r="L11" s="10" t="s">
        <v>89</v>
      </c>
      <c r="M11" s="10" t="s">
        <v>90</v>
      </c>
      <c r="N11" s="11">
        <v>185.36</v>
      </c>
      <c r="O11" s="12">
        <v>4</v>
      </c>
      <c r="P11" s="13">
        <v>0.05</v>
      </c>
      <c r="Q11" s="11">
        <v>44.61</v>
      </c>
    </row>
    <row r="12" spans="1:17" x14ac:dyDescent="0.3">
      <c r="A12" s="2" t="s">
        <v>91</v>
      </c>
      <c r="B12" s="3">
        <v>45618</v>
      </c>
      <c r="C12" s="3">
        <v>45622</v>
      </c>
      <c r="D12" s="2" t="s">
        <v>39</v>
      </c>
      <c r="E12" s="2" t="s">
        <v>92</v>
      </c>
      <c r="F12" s="4" t="s">
        <v>93</v>
      </c>
      <c r="G12" s="4" t="s">
        <v>42</v>
      </c>
      <c r="H12" s="4" t="s">
        <v>43</v>
      </c>
      <c r="I12" s="4" t="s">
        <v>44</v>
      </c>
      <c r="J12" s="4" t="s">
        <v>24</v>
      </c>
      <c r="K12" s="4" t="s">
        <v>25</v>
      </c>
      <c r="L12" s="4" t="s">
        <v>26</v>
      </c>
      <c r="M12" s="4" t="s">
        <v>94</v>
      </c>
      <c r="N12" s="5">
        <v>4260.6899999999996</v>
      </c>
      <c r="O12" s="6">
        <v>3</v>
      </c>
      <c r="P12" s="7">
        <v>0</v>
      </c>
      <c r="Q12" s="5">
        <v>849.48</v>
      </c>
    </row>
    <row r="13" spans="1:17" x14ac:dyDescent="0.3">
      <c r="A13" s="8" t="s">
        <v>95</v>
      </c>
      <c r="B13" s="9">
        <v>45398</v>
      </c>
      <c r="C13" s="9">
        <v>45401</v>
      </c>
      <c r="D13" s="8" t="s">
        <v>73</v>
      </c>
      <c r="E13" s="8" t="s">
        <v>96</v>
      </c>
      <c r="F13" s="10" t="s">
        <v>97</v>
      </c>
      <c r="G13" s="10" t="s">
        <v>21</v>
      </c>
      <c r="H13" s="10" t="s">
        <v>98</v>
      </c>
      <c r="I13" s="10" t="s">
        <v>80</v>
      </c>
      <c r="J13" s="10" t="s">
        <v>54</v>
      </c>
      <c r="K13" s="10" t="s">
        <v>45</v>
      </c>
      <c r="L13" s="10" t="s">
        <v>99</v>
      </c>
      <c r="M13" s="10" t="s">
        <v>100</v>
      </c>
      <c r="N13" s="11">
        <v>936.35</v>
      </c>
      <c r="O13" s="12">
        <v>5</v>
      </c>
      <c r="P13" s="13">
        <v>0</v>
      </c>
      <c r="Q13" s="11">
        <v>358.18</v>
      </c>
    </row>
    <row r="14" spans="1:17" x14ac:dyDescent="0.3">
      <c r="A14" s="2" t="s">
        <v>101</v>
      </c>
      <c r="B14" s="3">
        <v>44888</v>
      </c>
      <c r="C14" s="3">
        <v>44894</v>
      </c>
      <c r="D14" s="2" t="s">
        <v>29</v>
      </c>
      <c r="E14" s="2" t="s">
        <v>102</v>
      </c>
      <c r="F14" s="4" t="s">
        <v>103</v>
      </c>
      <c r="G14" s="4" t="s">
        <v>42</v>
      </c>
      <c r="H14" s="4" t="s">
        <v>104</v>
      </c>
      <c r="I14" s="4" t="s">
        <v>105</v>
      </c>
      <c r="J14" s="4" t="s">
        <v>88</v>
      </c>
      <c r="K14" s="4" t="s">
        <v>25</v>
      </c>
      <c r="L14" s="4" t="s">
        <v>74</v>
      </c>
      <c r="M14" s="4" t="s">
        <v>106</v>
      </c>
      <c r="N14" s="5">
        <v>774.26</v>
      </c>
      <c r="O14" s="6">
        <v>1</v>
      </c>
      <c r="P14" s="7">
        <v>0</v>
      </c>
      <c r="Q14" s="5">
        <v>314.13</v>
      </c>
    </row>
    <row r="15" spans="1:17" x14ac:dyDescent="0.3">
      <c r="A15" s="8" t="s">
        <v>107</v>
      </c>
      <c r="B15" s="9">
        <v>44573</v>
      </c>
      <c r="C15" s="9">
        <v>44578</v>
      </c>
      <c r="D15" s="8" t="s">
        <v>29</v>
      </c>
      <c r="E15" s="8" t="s">
        <v>108</v>
      </c>
      <c r="F15" s="10" t="s">
        <v>109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35</v>
      </c>
      <c r="L15" s="10" t="s">
        <v>110</v>
      </c>
      <c r="M15" s="10" t="s">
        <v>111</v>
      </c>
      <c r="N15" s="11">
        <v>191.65</v>
      </c>
      <c r="O15" s="12">
        <v>9</v>
      </c>
      <c r="P15" s="13">
        <v>0.3</v>
      </c>
      <c r="Q15" s="11">
        <v>44.84</v>
      </c>
    </row>
    <row r="16" spans="1:17" x14ac:dyDescent="0.3">
      <c r="A16" s="2" t="s">
        <v>112</v>
      </c>
      <c r="B16" s="3">
        <v>44451</v>
      </c>
      <c r="C16" s="3">
        <v>44452</v>
      </c>
      <c r="D16" s="2" t="s">
        <v>18</v>
      </c>
      <c r="E16" s="2" t="s">
        <v>113</v>
      </c>
      <c r="F16" s="4" t="s">
        <v>114</v>
      </c>
      <c r="G16" s="4" t="s">
        <v>21</v>
      </c>
      <c r="H16" s="4" t="s">
        <v>115</v>
      </c>
      <c r="I16" s="4" t="s">
        <v>116</v>
      </c>
      <c r="J16" s="4" t="s">
        <v>54</v>
      </c>
      <c r="K16" s="4" t="s">
        <v>45</v>
      </c>
      <c r="L16" s="4" t="s">
        <v>117</v>
      </c>
      <c r="M16" s="4" t="s">
        <v>118</v>
      </c>
      <c r="N16" s="5">
        <v>5111.7</v>
      </c>
      <c r="O16" s="6">
        <v>10</v>
      </c>
      <c r="P16" s="7">
        <v>0</v>
      </c>
      <c r="Q16" s="5">
        <v>1695.26</v>
      </c>
    </row>
    <row r="17" spans="1:17" x14ac:dyDescent="0.3">
      <c r="A17" s="8" t="s">
        <v>119</v>
      </c>
      <c r="B17" s="9">
        <v>45297</v>
      </c>
      <c r="C17" s="9">
        <v>45300</v>
      </c>
      <c r="D17" s="8" t="s">
        <v>18</v>
      </c>
      <c r="E17" s="8" t="s">
        <v>120</v>
      </c>
      <c r="F17" s="10" t="s">
        <v>121</v>
      </c>
      <c r="G17" s="10" t="s">
        <v>21</v>
      </c>
      <c r="H17" s="10" t="s">
        <v>122</v>
      </c>
      <c r="I17" s="10" t="s">
        <v>123</v>
      </c>
      <c r="J17" s="10" t="s">
        <v>24</v>
      </c>
      <c r="K17" s="10" t="s">
        <v>25</v>
      </c>
      <c r="L17" s="10" t="s">
        <v>124</v>
      </c>
      <c r="M17" s="10" t="s">
        <v>125</v>
      </c>
      <c r="N17" s="11">
        <v>16308.48</v>
      </c>
      <c r="O17" s="12">
        <v>6</v>
      </c>
      <c r="P17" s="13">
        <v>0</v>
      </c>
      <c r="Q17" s="11">
        <v>4916.1000000000004</v>
      </c>
    </row>
    <row r="18" spans="1:17" x14ac:dyDescent="0.3">
      <c r="A18" s="2" t="s">
        <v>126</v>
      </c>
      <c r="B18" s="3">
        <v>44875</v>
      </c>
      <c r="C18" s="3">
        <v>44878</v>
      </c>
      <c r="D18" s="2" t="s">
        <v>73</v>
      </c>
      <c r="E18" s="2" t="s">
        <v>127</v>
      </c>
      <c r="F18" s="4" t="s">
        <v>128</v>
      </c>
      <c r="G18" s="4" t="s">
        <v>21</v>
      </c>
      <c r="H18" s="4" t="s">
        <v>129</v>
      </c>
      <c r="I18" s="4" t="s">
        <v>33</v>
      </c>
      <c r="J18" s="4" t="s">
        <v>34</v>
      </c>
      <c r="K18" s="4" t="s">
        <v>25</v>
      </c>
      <c r="L18" s="4" t="s">
        <v>124</v>
      </c>
      <c r="M18" s="4" t="s">
        <v>130</v>
      </c>
      <c r="N18" s="5">
        <v>17829.560000000001</v>
      </c>
      <c r="O18" s="6">
        <v>7</v>
      </c>
      <c r="P18" s="7">
        <v>0</v>
      </c>
      <c r="Q18" s="5">
        <v>5730.97</v>
      </c>
    </row>
    <row r="19" spans="1:17" x14ac:dyDescent="0.3">
      <c r="A19" s="8" t="s">
        <v>131</v>
      </c>
      <c r="B19" s="9">
        <v>45122</v>
      </c>
      <c r="C19" s="9">
        <v>45126</v>
      </c>
      <c r="D19" s="8" t="s">
        <v>39</v>
      </c>
      <c r="E19" s="8" t="s">
        <v>132</v>
      </c>
      <c r="F19" s="10" t="s">
        <v>133</v>
      </c>
      <c r="G19" s="10" t="s">
        <v>21</v>
      </c>
      <c r="H19" s="10" t="s">
        <v>134</v>
      </c>
      <c r="I19" s="10" t="s">
        <v>87</v>
      </c>
      <c r="J19" s="10" t="s">
        <v>88</v>
      </c>
      <c r="K19" s="10" t="s">
        <v>25</v>
      </c>
      <c r="L19" s="10" t="s">
        <v>68</v>
      </c>
      <c r="M19" s="10" t="s">
        <v>135</v>
      </c>
      <c r="N19" s="11">
        <v>536.38</v>
      </c>
      <c r="O19" s="12">
        <v>9</v>
      </c>
      <c r="P19" s="13">
        <v>0.4</v>
      </c>
      <c r="Q19" s="11">
        <v>-57.14</v>
      </c>
    </row>
    <row r="20" spans="1:17" x14ac:dyDescent="0.3">
      <c r="A20" s="2" t="s">
        <v>136</v>
      </c>
      <c r="B20" s="3">
        <v>45147</v>
      </c>
      <c r="C20" s="3">
        <v>45151</v>
      </c>
      <c r="D20" s="2" t="s">
        <v>73</v>
      </c>
      <c r="E20" s="2" t="s">
        <v>137</v>
      </c>
      <c r="F20" s="4" t="s">
        <v>138</v>
      </c>
      <c r="G20" s="4" t="s">
        <v>51</v>
      </c>
      <c r="H20" s="4" t="s">
        <v>139</v>
      </c>
      <c r="I20" s="4" t="s">
        <v>140</v>
      </c>
      <c r="J20" s="4" t="s">
        <v>24</v>
      </c>
      <c r="K20" s="4" t="s">
        <v>25</v>
      </c>
      <c r="L20" s="4" t="s">
        <v>74</v>
      </c>
      <c r="M20" s="4" t="s">
        <v>141</v>
      </c>
      <c r="N20" s="5">
        <v>4655.1000000000004</v>
      </c>
      <c r="O20" s="6">
        <v>9</v>
      </c>
      <c r="P20" s="7">
        <v>0.15</v>
      </c>
      <c r="Q20" s="5">
        <v>1260.8499999999999</v>
      </c>
    </row>
    <row r="21" spans="1:17" x14ac:dyDescent="0.3">
      <c r="A21" s="8" t="s">
        <v>142</v>
      </c>
      <c r="B21" s="9">
        <v>45076</v>
      </c>
      <c r="C21" s="9">
        <v>45080</v>
      </c>
      <c r="D21" s="8" t="s">
        <v>73</v>
      </c>
      <c r="E21" s="8" t="s">
        <v>143</v>
      </c>
      <c r="F21" s="10" t="s">
        <v>144</v>
      </c>
      <c r="G21" s="10" t="s">
        <v>21</v>
      </c>
      <c r="H21" s="10" t="s">
        <v>145</v>
      </c>
      <c r="I21" s="10" t="s">
        <v>140</v>
      </c>
      <c r="J21" s="10" t="s">
        <v>24</v>
      </c>
      <c r="K21" s="10" t="s">
        <v>25</v>
      </c>
      <c r="L21" s="10" t="s">
        <v>26</v>
      </c>
      <c r="M21" s="10" t="s">
        <v>146</v>
      </c>
      <c r="N21" s="11">
        <v>1773.74</v>
      </c>
      <c r="O21" s="12">
        <v>2</v>
      </c>
      <c r="P21" s="13">
        <v>0</v>
      </c>
      <c r="Q21" s="11">
        <v>267.04000000000002</v>
      </c>
    </row>
    <row r="22" spans="1:17" x14ac:dyDescent="0.3">
      <c r="A22" s="2" t="s">
        <v>147</v>
      </c>
      <c r="B22" s="3">
        <v>45342</v>
      </c>
      <c r="C22" s="3">
        <v>45345</v>
      </c>
      <c r="D22" s="2" t="s">
        <v>39</v>
      </c>
      <c r="E22" s="2" t="s">
        <v>148</v>
      </c>
      <c r="F22" s="4" t="s">
        <v>149</v>
      </c>
      <c r="G22" s="4" t="s">
        <v>42</v>
      </c>
      <c r="H22" s="4" t="s">
        <v>150</v>
      </c>
      <c r="I22" s="4" t="s">
        <v>151</v>
      </c>
      <c r="J22" s="4" t="s">
        <v>34</v>
      </c>
      <c r="K22" s="4" t="s">
        <v>25</v>
      </c>
      <c r="L22" s="4" t="s">
        <v>124</v>
      </c>
      <c r="M22" s="4" t="s">
        <v>152</v>
      </c>
      <c r="N22" s="5">
        <v>4431.3</v>
      </c>
      <c r="O22" s="6">
        <v>2</v>
      </c>
      <c r="P22" s="7">
        <v>0</v>
      </c>
      <c r="Q22" s="5">
        <v>1072.6600000000001</v>
      </c>
    </row>
    <row r="23" spans="1:17" x14ac:dyDescent="0.3">
      <c r="A23" s="8" t="s">
        <v>153</v>
      </c>
      <c r="B23" s="9">
        <v>45388</v>
      </c>
      <c r="C23" s="9">
        <v>45393</v>
      </c>
      <c r="D23" s="8" t="s">
        <v>29</v>
      </c>
      <c r="E23" s="8" t="s">
        <v>154</v>
      </c>
      <c r="F23" s="10" t="s">
        <v>155</v>
      </c>
      <c r="G23" s="10" t="s">
        <v>51</v>
      </c>
      <c r="H23" s="10" t="s">
        <v>156</v>
      </c>
      <c r="I23" s="10" t="s">
        <v>157</v>
      </c>
      <c r="J23" s="10" t="s">
        <v>88</v>
      </c>
      <c r="K23" s="10" t="s">
        <v>35</v>
      </c>
      <c r="L23" s="10" t="s">
        <v>158</v>
      </c>
      <c r="M23" s="10" t="s">
        <v>159</v>
      </c>
      <c r="N23" s="11">
        <v>945.45</v>
      </c>
      <c r="O23" s="12">
        <v>9</v>
      </c>
      <c r="P23" s="13">
        <v>0</v>
      </c>
      <c r="Q23" s="11">
        <v>368.55</v>
      </c>
    </row>
    <row r="24" spans="1:17" x14ac:dyDescent="0.3">
      <c r="A24" s="2" t="s">
        <v>160</v>
      </c>
      <c r="B24" s="3">
        <v>44516</v>
      </c>
      <c r="C24" s="3">
        <v>44521</v>
      </c>
      <c r="D24" s="2" t="s">
        <v>29</v>
      </c>
      <c r="E24" s="2" t="s">
        <v>92</v>
      </c>
      <c r="F24" s="4" t="s">
        <v>93</v>
      </c>
      <c r="G24" s="4" t="s">
        <v>42</v>
      </c>
      <c r="H24" s="4" t="s">
        <v>43</v>
      </c>
      <c r="I24" s="4" t="s">
        <v>44</v>
      </c>
      <c r="J24" s="4" t="s">
        <v>24</v>
      </c>
      <c r="K24" s="4" t="s">
        <v>45</v>
      </c>
      <c r="L24" s="4" t="s">
        <v>61</v>
      </c>
      <c r="M24" s="4" t="s">
        <v>161</v>
      </c>
      <c r="N24" s="5">
        <v>516.41999999999996</v>
      </c>
      <c r="O24" s="6">
        <v>4</v>
      </c>
      <c r="P24" s="7">
        <v>0.05</v>
      </c>
      <c r="Q24" s="5">
        <v>11.06</v>
      </c>
    </row>
    <row r="25" spans="1:17" x14ac:dyDescent="0.3">
      <c r="A25" s="8" t="s">
        <v>162</v>
      </c>
      <c r="B25" s="9">
        <v>45419</v>
      </c>
      <c r="C25" s="9">
        <v>45424</v>
      </c>
      <c r="D25" s="8" t="s">
        <v>29</v>
      </c>
      <c r="E25" s="8" t="s">
        <v>163</v>
      </c>
      <c r="F25" s="10" t="s">
        <v>164</v>
      </c>
      <c r="G25" s="10" t="s">
        <v>21</v>
      </c>
      <c r="H25" s="10" t="s">
        <v>165</v>
      </c>
      <c r="I25" s="10" t="s">
        <v>44</v>
      </c>
      <c r="J25" s="10" t="s">
        <v>24</v>
      </c>
      <c r="K25" s="10" t="s">
        <v>35</v>
      </c>
      <c r="L25" s="10" t="s">
        <v>166</v>
      </c>
      <c r="M25" s="10" t="s">
        <v>167</v>
      </c>
      <c r="N25" s="11">
        <v>199.43</v>
      </c>
      <c r="O25" s="12">
        <v>2</v>
      </c>
      <c r="P25" s="13">
        <v>0.15</v>
      </c>
      <c r="Q25" s="11">
        <v>35.770000000000003</v>
      </c>
    </row>
    <row r="26" spans="1:17" x14ac:dyDescent="0.3">
      <c r="A26" s="2" t="s">
        <v>168</v>
      </c>
      <c r="B26" s="3">
        <v>45376</v>
      </c>
      <c r="C26" s="3">
        <v>45381</v>
      </c>
      <c r="D26" s="2" t="s">
        <v>29</v>
      </c>
      <c r="E26" s="2" t="s">
        <v>169</v>
      </c>
      <c r="F26" s="4" t="s">
        <v>170</v>
      </c>
      <c r="G26" s="4" t="s">
        <v>21</v>
      </c>
      <c r="H26" s="4" t="s">
        <v>171</v>
      </c>
      <c r="I26" s="4" t="s">
        <v>172</v>
      </c>
      <c r="J26" s="4" t="s">
        <v>24</v>
      </c>
      <c r="K26" s="4" t="s">
        <v>25</v>
      </c>
      <c r="L26" s="4" t="s">
        <v>124</v>
      </c>
      <c r="M26" s="4" t="s">
        <v>173</v>
      </c>
      <c r="N26" s="5">
        <v>4786.28</v>
      </c>
      <c r="O26" s="6">
        <v>5</v>
      </c>
      <c r="P26" s="7">
        <v>0.2</v>
      </c>
      <c r="Q26" s="5">
        <v>468.18</v>
      </c>
    </row>
    <row r="27" spans="1:17" x14ac:dyDescent="0.3">
      <c r="A27" s="8" t="s">
        <v>174</v>
      </c>
      <c r="B27" s="9">
        <v>44246</v>
      </c>
      <c r="C27" s="9">
        <v>44251</v>
      </c>
      <c r="D27" s="8" t="s">
        <v>29</v>
      </c>
      <c r="E27" s="8" t="s">
        <v>175</v>
      </c>
      <c r="F27" s="10" t="s">
        <v>176</v>
      </c>
      <c r="G27" s="10" t="s">
        <v>51</v>
      </c>
      <c r="H27" s="10" t="s">
        <v>177</v>
      </c>
      <c r="I27" s="10" t="s">
        <v>178</v>
      </c>
      <c r="J27" s="10" t="s">
        <v>24</v>
      </c>
      <c r="K27" s="10" t="s">
        <v>45</v>
      </c>
      <c r="L27" s="10" t="s">
        <v>117</v>
      </c>
      <c r="M27" s="10" t="s">
        <v>179</v>
      </c>
      <c r="N27" s="11">
        <v>2468.64</v>
      </c>
      <c r="O27" s="12">
        <v>9</v>
      </c>
      <c r="P27" s="13">
        <v>0.05</v>
      </c>
      <c r="Q27" s="11">
        <v>769.79</v>
      </c>
    </row>
    <row r="28" spans="1:17" x14ac:dyDescent="0.3">
      <c r="A28" s="2" t="s">
        <v>180</v>
      </c>
      <c r="B28" s="3">
        <v>44378</v>
      </c>
      <c r="C28" s="3">
        <v>44381</v>
      </c>
      <c r="D28" s="2" t="s">
        <v>39</v>
      </c>
      <c r="E28" s="2" t="s">
        <v>181</v>
      </c>
      <c r="F28" s="4" t="s">
        <v>182</v>
      </c>
      <c r="G28" s="4" t="s">
        <v>21</v>
      </c>
      <c r="H28" s="4" t="s">
        <v>183</v>
      </c>
      <c r="I28" s="4" t="s">
        <v>184</v>
      </c>
      <c r="J28" s="4" t="s">
        <v>54</v>
      </c>
      <c r="K28" s="4" t="s">
        <v>45</v>
      </c>
      <c r="L28" s="4" t="s">
        <v>117</v>
      </c>
      <c r="M28" s="4" t="s">
        <v>185</v>
      </c>
      <c r="N28" s="5">
        <v>1444.5</v>
      </c>
      <c r="O28" s="6">
        <v>6</v>
      </c>
      <c r="P28" s="7">
        <v>0</v>
      </c>
      <c r="Q28" s="5">
        <v>372.98</v>
      </c>
    </row>
    <row r="29" spans="1:17" x14ac:dyDescent="0.3">
      <c r="A29" s="8" t="s">
        <v>186</v>
      </c>
      <c r="B29" s="9">
        <v>45473</v>
      </c>
      <c r="C29" s="9">
        <v>45476</v>
      </c>
      <c r="D29" s="8" t="s">
        <v>18</v>
      </c>
      <c r="E29" s="8" t="s">
        <v>187</v>
      </c>
      <c r="F29" s="10" t="s">
        <v>188</v>
      </c>
      <c r="G29" s="10" t="s">
        <v>21</v>
      </c>
      <c r="H29" s="10" t="s">
        <v>22</v>
      </c>
      <c r="I29" s="10" t="s">
        <v>23</v>
      </c>
      <c r="J29" s="10" t="s">
        <v>24</v>
      </c>
      <c r="K29" s="10" t="s">
        <v>45</v>
      </c>
      <c r="L29" s="10" t="s">
        <v>99</v>
      </c>
      <c r="M29" s="10" t="s">
        <v>189</v>
      </c>
      <c r="N29" s="11">
        <v>294.83999999999997</v>
      </c>
      <c r="O29" s="12">
        <v>3</v>
      </c>
      <c r="P29" s="13">
        <v>0.4</v>
      </c>
      <c r="Q29" s="11">
        <v>-76.819999999999993</v>
      </c>
    </row>
    <row r="30" spans="1:17" x14ac:dyDescent="0.3">
      <c r="A30" s="2" t="s">
        <v>190</v>
      </c>
      <c r="B30" s="3">
        <v>45088</v>
      </c>
      <c r="C30" s="3">
        <v>45093</v>
      </c>
      <c r="D30" s="2" t="s">
        <v>29</v>
      </c>
      <c r="E30" s="2" t="s">
        <v>191</v>
      </c>
      <c r="F30" s="4" t="s">
        <v>192</v>
      </c>
      <c r="G30" s="4" t="s">
        <v>21</v>
      </c>
      <c r="H30" s="4" t="s">
        <v>193</v>
      </c>
      <c r="I30" s="4" t="s">
        <v>194</v>
      </c>
      <c r="J30" s="4" t="s">
        <v>34</v>
      </c>
      <c r="K30" s="4" t="s">
        <v>35</v>
      </c>
      <c r="L30" s="4" t="s">
        <v>36</v>
      </c>
      <c r="M30" s="4" t="s">
        <v>195</v>
      </c>
      <c r="N30" s="5">
        <v>434.62</v>
      </c>
      <c r="O30" s="6">
        <v>3</v>
      </c>
      <c r="P30" s="7">
        <v>0.3</v>
      </c>
      <c r="Q30" s="5">
        <v>32.200000000000003</v>
      </c>
    </row>
    <row r="31" spans="1:17" x14ac:dyDescent="0.3">
      <c r="A31" s="8" t="s">
        <v>196</v>
      </c>
      <c r="B31" s="9">
        <v>44555</v>
      </c>
      <c r="C31" s="9">
        <v>44562</v>
      </c>
      <c r="D31" s="8" t="s">
        <v>29</v>
      </c>
      <c r="E31" s="8" t="s">
        <v>197</v>
      </c>
      <c r="F31" s="10" t="s">
        <v>198</v>
      </c>
      <c r="G31" s="10" t="s">
        <v>21</v>
      </c>
      <c r="H31" s="10" t="s">
        <v>129</v>
      </c>
      <c r="I31" s="10" t="s">
        <v>33</v>
      </c>
      <c r="J31" s="10" t="s">
        <v>34</v>
      </c>
      <c r="K31" s="10" t="s">
        <v>45</v>
      </c>
      <c r="L31" s="10" t="s">
        <v>61</v>
      </c>
      <c r="M31" s="10" t="s">
        <v>199</v>
      </c>
      <c r="N31" s="11">
        <v>3924.7</v>
      </c>
      <c r="O31" s="12">
        <v>10</v>
      </c>
      <c r="P31" s="13">
        <v>0</v>
      </c>
      <c r="Q31" s="11">
        <v>476.88</v>
      </c>
    </row>
    <row r="32" spans="1:17" x14ac:dyDescent="0.3">
      <c r="A32" s="2" t="s">
        <v>200</v>
      </c>
      <c r="B32" s="3">
        <v>45109</v>
      </c>
      <c r="C32" s="3">
        <v>45114</v>
      </c>
      <c r="D32" s="2" t="s">
        <v>73</v>
      </c>
      <c r="E32" s="2" t="s">
        <v>201</v>
      </c>
      <c r="F32" s="4" t="s">
        <v>202</v>
      </c>
      <c r="G32" s="4" t="s">
        <v>21</v>
      </c>
      <c r="H32" s="4" t="s">
        <v>98</v>
      </c>
      <c r="I32" s="4" t="s">
        <v>80</v>
      </c>
      <c r="J32" s="4" t="s">
        <v>54</v>
      </c>
      <c r="K32" s="4" t="s">
        <v>25</v>
      </c>
      <c r="L32" s="4" t="s">
        <v>74</v>
      </c>
      <c r="M32" s="4" t="s">
        <v>203</v>
      </c>
      <c r="N32" s="5">
        <v>797.41</v>
      </c>
      <c r="O32" s="6">
        <v>1</v>
      </c>
      <c r="P32" s="7">
        <v>0</v>
      </c>
      <c r="Q32" s="5">
        <v>281.45999999999998</v>
      </c>
    </row>
    <row r="33" spans="1:17" x14ac:dyDescent="0.3">
      <c r="A33" s="8" t="s">
        <v>204</v>
      </c>
      <c r="B33" s="9">
        <v>45332</v>
      </c>
      <c r="C33" s="9">
        <v>45335</v>
      </c>
      <c r="D33" s="8" t="s">
        <v>73</v>
      </c>
      <c r="E33" s="8" t="s">
        <v>205</v>
      </c>
      <c r="F33" s="10" t="s">
        <v>206</v>
      </c>
      <c r="G33" s="10" t="s">
        <v>51</v>
      </c>
      <c r="H33" s="10" t="s">
        <v>207</v>
      </c>
      <c r="I33" s="10" t="s">
        <v>60</v>
      </c>
      <c r="J33" s="10" t="s">
        <v>54</v>
      </c>
      <c r="K33" s="10" t="s">
        <v>45</v>
      </c>
      <c r="L33" s="10" t="s">
        <v>99</v>
      </c>
      <c r="M33" s="10" t="s">
        <v>208</v>
      </c>
      <c r="N33" s="11">
        <v>215.45</v>
      </c>
      <c r="O33" s="12">
        <v>5</v>
      </c>
      <c r="P33" s="13">
        <v>0</v>
      </c>
      <c r="Q33" s="11">
        <v>74.47</v>
      </c>
    </row>
    <row r="34" spans="1:17" x14ac:dyDescent="0.3">
      <c r="A34" s="2" t="s">
        <v>209</v>
      </c>
      <c r="B34" s="3">
        <v>45060</v>
      </c>
      <c r="C34" s="3">
        <v>45062</v>
      </c>
      <c r="D34" s="2" t="s">
        <v>39</v>
      </c>
      <c r="E34" s="2" t="s">
        <v>210</v>
      </c>
      <c r="F34" s="4" t="s">
        <v>211</v>
      </c>
      <c r="G34" s="4" t="s">
        <v>42</v>
      </c>
      <c r="H34" s="4" t="s">
        <v>86</v>
      </c>
      <c r="I34" s="4" t="s">
        <v>87</v>
      </c>
      <c r="J34" s="4" t="s">
        <v>88</v>
      </c>
      <c r="K34" s="4" t="s">
        <v>25</v>
      </c>
      <c r="L34" s="4" t="s">
        <v>68</v>
      </c>
      <c r="M34" s="4" t="s">
        <v>212</v>
      </c>
      <c r="N34" s="5">
        <v>603.65</v>
      </c>
      <c r="O34" s="6">
        <v>5</v>
      </c>
      <c r="P34" s="7">
        <v>0</v>
      </c>
      <c r="Q34" s="5">
        <v>286.63</v>
      </c>
    </row>
    <row r="35" spans="1:17" x14ac:dyDescent="0.3">
      <c r="A35" s="8" t="s">
        <v>213</v>
      </c>
      <c r="B35" s="9">
        <v>45264</v>
      </c>
      <c r="C35" s="9">
        <v>45268</v>
      </c>
      <c r="D35" s="8" t="s">
        <v>39</v>
      </c>
      <c r="E35" s="8" t="s">
        <v>214</v>
      </c>
      <c r="F35" s="10" t="s">
        <v>215</v>
      </c>
      <c r="G35" s="10" t="s">
        <v>21</v>
      </c>
      <c r="H35" s="10" t="s">
        <v>52</v>
      </c>
      <c r="I35" s="10" t="s">
        <v>53</v>
      </c>
      <c r="J35" s="10"/>
      <c r="K35" s="10" t="s">
        <v>35</v>
      </c>
      <c r="L35" s="10" t="s">
        <v>216</v>
      </c>
      <c r="M35" s="10" t="s">
        <v>217</v>
      </c>
      <c r="N35" s="11">
        <v>211.18</v>
      </c>
      <c r="O35" s="12">
        <v>7</v>
      </c>
      <c r="P35" s="13">
        <v>0.2</v>
      </c>
      <c r="Q35" s="11">
        <v>61.18</v>
      </c>
    </row>
    <row r="36" spans="1:17" x14ac:dyDescent="0.3">
      <c r="A36" s="2" t="s">
        <v>218</v>
      </c>
      <c r="B36" s="3">
        <v>45545</v>
      </c>
      <c r="C36" s="3">
        <v>45546</v>
      </c>
      <c r="D36" s="2" t="s">
        <v>18</v>
      </c>
      <c r="E36" s="2" t="s">
        <v>219</v>
      </c>
      <c r="F36" s="4" t="s">
        <v>220</v>
      </c>
      <c r="G36" s="4" t="s">
        <v>51</v>
      </c>
      <c r="H36" s="4" t="s">
        <v>171</v>
      </c>
      <c r="I36" s="4" t="s">
        <v>172</v>
      </c>
      <c r="J36" s="4" t="s">
        <v>24</v>
      </c>
      <c r="K36" s="4" t="s">
        <v>25</v>
      </c>
      <c r="L36" s="4" t="s">
        <v>26</v>
      </c>
      <c r="M36" s="4" t="s">
        <v>221</v>
      </c>
      <c r="N36" s="5">
        <v>5391.14</v>
      </c>
      <c r="O36" s="6">
        <v>4</v>
      </c>
      <c r="P36" s="7">
        <v>0.15</v>
      </c>
      <c r="Q36" s="5">
        <v>92.85</v>
      </c>
    </row>
    <row r="37" spans="1:17" x14ac:dyDescent="0.3">
      <c r="A37" s="8" t="s">
        <v>222</v>
      </c>
      <c r="B37" s="9">
        <v>45115</v>
      </c>
      <c r="C37" s="9">
        <v>45121</v>
      </c>
      <c r="D37" s="8" t="s">
        <v>29</v>
      </c>
      <c r="E37" s="8" t="s">
        <v>223</v>
      </c>
      <c r="F37" s="10" t="s">
        <v>224</v>
      </c>
      <c r="G37" s="10" t="s">
        <v>21</v>
      </c>
      <c r="H37" s="10" t="s">
        <v>59</v>
      </c>
      <c r="I37" s="10" t="s">
        <v>60</v>
      </c>
      <c r="J37" s="10" t="s">
        <v>54</v>
      </c>
      <c r="K37" s="10" t="s">
        <v>25</v>
      </c>
      <c r="L37" s="10" t="s">
        <v>26</v>
      </c>
      <c r="M37" s="10" t="s">
        <v>225</v>
      </c>
      <c r="N37" s="11">
        <v>13765.72</v>
      </c>
      <c r="O37" s="12">
        <v>9</v>
      </c>
      <c r="P37" s="13">
        <v>0.15</v>
      </c>
      <c r="Q37" s="11">
        <v>-213.54</v>
      </c>
    </row>
    <row r="38" spans="1:17" x14ac:dyDescent="0.3">
      <c r="A38" s="2" t="s">
        <v>226</v>
      </c>
      <c r="B38" s="3">
        <v>45503</v>
      </c>
      <c r="C38" s="3">
        <v>45506</v>
      </c>
      <c r="D38" s="2" t="s">
        <v>18</v>
      </c>
      <c r="E38" s="2" t="s">
        <v>227</v>
      </c>
      <c r="F38" s="4" t="s">
        <v>228</v>
      </c>
      <c r="G38" s="4" t="s">
        <v>51</v>
      </c>
      <c r="H38" s="4" t="s">
        <v>98</v>
      </c>
      <c r="I38" s="4" t="s">
        <v>80</v>
      </c>
      <c r="J38" s="4" t="s">
        <v>54</v>
      </c>
      <c r="K38" s="4" t="s">
        <v>35</v>
      </c>
      <c r="L38" s="4" t="s">
        <v>229</v>
      </c>
      <c r="M38" s="4" t="s">
        <v>230</v>
      </c>
      <c r="N38" s="5">
        <v>126.76</v>
      </c>
      <c r="O38" s="6">
        <v>9</v>
      </c>
      <c r="P38" s="7">
        <v>0.15</v>
      </c>
      <c r="Q38" s="5">
        <v>50.31</v>
      </c>
    </row>
    <row r="39" spans="1:17" x14ac:dyDescent="0.3">
      <c r="A39" s="8" t="s">
        <v>231</v>
      </c>
      <c r="B39" s="9">
        <v>45004</v>
      </c>
      <c r="C39" s="9">
        <v>45011</v>
      </c>
      <c r="D39" s="8" t="s">
        <v>29</v>
      </c>
      <c r="E39" s="8" t="s">
        <v>232</v>
      </c>
      <c r="F39" s="10" t="s">
        <v>233</v>
      </c>
      <c r="G39" s="10" t="s">
        <v>21</v>
      </c>
      <c r="H39" s="10" t="s">
        <v>156</v>
      </c>
      <c r="I39" s="10" t="s">
        <v>157</v>
      </c>
      <c r="J39" s="10" t="s">
        <v>88</v>
      </c>
      <c r="K39" s="10" t="s">
        <v>25</v>
      </c>
      <c r="L39" s="10" t="s">
        <v>68</v>
      </c>
      <c r="M39" s="10" t="s">
        <v>234</v>
      </c>
      <c r="N39" s="11">
        <v>1083.1500000000001</v>
      </c>
      <c r="O39" s="12">
        <v>9</v>
      </c>
      <c r="P39" s="13">
        <v>0</v>
      </c>
      <c r="Q39" s="11">
        <v>409.48</v>
      </c>
    </row>
    <row r="40" spans="1:17" x14ac:dyDescent="0.3">
      <c r="A40" s="2" t="s">
        <v>235</v>
      </c>
      <c r="B40" s="3">
        <v>45128</v>
      </c>
      <c r="C40" s="3">
        <v>45133</v>
      </c>
      <c r="D40" s="2" t="s">
        <v>29</v>
      </c>
      <c r="E40" s="2" t="s">
        <v>236</v>
      </c>
      <c r="F40" s="4" t="s">
        <v>237</v>
      </c>
      <c r="G40" s="4" t="s">
        <v>51</v>
      </c>
      <c r="H40" s="4" t="s">
        <v>22</v>
      </c>
      <c r="I40" s="4" t="s">
        <v>23</v>
      </c>
      <c r="J40" s="4" t="s">
        <v>24</v>
      </c>
      <c r="K40" s="4" t="s">
        <v>25</v>
      </c>
      <c r="L40" s="4" t="s">
        <v>74</v>
      </c>
      <c r="M40" s="4" t="s">
        <v>238</v>
      </c>
      <c r="N40" s="5">
        <v>6402.16</v>
      </c>
      <c r="O40" s="6">
        <v>9</v>
      </c>
      <c r="P40" s="7">
        <v>0.1</v>
      </c>
      <c r="Q40" s="5">
        <v>2393.13</v>
      </c>
    </row>
    <row r="41" spans="1:17" x14ac:dyDescent="0.3">
      <c r="A41" s="8" t="s">
        <v>239</v>
      </c>
      <c r="B41" s="9">
        <v>44923</v>
      </c>
      <c r="C41" s="9">
        <v>44927</v>
      </c>
      <c r="D41" s="8" t="s">
        <v>73</v>
      </c>
      <c r="E41" s="8" t="s">
        <v>240</v>
      </c>
      <c r="F41" s="10" t="s">
        <v>241</v>
      </c>
      <c r="G41" s="10" t="s">
        <v>42</v>
      </c>
      <c r="H41" s="10" t="s">
        <v>115</v>
      </c>
      <c r="I41" s="10" t="s">
        <v>116</v>
      </c>
      <c r="J41" s="10" t="s">
        <v>54</v>
      </c>
      <c r="K41" s="10" t="s">
        <v>25</v>
      </c>
      <c r="L41" s="10" t="s">
        <v>26</v>
      </c>
      <c r="M41" s="10" t="s">
        <v>242</v>
      </c>
      <c r="N41" s="11">
        <v>1491.35</v>
      </c>
      <c r="O41" s="12">
        <v>10</v>
      </c>
      <c r="P41" s="13">
        <v>0.3</v>
      </c>
      <c r="Q41" s="11">
        <v>-57.14</v>
      </c>
    </row>
    <row r="42" spans="1:17" x14ac:dyDescent="0.3">
      <c r="A42" s="2" t="s">
        <v>243</v>
      </c>
      <c r="B42" s="3">
        <v>44433</v>
      </c>
      <c r="C42" s="3">
        <v>44436</v>
      </c>
      <c r="D42" s="2" t="s">
        <v>18</v>
      </c>
      <c r="E42" s="2" t="s">
        <v>244</v>
      </c>
      <c r="F42" s="4" t="s">
        <v>245</v>
      </c>
      <c r="G42" s="4" t="s">
        <v>42</v>
      </c>
      <c r="H42" s="4" t="s">
        <v>79</v>
      </c>
      <c r="I42" s="4" t="s">
        <v>80</v>
      </c>
      <c r="J42" s="4" t="s">
        <v>54</v>
      </c>
      <c r="K42" s="4" t="s">
        <v>35</v>
      </c>
      <c r="L42" s="4" t="s">
        <v>166</v>
      </c>
      <c r="M42" s="4" t="s">
        <v>246</v>
      </c>
      <c r="N42" s="5">
        <v>948.24</v>
      </c>
      <c r="O42" s="6">
        <v>8</v>
      </c>
      <c r="P42" s="7">
        <v>0</v>
      </c>
      <c r="Q42" s="5">
        <v>224.33</v>
      </c>
    </row>
    <row r="43" spans="1:17" x14ac:dyDescent="0.3">
      <c r="A43" s="8" t="s">
        <v>247</v>
      </c>
      <c r="B43" s="9">
        <v>44339</v>
      </c>
      <c r="C43" s="9">
        <v>44342</v>
      </c>
      <c r="D43" s="8" t="s">
        <v>18</v>
      </c>
      <c r="E43" s="8" t="s">
        <v>248</v>
      </c>
      <c r="F43" s="10" t="s">
        <v>249</v>
      </c>
      <c r="G43" s="10" t="s">
        <v>51</v>
      </c>
      <c r="H43" s="10" t="s">
        <v>250</v>
      </c>
      <c r="I43" s="10" t="s">
        <v>251</v>
      </c>
      <c r="J43" s="10" t="s">
        <v>88</v>
      </c>
      <c r="K43" s="10" t="s">
        <v>35</v>
      </c>
      <c r="L43" s="10" t="s">
        <v>81</v>
      </c>
      <c r="M43" s="10" t="s">
        <v>252</v>
      </c>
      <c r="N43" s="11">
        <v>70.040000000000006</v>
      </c>
      <c r="O43" s="12">
        <v>5</v>
      </c>
      <c r="P43" s="13">
        <v>0.2</v>
      </c>
      <c r="Q43" s="11">
        <v>30.62</v>
      </c>
    </row>
    <row r="44" spans="1:17" x14ac:dyDescent="0.3">
      <c r="A44" s="2" t="s">
        <v>253</v>
      </c>
      <c r="B44" s="3">
        <v>44335</v>
      </c>
      <c r="C44" s="3">
        <v>44338</v>
      </c>
      <c r="D44" s="2" t="s">
        <v>39</v>
      </c>
      <c r="E44" s="2" t="s">
        <v>169</v>
      </c>
      <c r="F44" s="4" t="s">
        <v>170</v>
      </c>
      <c r="G44" s="4" t="s">
        <v>21</v>
      </c>
      <c r="H44" s="4" t="s">
        <v>171</v>
      </c>
      <c r="I44" s="4" t="s">
        <v>172</v>
      </c>
      <c r="J44" s="4" t="s">
        <v>24</v>
      </c>
      <c r="K44" s="4" t="s">
        <v>25</v>
      </c>
      <c r="L44" s="4" t="s">
        <v>124</v>
      </c>
      <c r="M44" s="4" t="s">
        <v>254</v>
      </c>
      <c r="N44" s="5">
        <v>1230.48</v>
      </c>
      <c r="O44" s="6">
        <v>4</v>
      </c>
      <c r="P44" s="7">
        <v>0.1</v>
      </c>
      <c r="Q44" s="5">
        <v>258.8</v>
      </c>
    </row>
    <row r="45" spans="1:17" x14ac:dyDescent="0.3">
      <c r="A45" s="8" t="s">
        <v>255</v>
      </c>
      <c r="B45" s="9">
        <v>44748</v>
      </c>
      <c r="C45" s="9">
        <v>44754</v>
      </c>
      <c r="D45" s="8" t="s">
        <v>29</v>
      </c>
      <c r="E45" s="8" t="s">
        <v>201</v>
      </c>
      <c r="F45" s="10" t="s">
        <v>202</v>
      </c>
      <c r="G45" s="10" t="s">
        <v>21</v>
      </c>
      <c r="H45" s="10" t="s">
        <v>98</v>
      </c>
      <c r="I45" s="10" t="s">
        <v>80</v>
      </c>
      <c r="J45" s="10" t="s">
        <v>54</v>
      </c>
      <c r="K45" s="10" t="s">
        <v>25</v>
      </c>
      <c r="L45" s="10" t="s">
        <v>124</v>
      </c>
      <c r="M45" s="10" t="s">
        <v>256</v>
      </c>
      <c r="N45" s="11">
        <v>15292.94</v>
      </c>
      <c r="O45" s="12">
        <v>9</v>
      </c>
      <c r="P45" s="13">
        <v>0.2</v>
      </c>
      <c r="Q45" s="11">
        <v>-418.59</v>
      </c>
    </row>
    <row r="46" spans="1:17" x14ac:dyDescent="0.3">
      <c r="A46" s="2" t="s">
        <v>257</v>
      </c>
      <c r="B46" s="3">
        <v>45044</v>
      </c>
      <c r="C46" s="3">
        <v>45046</v>
      </c>
      <c r="D46" s="2" t="s">
        <v>39</v>
      </c>
      <c r="E46" s="2" t="s">
        <v>258</v>
      </c>
      <c r="F46" s="4" t="s">
        <v>259</v>
      </c>
      <c r="G46" s="4" t="s">
        <v>51</v>
      </c>
      <c r="H46" s="4" t="s">
        <v>260</v>
      </c>
      <c r="I46" s="4" t="s">
        <v>151</v>
      </c>
      <c r="J46" s="4" t="s">
        <v>34</v>
      </c>
      <c r="K46" s="4" t="s">
        <v>45</v>
      </c>
      <c r="L46" s="4" t="s">
        <v>61</v>
      </c>
      <c r="M46" s="4" t="s">
        <v>261</v>
      </c>
      <c r="N46" s="5">
        <v>2445.38</v>
      </c>
      <c r="O46" s="6">
        <v>8</v>
      </c>
      <c r="P46" s="7">
        <v>0.2</v>
      </c>
      <c r="Q46" s="5">
        <v>-296.52</v>
      </c>
    </row>
    <row r="47" spans="1:17" x14ac:dyDescent="0.3">
      <c r="A47" s="8" t="s">
        <v>262</v>
      </c>
      <c r="B47" s="9">
        <v>45347</v>
      </c>
      <c r="C47" s="9">
        <v>45348</v>
      </c>
      <c r="D47" s="8" t="s">
        <v>18</v>
      </c>
      <c r="E47" s="8" t="s">
        <v>175</v>
      </c>
      <c r="F47" s="10" t="s">
        <v>176</v>
      </c>
      <c r="G47" s="10" t="s">
        <v>51</v>
      </c>
      <c r="H47" s="10" t="s">
        <v>177</v>
      </c>
      <c r="I47" s="10" t="s">
        <v>178</v>
      </c>
      <c r="J47" s="10" t="s">
        <v>24</v>
      </c>
      <c r="K47" s="10" t="s">
        <v>25</v>
      </c>
      <c r="L47" s="10" t="s">
        <v>68</v>
      </c>
      <c r="M47" s="10" t="s">
        <v>263</v>
      </c>
      <c r="N47" s="11">
        <v>741.22</v>
      </c>
      <c r="O47" s="12">
        <v>7</v>
      </c>
      <c r="P47" s="13">
        <v>0.2</v>
      </c>
      <c r="Q47" s="11">
        <v>162.49</v>
      </c>
    </row>
    <row r="48" spans="1:17" x14ac:dyDescent="0.3">
      <c r="A48" s="2" t="s">
        <v>264</v>
      </c>
      <c r="B48" s="3">
        <v>44639</v>
      </c>
      <c r="C48" s="3">
        <v>44642</v>
      </c>
      <c r="D48" s="2" t="s">
        <v>39</v>
      </c>
      <c r="E48" s="2" t="s">
        <v>265</v>
      </c>
      <c r="F48" s="4" t="s">
        <v>266</v>
      </c>
      <c r="G48" s="4" t="s">
        <v>21</v>
      </c>
      <c r="H48" s="4" t="s">
        <v>171</v>
      </c>
      <c r="I48" s="4" t="s">
        <v>172</v>
      </c>
      <c r="J48" s="4" t="s">
        <v>24</v>
      </c>
      <c r="K48" s="4" t="s">
        <v>45</v>
      </c>
      <c r="L48" s="4" t="s">
        <v>117</v>
      </c>
      <c r="M48" s="4" t="s">
        <v>267</v>
      </c>
      <c r="N48" s="5">
        <v>511.68</v>
      </c>
      <c r="O48" s="6">
        <v>4</v>
      </c>
      <c r="P48" s="7">
        <v>0</v>
      </c>
      <c r="Q48" s="5">
        <v>134.91</v>
      </c>
    </row>
    <row r="49" spans="1:17" x14ac:dyDescent="0.3">
      <c r="A49" s="8" t="s">
        <v>268</v>
      </c>
      <c r="B49" s="9">
        <v>44492</v>
      </c>
      <c r="C49" s="9">
        <v>44493</v>
      </c>
      <c r="D49" s="8" t="s">
        <v>18</v>
      </c>
      <c r="E49" s="8" t="s">
        <v>77</v>
      </c>
      <c r="F49" s="10" t="s">
        <v>78</v>
      </c>
      <c r="G49" s="10" t="s">
        <v>21</v>
      </c>
      <c r="H49" s="10" t="s">
        <v>79</v>
      </c>
      <c r="I49" s="10" t="s">
        <v>80</v>
      </c>
      <c r="J49" s="10" t="s">
        <v>54</v>
      </c>
      <c r="K49" s="10" t="s">
        <v>45</v>
      </c>
      <c r="L49" s="10" t="s">
        <v>46</v>
      </c>
      <c r="M49" s="10" t="s">
        <v>269</v>
      </c>
      <c r="N49" s="11">
        <v>4417.08</v>
      </c>
      <c r="O49" s="12">
        <v>6</v>
      </c>
      <c r="P49" s="13">
        <v>0</v>
      </c>
      <c r="Q49" s="11">
        <v>1691.07</v>
      </c>
    </row>
    <row r="50" spans="1:17" x14ac:dyDescent="0.3">
      <c r="A50" s="2" t="s">
        <v>270</v>
      </c>
      <c r="B50" s="3">
        <v>44249</v>
      </c>
      <c r="C50" s="3">
        <v>44256</v>
      </c>
      <c r="D50" s="2" t="s">
        <v>29</v>
      </c>
      <c r="E50" s="2" t="s">
        <v>92</v>
      </c>
      <c r="F50" s="4" t="s">
        <v>93</v>
      </c>
      <c r="G50" s="4" t="s">
        <v>42</v>
      </c>
      <c r="H50" s="4" t="s">
        <v>43</v>
      </c>
      <c r="I50" s="4" t="s">
        <v>44</v>
      </c>
      <c r="J50" s="4" t="s">
        <v>24</v>
      </c>
      <c r="K50" s="4" t="s">
        <v>45</v>
      </c>
      <c r="L50" s="4" t="s">
        <v>117</v>
      </c>
      <c r="M50" s="4" t="s">
        <v>271</v>
      </c>
      <c r="N50" s="5">
        <v>1262.8499999999999</v>
      </c>
      <c r="O50" s="6">
        <v>5</v>
      </c>
      <c r="P50" s="7">
        <v>0</v>
      </c>
      <c r="Q50" s="5">
        <v>270.38</v>
      </c>
    </row>
    <row r="51" spans="1:17" x14ac:dyDescent="0.3">
      <c r="A51" s="8" t="s">
        <v>272</v>
      </c>
      <c r="B51" s="9">
        <v>44427</v>
      </c>
      <c r="C51" s="9">
        <v>44430</v>
      </c>
      <c r="D51" s="8" t="s">
        <v>73</v>
      </c>
      <c r="E51" s="8" t="s">
        <v>273</v>
      </c>
      <c r="F51" s="10" t="s">
        <v>274</v>
      </c>
      <c r="G51" s="10" t="s">
        <v>42</v>
      </c>
      <c r="H51" s="10" t="s">
        <v>171</v>
      </c>
      <c r="I51" s="10" t="s">
        <v>172</v>
      </c>
      <c r="J51" s="10" t="s">
        <v>24</v>
      </c>
      <c r="K51" s="10" t="s">
        <v>35</v>
      </c>
      <c r="L51" s="10" t="s">
        <v>110</v>
      </c>
      <c r="M51" s="10" t="s">
        <v>275</v>
      </c>
      <c r="N51" s="11">
        <v>249.35</v>
      </c>
      <c r="O51" s="12">
        <v>9</v>
      </c>
      <c r="P51" s="13">
        <v>0.3</v>
      </c>
      <c r="Q51" s="11">
        <v>55.84</v>
      </c>
    </row>
    <row r="52" spans="1:17" x14ac:dyDescent="0.3">
      <c r="A52" s="2" t="s">
        <v>276</v>
      </c>
      <c r="B52" s="3">
        <v>45489</v>
      </c>
      <c r="C52" s="3">
        <v>45491</v>
      </c>
      <c r="D52" s="2" t="s">
        <v>39</v>
      </c>
      <c r="E52" s="2" t="s">
        <v>277</v>
      </c>
      <c r="F52" s="4" t="s">
        <v>278</v>
      </c>
      <c r="G52" s="4" t="s">
        <v>21</v>
      </c>
      <c r="H52" s="4" t="s">
        <v>104</v>
      </c>
      <c r="I52" s="4" t="s">
        <v>105</v>
      </c>
      <c r="J52" s="4" t="s">
        <v>88</v>
      </c>
      <c r="K52" s="4" t="s">
        <v>35</v>
      </c>
      <c r="L52" s="4" t="s">
        <v>36</v>
      </c>
      <c r="M52" s="4" t="s">
        <v>279</v>
      </c>
      <c r="N52" s="5">
        <v>410.48</v>
      </c>
      <c r="O52" s="6">
        <v>3</v>
      </c>
      <c r="P52" s="7">
        <v>0.1</v>
      </c>
      <c r="Q52" s="5">
        <v>150.30000000000001</v>
      </c>
    </row>
    <row r="53" spans="1:17" x14ac:dyDescent="0.3">
      <c r="A53" s="8" t="s">
        <v>280</v>
      </c>
      <c r="B53" s="9">
        <v>44776</v>
      </c>
      <c r="C53" s="9">
        <v>44780</v>
      </c>
      <c r="D53" s="8" t="s">
        <v>73</v>
      </c>
      <c r="E53" s="8" t="s">
        <v>281</v>
      </c>
      <c r="F53" s="10" t="s">
        <v>282</v>
      </c>
      <c r="G53" s="10" t="s">
        <v>21</v>
      </c>
      <c r="H53" s="10" t="s">
        <v>250</v>
      </c>
      <c r="I53" s="10" t="s">
        <v>251</v>
      </c>
      <c r="J53" s="10" t="s">
        <v>88</v>
      </c>
      <c r="K53" s="10" t="s">
        <v>45</v>
      </c>
      <c r="L53" s="10" t="s">
        <v>61</v>
      </c>
      <c r="M53" s="10" t="s">
        <v>283</v>
      </c>
      <c r="N53" s="11">
        <v>7458.16</v>
      </c>
      <c r="O53" s="12">
        <v>10</v>
      </c>
      <c r="P53" s="13">
        <v>0.05</v>
      </c>
      <c r="Q53" s="11">
        <v>-229.51</v>
      </c>
    </row>
    <row r="54" spans="1:17" x14ac:dyDescent="0.3">
      <c r="A54" s="2" t="s">
        <v>284</v>
      </c>
      <c r="B54" s="3">
        <v>45649</v>
      </c>
      <c r="C54" s="3">
        <v>45653</v>
      </c>
      <c r="D54" s="2" t="s">
        <v>73</v>
      </c>
      <c r="E54" s="2" t="s">
        <v>132</v>
      </c>
      <c r="F54" s="4" t="s">
        <v>133</v>
      </c>
      <c r="G54" s="4" t="s">
        <v>21</v>
      </c>
      <c r="H54" s="4" t="s">
        <v>134</v>
      </c>
      <c r="I54" s="4" t="s">
        <v>87</v>
      </c>
      <c r="J54" s="4" t="s">
        <v>88</v>
      </c>
      <c r="K54" s="4" t="s">
        <v>45</v>
      </c>
      <c r="L54" s="4" t="s">
        <v>46</v>
      </c>
      <c r="M54" s="4" t="s">
        <v>285</v>
      </c>
      <c r="N54" s="5">
        <v>2265.15</v>
      </c>
      <c r="O54" s="6">
        <v>5</v>
      </c>
      <c r="P54" s="7">
        <v>0</v>
      </c>
      <c r="Q54" s="5">
        <v>915.31</v>
      </c>
    </row>
    <row r="55" spans="1:17" x14ac:dyDescent="0.3">
      <c r="A55" s="8" t="s">
        <v>286</v>
      </c>
      <c r="B55" s="9">
        <v>45048</v>
      </c>
      <c r="C55" s="9">
        <v>45050</v>
      </c>
      <c r="D55" s="8" t="s">
        <v>18</v>
      </c>
      <c r="E55" s="8" t="s">
        <v>236</v>
      </c>
      <c r="F55" s="10" t="s">
        <v>237</v>
      </c>
      <c r="G55" s="10" t="s">
        <v>51</v>
      </c>
      <c r="H55" s="10" t="s">
        <v>22</v>
      </c>
      <c r="I55" s="10" t="s">
        <v>23</v>
      </c>
      <c r="J55" s="10" t="s">
        <v>24</v>
      </c>
      <c r="K55" s="10" t="s">
        <v>35</v>
      </c>
      <c r="L55" s="10" t="s">
        <v>158</v>
      </c>
      <c r="M55" s="10" t="s">
        <v>287</v>
      </c>
      <c r="N55" s="11">
        <v>41.47</v>
      </c>
      <c r="O55" s="12">
        <v>3</v>
      </c>
      <c r="P55" s="13">
        <v>0.5</v>
      </c>
      <c r="Q55" s="11">
        <v>-9.86</v>
      </c>
    </row>
    <row r="56" spans="1:17" x14ac:dyDescent="0.3">
      <c r="A56" s="2" t="s">
        <v>288</v>
      </c>
      <c r="B56" s="3">
        <v>45287</v>
      </c>
      <c r="C56" s="3">
        <v>45292</v>
      </c>
      <c r="D56" s="2" t="s">
        <v>73</v>
      </c>
      <c r="E56" s="2" t="s">
        <v>289</v>
      </c>
      <c r="F56" s="4" t="s">
        <v>290</v>
      </c>
      <c r="G56" s="4" t="s">
        <v>51</v>
      </c>
      <c r="H56" s="4" t="s">
        <v>115</v>
      </c>
      <c r="I56" s="4" t="s">
        <v>116</v>
      </c>
      <c r="J56" s="4" t="s">
        <v>54</v>
      </c>
      <c r="K56" s="4" t="s">
        <v>45</v>
      </c>
      <c r="L56" s="4" t="s">
        <v>46</v>
      </c>
      <c r="M56" s="4" t="s">
        <v>291</v>
      </c>
      <c r="N56" s="5">
        <v>3066.84</v>
      </c>
      <c r="O56" s="6">
        <v>7</v>
      </c>
      <c r="P56" s="7">
        <v>0</v>
      </c>
      <c r="Q56" s="5">
        <v>1255.3499999999999</v>
      </c>
    </row>
    <row r="57" spans="1:17" x14ac:dyDescent="0.3">
      <c r="A57" s="8" t="s">
        <v>292</v>
      </c>
      <c r="B57" s="9">
        <v>44566</v>
      </c>
      <c r="C57" s="9">
        <v>44567</v>
      </c>
      <c r="D57" s="8" t="s">
        <v>18</v>
      </c>
      <c r="E57" s="8" t="s">
        <v>293</v>
      </c>
      <c r="F57" s="10" t="s">
        <v>294</v>
      </c>
      <c r="G57" s="10" t="s">
        <v>21</v>
      </c>
      <c r="H57" s="10" t="s">
        <v>193</v>
      </c>
      <c r="I57" s="10" t="s">
        <v>194</v>
      </c>
      <c r="J57" s="10" t="s">
        <v>34</v>
      </c>
      <c r="K57" s="10" t="s">
        <v>35</v>
      </c>
      <c r="L57" s="10" t="s">
        <v>295</v>
      </c>
      <c r="M57" s="10" t="s">
        <v>296</v>
      </c>
      <c r="N57" s="11">
        <v>393.36</v>
      </c>
      <c r="O57" s="12">
        <v>8</v>
      </c>
      <c r="P57" s="13">
        <v>0</v>
      </c>
      <c r="Q57" s="11">
        <v>206.75</v>
      </c>
    </row>
    <row r="58" spans="1:17" x14ac:dyDescent="0.3">
      <c r="A58" s="2" t="s">
        <v>297</v>
      </c>
      <c r="B58" s="3">
        <v>45169</v>
      </c>
      <c r="C58" s="3">
        <v>45173</v>
      </c>
      <c r="D58" s="2" t="s">
        <v>73</v>
      </c>
      <c r="E58" s="2" t="s">
        <v>298</v>
      </c>
      <c r="F58" s="4" t="s">
        <v>299</v>
      </c>
      <c r="G58" s="4" t="s">
        <v>21</v>
      </c>
      <c r="H58" s="4" t="s">
        <v>300</v>
      </c>
      <c r="I58" s="4" t="s">
        <v>184</v>
      </c>
      <c r="J58" s="4" t="s">
        <v>54</v>
      </c>
      <c r="K58" s="4" t="s">
        <v>45</v>
      </c>
      <c r="L58" s="4" t="s">
        <v>61</v>
      </c>
      <c r="M58" s="4" t="s">
        <v>301</v>
      </c>
      <c r="N58" s="5">
        <v>3169.82</v>
      </c>
      <c r="O58" s="6">
        <v>7</v>
      </c>
      <c r="P58" s="7">
        <v>0.4</v>
      </c>
      <c r="Q58" s="5">
        <v>-1743.04</v>
      </c>
    </row>
    <row r="59" spans="1:17" x14ac:dyDescent="0.3">
      <c r="A59" s="8" t="s">
        <v>302</v>
      </c>
      <c r="B59" s="9">
        <v>44604</v>
      </c>
      <c r="C59" s="9">
        <v>44606</v>
      </c>
      <c r="D59" s="8" t="s">
        <v>39</v>
      </c>
      <c r="E59" s="8" t="s">
        <v>303</v>
      </c>
      <c r="F59" s="10" t="s">
        <v>304</v>
      </c>
      <c r="G59" s="10" t="s">
        <v>42</v>
      </c>
      <c r="H59" s="10" t="s">
        <v>305</v>
      </c>
      <c r="I59" s="10" t="s">
        <v>306</v>
      </c>
      <c r="J59" s="10" t="s">
        <v>34</v>
      </c>
      <c r="K59" s="10" t="s">
        <v>35</v>
      </c>
      <c r="L59" s="10" t="s">
        <v>216</v>
      </c>
      <c r="M59" s="10" t="s">
        <v>307</v>
      </c>
      <c r="N59" s="11">
        <v>135.78</v>
      </c>
      <c r="O59" s="12">
        <v>3</v>
      </c>
      <c r="P59" s="13">
        <v>0</v>
      </c>
      <c r="Q59" s="11">
        <v>64.06</v>
      </c>
    </row>
    <row r="60" spans="1:17" x14ac:dyDescent="0.3">
      <c r="A60" s="2" t="s">
        <v>308</v>
      </c>
      <c r="B60" s="3">
        <v>44208</v>
      </c>
      <c r="C60" s="3">
        <v>44209</v>
      </c>
      <c r="D60" s="2" t="s">
        <v>18</v>
      </c>
      <c r="E60" s="2" t="s">
        <v>309</v>
      </c>
      <c r="F60" s="4" t="s">
        <v>310</v>
      </c>
      <c r="G60" s="4" t="s">
        <v>21</v>
      </c>
      <c r="H60" s="4" t="s">
        <v>115</v>
      </c>
      <c r="I60" s="4" t="s">
        <v>116</v>
      </c>
      <c r="J60" s="4" t="s">
        <v>54</v>
      </c>
      <c r="K60" s="4" t="s">
        <v>45</v>
      </c>
      <c r="L60" s="4" t="s">
        <v>99</v>
      </c>
      <c r="M60" s="4" t="s">
        <v>311</v>
      </c>
      <c r="N60" s="5">
        <v>280.98</v>
      </c>
      <c r="O60" s="6">
        <v>2</v>
      </c>
      <c r="P60" s="7">
        <v>0.2</v>
      </c>
      <c r="Q60" s="5">
        <v>40.22</v>
      </c>
    </row>
    <row r="61" spans="1:17" x14ac:dyDescent="0.3">
      <c r="A61" s="8" t="s">
        <v>312</v>
      </c>
      <c r="B61" s="9">
        <v>44878</v>
      </c>
      <c r="C61" s="9">
        <v>44884</v>
      </c>
      <c r="D61" s="8" t="s">
        <v>29</v>
      </c>
      <c r="E61" s="8" t="s">
        <v>313</v>
      </c>
      <c r="F61" s="10" t="s">
        <v>314</v>
      </c>
      <c r="G61" s="10" t="s">
        <v>42</v>
      </c>
      <c r="H61" s="10" t="s">
        <v>193</v>
      </c>
      <c r="I61" s="10" t="s">
        <v>194</v>
      </c>
      <c r="J61" s="10" t="s">
        <v>34</v>
      </c>
      <c r="K61" s="10" t="s">
        <v>25</v>
      </c>
      <c r="L61" s="10" t="s">
        <v>68</v>
      </c>
      <c r="M61" s="10" t="s">
        <v>315</v>
      </c>
      <c r="N61" s="11">
        <v>277.55</v>
      </c>
      <c r="O61" s="12">
        <v>2</v>
      </c>
      <c r="P61" s="13">
        <v>0.2</v>
      </c>
      <c r="Q61" s="11">
        <v>47.55</v>
      </c>
    </row>
    <row r="62" spans="1:17" x14ac:dyDescent="0.3">
      <c r="A62" s="2" t="s">
        <v>316</v>
      </c>
      <c r="B62" s="3">
        <v>44668</v>
      </c>
      <c r="C62" s="3">
        <v>44669</v>
      </c>
      <c r="D62" s="2" t="s">
        <v>18</v>
      </c>
      <c r="E62" s="2" t="s">
        <v>317</v>
      </c>
      <c r="F62" s="4" t="s">
        <v>318</v>
      </c>
      <c r="G62" s="4" t="s">
        <v>21</v>
      </c>
      <c r="H62" s="4" t="s">
        <v>319</v>
      </c>
      <c r="I62" s="4" t="s">
        <v>194</v>
      </c>
      <c r="J62" s="4" t="s">
        <v>34</v>
      </c>
      <c r="K62" s="4" t="s">
        <v>35</v>
      </c>
      <c r="L62" s="4" t="s">
        <v>166</v>
      </c>
      <c r="M62" s="4" t="s">
        <v>320</v>
      </c>
      <c r="N62" s="5">
        <v>391.67</v>
      </c>
      <c r="O62" s="6">
        <v>9</v>
      </c>
      <c r="P62" s="7">
        <v>0.3</v>
      </c>
      <c r="Q62" s="5">
        <v>-2.91</v>
      </c>
    </row>
    <row r="63" spans="1:17" x14ac:dyDescent="0.3">
      <c r="A63" s="8" t="s">
        <v>321</v>
      </c>
      <c r="B63" s="9">
        <v>45593</v>
      </c>
      <c r="C63" s="9">
        <v>45597</v>
      </c>
      <c r="D63" s="8" t="s">
        <v>73</v>
      </c>
      <c r="E63" s="8" t="s">
        <v>322</v>
      </c>
      <c r="F63" s="10" t="s">
        <v>323</v>
      </c>
      <c r="G63" s="10" t="s">
        <v>42</v>
      </c>
      <c r="H63" s="10" t="s">
        <v>324</v>
      </c>
      <c r="I63" s="10" t="s">
        <v>116</v>
      </c>
      <c r="J63" s="10" t="s">
        <v>54</v>
      </c>
      <c r="K63" s="10" t="s">
        <v>25</v>
      </c>
      <c r="L63" s="10" t="s">
        <v>26</v>
      </c>
      <c r="M63" s="10" t="s">
        <v>325</v>
      </c>
      <c r="N63" s="11">
        <v>1774.9</v>
      </c>
      <c r="O63" s="12">
        <v>8</v>
      </c>
      <c r="P63" s="13">
        <v>0.4</v>
      </c>
      <c r="Q63" s="11">
        <v>-589.53</v>
      </c>
    </row>
    <row r="64" spans="1:17" x14ac:dyDescent="0.3">
      <c r="A64" s="2" t="s">
        <v>326</v>
      </c>
      <c r="B64" s="3">
        <v>44380</v>
      </c>
      <c r="C64" s="3">
        <v>44384</v>
      </c>
      <c r="D64" s="2" t="s">
        <v>39</v>
      </c>
      <c r="E64" s="2" t="s">
        <v>309</v>
      </c>
      <c r="F64" s="4" t="s">
        <v>310</v>
      </c>
      <c r="G64" s="4" t="s">
        <v>21</v>
      </c>
      <c r="H64" s="4" t="s">
        <v>115</v>
      </c>
      <c r="I64" s="4" t="s">
        <v>116</v>
      </c>
      <c r="J64" s="4" t="s">
        <v>54</v>
      </c>
      <c r="K64" s="4" t="s">
        <v>35</v>
      </c>
      <c r="L64" s="4" t="s">
        <v>89</v>
      </c>
      <c r="M64" s="4" t="s">
        <v>327</v>
      </c>
      <c r="N64" s="5">
        <v>1250.93</v>
      </c>
      <c r="O64" s="6">
        <v>9</v>
      </c>
      <c r="P64" s="7">
        <v>0.2</v>
      </c>
      <c r="Q64" s="5">
        <v>333.8</v>
      </c>
    </row>
    <row r="65" spans="1:17" x14ac:dyDescent="0.3">
      <c r="A65" s="8" t="s">
        <v>328</v>
      </c>
      <c r="B65" s="9">
        <v>45062</v>
      </c>
      <c r="C65" s="9">
        <v>45064</v>
      </c>
      <c r="D65" s="8" t="s">
        <v>18</v>
      </c>
      <c r="E65" s="8" t="s">
        <v>329</v>
      </c>
      <c r="F65" s="10" t="s">
        <v>330</v>
      </c>
      <c r="G65" s="10" t="s">
        <v>42</v>
      </c>
      <c r="H65" s="10" t="s">
        <v>66</v>
      </c>
      <c r="I65" s="10" t="s">
        <v>67</v>
      </c>
      <c r="J65" s="10" t="s">
        <v>34</v>
      </c>
      <c r="K65" s="10" t="s">
        <v>45</v>
      </c>
      <c r="L65" s="10" t="s">
        <v>46</v>
      </c>
      <c r="M65" s="10" t="s">
        <v>331</v>
      </c>
      <c r="N65" s="11">
        <v>327.36</v>
      </c>
      <c r="O65" s="12">
        <v>1</v>
      </c>
      <c r="P65" s="13">
        <v>0.3</v>
      </c>
      <c r="Q65" s="11">
        <v>11.58</v>
      </c>
    </row>
    <row r="66" spans="1:17" x14ac:dyDescent="0.3">
      <c r="A66" s="2" t="s">
        <v>332</v>
      </c>
      <c r="B66" s="3">
        <v>44210</v>
      </c>
      <c r="C66" s="3">
        <v>44214</v>
      </c>
      <c r="D66" s="2" t="s">
        <v>73</v>
      </c>
      <c r="E66" s="2" t="s">
        <v>333</v>
      </c>
      <c r="F66" s="4" t="s">
        <v>334</v>
      </c>
      <c r="G66" s="4" t="s">
        <v>21</v>
      </c>
      <c r="H66" s="4" t="s">
        <v>335</v>
      </c>
      <c r="I66" s="4" t="s">
        <v>251</v>
      </c>
      <c r="J66" s="4" t="s">
        <v>88</v>
      </c>
      <c r="K66" s="4" t="s">
        <v>45</v>
      </c>
      <c r="L66" s="4" t="s">
        <v>46</v>
      </c>
      <c r="M66" s="4" t="s">
        <v>336</v>
      </c>
      <c r="N66" s="5">
        <v>4422.34</v>
      </c>
      <c r="O66" s="6">
        <v>8</v>
      </c>
      <c r="P66" s="7">
        <v>0.2</v>
      </c>
      <c r="Q66" s="5">
        <v>591.08000000000004</v>
      </c>
    </row>
    <row r="67" spans="1:17" x14ac:dyDescent="0.3">
      <c r="A67" s="8" t="s">
        <v>337</v>
      </c>
      <c r="B67" s="9">
        <v>45118</v>
      </c>
      <c r="C67" s="9">
        <v>45120</v>
      </c>
      <c r="D67" s="8" t="s">
        <v>18</v>
      </c>
      <c r="E67" s="8" t="s">
        <v>187</v>
      </c>
      <c r="F67" s="10" t="s">
        <v>188</v>
      </c>
      <c r="G67" s="10" t="s">
        <v>21</v>
      </c>
      <c r="H67" s="10" t="s">
        <v>22</v>
      </c>
      <c r="I67" s="10" t="s">
        <v>23</v>
      </c>
      <c r="J67" s="10" t="s">
        <v>24</v>
      </c>
      <c r="K67" s="10" t="s">
        <v>25</v>
      </c>
      <c r="L67" s="10" t="s">
        <v>74</v>
      </c>
      <c r="M67" s="10" t="s">
        <v>338</v>
      </c>
      <c r="N67" s="11">
        <v>2447.52</v>
      </c>
      <c r="O67" s="12">
        <v>8</v>
      </c>
      <c r="P67" s="13">
        <v>0.4</v>
      </c>
      <c r="Q67" s="11">
        <v>-32.06</v>
      </c>
    </row>
    <row r="68" spans="1:17" x14ac:dyDescent="0.3">
      <c r="A68" s="2" t="s">
        <v>339</v>
      </c>
      <c r="B68" s="3">
        <v>45513</v>
      </c>
      <c r="C68" s="3">
        <v>45518</v>
      </c>
      <c r="D68" s="2" t="s">
        <v>73</v>
      </c>
      <c r="E68" s="2" t="s">
        <v>340</v>
      </c>
      <c r="F68" s="4" t="s">
        <v>341</v>
      </c>
      <c r="G68" s="4" t="s">
        <v>21</v>
      </c>
      <c r="H68" s="4" t="s">
        <v>139</v>
      </c>
      <c r="I68" s="4" t="s">
        <v>140</v>
      </c>
      <c r="J68" s="4" t="s">
        <v>24</v>
      </c>
      <c r="K68" s="4" t="s">
        <v>25</v>
      </c>
      <c r="L68" s="4" t="s">
        <v>26</v>
      </c>
      <c r="M68" s="4" t="s">
        <v>342</v>
      </c>
      <c r="N68" s="5">
        <v>1428.52</v>
      </c>
      <c r="O68" s="6">
        <v>6</v>
      </c>
      <c r="P68" s="7">
        <v>0.4</v>
      </c>
      <c r="Q68" s="5">
        <v>-414.66</v>
      </c>
    </row>
    <row r="69" spans="1:17" x14ac:dyDescent="0.3">
      <c r="A69" s="8" t="s">
        <v>343</v>
      </c>
      <c r="B69" s="9">
        <v>44522</v>
      </c>
      <c r="C69" s="9">
        <v>44525</v>
      </c>
      <c r="D69" s="8" t="s">
        <v>73</v>
      </c>
      <c r="E69" s="8" t="s">
        <v>344</v>
      </c>
      <c r="F69" s="10" t="s">
        <v>345</v>
      </c>
      <c r="G69" s="10" t="s">
        <v>51</v>
      </c>
      <c r="H69" s="10" t="s">
        <v>346</v>
      </c>
      <c r="I69" s="10" t="s">
        <v>347</v>
      </c>
      <c r="J69" s="10" t="s">
        <v>88</v>
      </c>
      <c r="K69" s="10" t="s">
        <v>25</v>
      </c>
      <c r="L69" s="10" t="s">
        <v>26</v>
      </c>
      <c r="M69" s="10" t="s">
        <v>348</v>
      </c>
      <c r="N69" s="11">
        <v>8619.17</v>
      </c>
      <c r="O69" s="12">
        <v>7</v>
      </c>
      <c r="P69" s="13">
        <v>0</v>
      </c>
      <c r="Q69" s="11">
        <v>2351.41</v>
      </c>
    </row>
    <row r="70" spans="1:17" x14ac:dyDescent="0.3">
      <c r="A70" s="2" t="s">
        <v>349</v>
      </c>
      <c r="B70" s="3">
        <v>45355</v>
      </c>
      <c r="C70" s="3">
        <v>45358</v>
      </c>
      <c r="D70" s="2" t="s">
        <v>73</v>
      </c>
      <c r="E70" s="2" t="s">
        <v>350</v>
      </c>
      <c r="F70" s="4" t="s">
        <v>351</v>
      </c>
      <c r="G70" s="4" t="s">
        <v>42</v>
      </c>
      <c r="H70" s="4" t="s">
        <v>352</v>
      </c>
      <c r="I70" s="4" t="s">
        <v>306</v>
      </c>
      <c r="J70" s="4" t="s">
        <v>34</v>
      </c>
      <c r="K70" s="4" t="s">
        <v>25</v>
      </c>
      <c r="L70" s="4" t="s">
        <v>68</v>
      </c>
      <c r="M70" s="4" t="s">
        <v>353</v>
      </c>
      <c r="N70" s="5">
        <v>87.67</v>
      </c>
      <c r="O70" s="6">
        <v>1</v>
      </c>
      <c r="P70" s="7">
        <v>0</v>
      </c>
      <c r="Q70" s="5">
        <v>36.68</v>
      </c>
    </row>
    <row r="71" spans="1:17" x14ac:dyDescent="0.3">
      <c r="A71" s="8" t="s">
        <v>354</v>
      </c>
      <c r="B71" s="9">
        <v>44518</v>
      </c>
      <c r="C71" s="9">
        <v>44520</v>
      </c>
      <c r="D71" s="8" t="s">
        <v>39</v>
      </c>
      <c r="E71" s="8" t="s">
        <v>355</v>
      </c>
      <c r="F71" s="10" t="s">
        <v>356</v>
      </c>
      <c r="G71" s="10" t="s">
        <v>21</v>
      </c>
      <c r="H71" s="10" t="s">
        <v>357</v>
      </c>
      <c r="I71" s="10" t="s">
        <v>251</v>
      </c>
      <c r="J71" s="10" t="s">
        <v>88</v>
      </c>
      <c r="K71" s="10" t="s">
        <v>25</v>
      </c>
      <c r="L71" s="10" t="s">
        <v>68</v>
      </c>
      <c r="M71" s="10" t="s">
        <v>358</v>
      </c>
      <c r="N71" s="11">
        <v>794.92</v>
      </c>
      <c r="O71" s="12">
        <v>8</v>
      </c>
      <c r="P71" s="13">
        <v>0.3</v>
      </c>
      <c r="Q71" s="11">
        <v>198.48</v>
      </c>
    </row>
    <row r="72" spans="1:17" x14ac:dyDescent="0.3">
      <c r="A72" s="2" t="s">
        <v>359</v>
      </c>
      <c r="B72" s="3">
        <v>44780</v>
      </c>
      <c r="C72" s="3">
        <v>44783</v>
      </c>
      <c r="D72" s="2" t="s">
        <v>18</v>
      </c>
      <c r="E72" s="2" t="s">
        <v>360</v>
      </c>
      <c r="F72" s="4" t="s">
        <v>361</v>
      </c>
      <c r="G72" s="4" t="s">
        <v>42</v>
      </c>
      <c r="H72" s="4" t="s">
        <v>346</v>
      </c>
      <c r="I72" s="4" t="s">
        <v>347</v>
      </c>
      <c r="J72" s="4" t="s">
        <v>88</v>
      </c>
      <c r="K72" s="4" t="s">
        <v>35</v>
      </c>
      <c r="L72" s="4" t="s">
        <v>158</v>
      </c>
      <c r="M72" s="4" t="s">
        <v>362</v>
      </c>
      <c r="N72" s="5">
        <v>150.86000000000001</v>
      </c>
      <c r="O72" s="6">
        <v>3</v>
      </c>
      <c r="P72" s="7">
        <v>0.4</v>
      </c>
      <c r="Q72" s="5">
        <v>-2.4500000000000002</v>
      </c>
    </row>
    <row r="73" spans="1:17" x14ac:dyDescent="0.3">
      <c r="A73" s="8" t="s">
        <v>363</v>
      </c>
      <c r="B73" s="9">
        <v>44478</v>
      </c>
      <c r="C73" s="9">
        <v>44484</v>
      </c>
      <c r="D73" s="8" t="s">
        <v>29</v>
      </c>
      <c r="E73" s="8" t="s">
        <v>364</v>
      </c>
      <c r="F73" s="10" t="s">
        <v>365</v>
      </c>
      <c r="G73" s="10" t="s">
        <v>42</v>
      </c>
      <c r="H73" s="10" t="s">
        <v>193</v>
      </c>
      <c r="I73" s="10" t="s">
        <v>194</v>
      </c>
      <c r="J73" s="10" t="s">
        <v>34</v>
      </c>
      <c r="K73" s="10" t="s">
        <v>45</v>
      </c>
      <c r="L73" s="10" t="s">
        <v>46</v>
      </c>
      <c r="M73" s="10" t="s">
        <v>366</v>
      </c>
      <c r="N73" s="11">
        <v>526.05999999999995</v>
      </c>
      <c r="O73" s="12">
        <v>2</v>
      </c>
      <c r="P73" s="13">
        <v>0.15</v>
      </c>
      <c r="Q73" s="11">
        <v>94.92</v>
      </c>
    </row>
    <row r="74" spans="1:17" x14ac:dyDescent="0.3">
      <c r="A74" s="2" t="s">
        <v>367</v>
      </c>
      <c r="B74" s="3">
        <v>45606</v>
      </c>
      <c r="C74" s="3">
        <v>45608</v>
      </c>
      <c r="D74" s="2" t="s">
        <v>39</v>
      </c>
      <c r="E74" s="2" t="s">
        <v>210</v>
      </c>
      <c r="F74" s="4" t="s">
        <v>211</v>
      </c>
      <c r="G74" s="4" t="s">
        <v>42</v>
      </c>
      <c r="H74" s="4" t="s">
        <v>86</v>
      </c>
      <c r="I74" s="4" t="s">
        <v>87</v>
      </c>
      <c r="J74" s="4" t="s">
        <v>88</v>
      </c>
      <c r="K74" s="4" t="s">
        <v>35</v>
      </c>
      <c r="L74" s="4" t="s">
        <v>110</v>
      </c>
      <c r="M74" s="4" t="s">
        <v>368</v>
      </c>
      <c r="N74" s="5">
        <v>150.38999999999999</v>
      </c>
      <c r="O74" s="6">
        <v>5</v>
      </c>
      <c r="P74" s="7">
        <v>0.1</v>
      </c>
      <c r="Q74" s="5">
        <v>53.53</v>
      </c>
    </row>
    <row r="75" spans="1:17" x14ac:dyDescent="0.3">
      <c r="A75" s="8" t="s">
        <v>369</v>
      </c>
      <c r="B75" s="9">
        <v>44591</v>
      </c>
      <c r="C75" s="9">
        <v>44594</v>
      </c>
      <c r="D75" s="8" t="s">
        <v>39</v>
      </c>
      <c r="E75" s="8" t="s">
        <v>370</v>
      </c>
      <c r="F75" s="10" t="s">
        <v>371</v>
      </c>
      <c r="G75" s="10" t="s">
        <v>51</v>
      </c>
      <c r="H75" s="10" t="s">
        <v>372</v>
      </c>
      <c r="I75" s="10" t="s">
        <v>373</v>
      </c>
      <c r="J75" s="10" t="s">
        <v>34</v>
      </c>
      <c r="K75" s="10" t="s">
        <v>45</v>
      </c>
      <c r="L75" s="10" t="s">
        <v>99</v>
      </c>
      <c r="M75" s="10" t="s">
        <v>374</v>
      </c>
      <c r="N75" s="11">
        <v>67.78</v>
      </c>
      <c r="O75" s="12">
        <v>5</v>
      </c>
      <c r="P75" s="13">
        <v>0.05</v>
      </c>
      <c r="Q75" s="11">
        <v>21.31</v>
      </c>
    </row>
    <row r="76" spans="1:17" x14ac:dyDescent="0.3">
      <c r="A76" s="2" t="s">
        <v>375</v>
      </c>
      <c r="B76" s="3">
        <v>45250</v>
      </c>
      <c r="C76" s="3">
        <v>45255</v>
      </c>
      <c r="D76" s="2" t="s">
        <v>29</v>
      </c>
      <c r="E76" s="2" t="s">
        <v>376</v>
      </c>
      <c r="F76" s="4" t="s">
        <v>377</v>
      </c>
      <c r="G76" s="4" t="s">
        <v>42</v>
      </c>
      <c r="H76" s="4" t="s">
        <v>122</v>
      </c>
      <c r="I76" s="4" t="s">
        <v>123</v>
      </c>
      <c r="J76" s="4" t="s">
        <v>24</v>
      </c>
      <c r="K76" s="4" t="s">
        <v>25</v>
      </c>
      <c r="L76" s="4" t="s">
        <v>124</v>
      </c>
      <c r="M76" s="4" t="s">
        <v>378</v>
      </c>
      <c r="N76" s="5">
        <v>6738.84</v>
      </c>
      <c r="O76" s="6">
        <v>5</v>
      </c>
      <c r="P76" s="7">
        <v>0.1</v>
      </c>
      <c r="Q76" s="5">
        <v>1036</v>
      </c>
    </row>
    <row r="77" spans="1:17" x14ac:dyDescent="0.3">
      <c r="A77" s="8" t="s">
        <v>379</v>
      </c>
      <c r="B77" s="9">
        <v>44433</v>
      </c>
      <c r="C77" s="9">
        <v>44438</v>
      </c>
      <c r="D77" s="8" t="s">
        <v>73</v>
      </c>
      <c r="E77" s="8" t="s">
        <v>380</v>
      </c>
      <c r="F77" s="10" t="s">
        <v>381</v>
      </c>
      <c r="G77" s="10" t="s">
        <v>51</v>
      </c>
      <c r="H77" s="10" t="s">
        <v>156</v>
      </c>
      <c r="I77" s="10" t="s">
        <v>157</v>
      </c>
      <c r="J77" s="10" t="s">
        <v>88</v>
      </c>
      <c r="K77" s="10" t="s">
        <v>45</v>
      </c>
      <c r="L77" s="10" t="s">
        <v>99</v>
      </c>
      <c r="M77" s="10" t="s">
        <v>382</v>
      </c>
      <c r="N77" s="11">
        <v>39.89</v>
      </c>
      <c r="O77" s="12">
        <v>2</v>
      </c>
      <c r="P77" s="13">
        <v>0.5</v>
      </c>
      <c r="Q77" s="11">
        <v>-16.579999999999998</v>
      </c>
    </row>
    <row r="78" spans="1:17" x14ac:dyDescent="0.3">
      <c r="A78" s="2" t="s">
        <v>383</v>
      </c>
      <c r="B78" s="3">
        <v>44332</v>
      </c>
      <c r="C78" s="3">
        <v>44336</v>
      </c>
      <c r="D78" s="2" t="s">
        <v>73</v>
      </c>
      <c r="E78" s="2" t="s">
        <v>384</v>
      </c>
      <c r="F78" s="4" t="s">
        <v>385</v>
      </c>
      <c r="G78" s="4" t="s">
        <v>51</v>
      </c>
      <c r="H78" s="4" t="s">
        <v>386</v>
      </c>
      <c r="I78" s="4" t="s">
        <v>347</v>
      </c>
      <c r="J78" s="4" t="s">
        <v>88</v>
      </c>
      <c r="K78" s="4" t="s">
        <v>45</v>
      </c>
      <c r="L78" s="4" t="s">
        <v>99</v>
      </c>
      <c r="M78" s="4" t="s">
        <v>387</v>
      </c>
      <c r="N78" s="5">
        <v>724.05</v>
      </c>
      <c r="O78" s="6">
        <v>4</v>
      </c>
      <c r="P78" s="7">
        <v>0.05</v>
      </c>
      <c r="Q78" s="5">
        <v>174.35</v>
      </c>
    </row>
    <row r="79" spans="1:17" x14ac:dyDescent="0.3">
      <c r="A79" s="8" t="s">
        <v>388</v>
      </c>
      <c r="B79" s="9">
        <v>45063</v>
      </c>
      <c r="C79" s="9">
        <v>45066</v>
      </c>
      <c r="D79" s="8" t="s">
        <v>18</v>
      </c>
      <c r="E79" s="8" t="s">
        <v>389</v>
      </c>
      <c r="F79" s="10" t="s">
        <v>390</v>
      </c>
      <c r="G79" s="10" t="s">
        <v>51</v>
      </c>
      <c r="H79" s="10" t="s">
        <v>59</v>
      </c>
      <c r="I79" s="10" t="s">
        <v>60</v>
      </c>
      <c r="J79" s="10"/>
      <c r="K79" s="10" t="s">
        <v>45</v>
      </c>
      <c r="L79" s="10" t="s">
        <v>99</v>
      </c>
      <c r="M79" s="10" t="s">
        <v>391</v>
      </c>
      <c r="N79" s="11">
        <v>856</v>
      </c>
      <c r="O79" s="12">
        <v>10</v>
      </c>
      <c r="P79" s="13">
        <v>0</v>
      </c>
      <c r="Q79" s="11">
        <v>334.98</v>
      </c>
    </row>
    <row r="80" spans="1:17" x14ac:dyDescent="0.3">
      <c r="A80" s="2" t="s">
        <v>392</v>
      </c>
      <c r="B80" s="3">
        <v>45586</v>
      </c>
      <c r="C80" s="3">
        <v>45588</v>
      </c>
      <c r="D80" s="2" t="s">
        <v>18</v>
      </c>
      <c r="E80" s="2" t="s">
        <v>102</v>
      </c>
      <c r="F80" s="4" t="s">
        <v>103</v>
      </c>
      <c r="G80" s="4" t="s">
        <v>42</v>
      </c>
      <c r="H80" s="4" t="s">
        <v>104</v>
      </c>
      <c r="I80" s="4" t="s">
        <v>105</v>
      </c>
      <c r="J80" s="4" t="s">
        <v>88</v>
      </c>
      <c r="K80" s="4" t="s">
        <v>25</v>
      </c>
      <c r="L80" s="4" t="s">
        <v>124</v>
      </c>
      <c r="M80" s="4" t="s">
        <v>393</v>
      </c>
      <c r="N80" s="5">
        <v>1707.23</v>
      </c>
      <c r="O80" s="6">
        <v>4</v>
      </c>
      <c r="P80" s="7">
        <v>0.2</v>
      </c>
      <c r="Q80" s="5">
        <v>162.24</v>
      </c>
    </row>
    <row r="81" spans="1:17" x14ac:dyDescent="0.3">
      <c r="A81" s="8" t="s">
        <v>394</v>
      </c>
      <c r="B81" s="9">
        <v>45316</v>
      </c>
      <c r="C81" s="9">
        <v>45320</v>
      </c>
      <c r="D81" s="8" t="s">
        <v>39</v>
      </c>
      <c r="E81" s="8" t="s">
        <v>395</v>
      </c>
      <c r="F81" s="10" t="s">
        <v>396</v>
      </c>
      <c r="G81" s="10" t="s">
        <v>21</v>
      </c>
      <c r="H81" s="10" t="s">
        <v>397</v>
      </c>
      <c r="I81" s="10" t="s">
        <v>33</v>
      </c>
      <c r="J81" s="10" t="s">
        <v>34</v>
      </c>
      <c r="K81" s="10" t="s">
        <v>35</v>
      </c>
      <c r="L81" s="10" t="s">
        <v>295</v>
      </c>
      <c r="M81" s="10" t="s">
        <v>398</v>
      </c>
      <c r="N81" s="11">
        <v>117.65</v>
      </c>
      <c r="O81" s="12">
        <v>3</v>
      </c>
      <c r="P81" s="13">
        <v>0.05</v>
      </c>
      <c r="Q81" s="11">
        <v>48.96</v>
      </c>
    </row>
    <row r="82" spans="1:17" x14ac:dyDescent="0.3">
      <c r="A82" s="2" t="s">
        <v>399</v>
      </c>
      <c r="B82" s="3">
        <v>45351</v>
      </c>
      <c r="C82" s="3">
        <v>45356</v>
      </c>
      <c r="D82" s="2" t="s">
        <v>29</v>
      </c>
      <c r="E82" s="2" t="s">
        <v>400</v>
      </c>
      <c r="F82" s="4" t="s">
        <v>401</v>
      </c>
      <c r="G82" s="4" t="s">
        <v>21</v>
      </c>
      <c r="H82" s="4" t="s">
        <v>129</v>
      </c>
      <c r="I82" s="4" t="s">
        <v>33</v>
      </c>
      <c r="J82" s="4" t="s">
        <v>34</v>
      </c>
      <c r="K82" s="4" t="s">
        <v>25</v>
      </c>
      <c r="L82" s="4" t="s">
        <v>124</v>
      </c>
      <c r="M82" s="4" t="s">
        <v>402</v>
      </c>
      <c r="N82" s="5">
        <v>4667.2</v>
      </c>
      <c r="O82" s="6">
        <v>10</v>
      </c>
      <c r="P82" s="7">
        <v>0.5</v>
      </c>
      <c r="Q82" s="5">
        <v>-2091.08</v>
      </c>
    </row>
    <row r="83" spans="1:17" x14ac:dyDescent="0.3">
      <c r="A83" s="8" t="s">
        <v>403</v>
      </c>
      <c r="B83" s="9">
        <v>44927</v>
      </c>
      <c r="C83" s="9">
        <v>44929</v>
      </c>
      <c r="D83" s="8" t="s">
        <v>39</v>
      </c>
      <c r="E83" s="8" t="s">
        <v>92</v>
      </c>
      <c r="F83" s="10" t="s">
        <v>93</v>
      </c>
      <c r="G83" s="10" t="s">
        <v>42</v>
      </c>
      <c r="H83" s="10" t="s">
        <v>43</v>
      </c>
      <c r="I83" s="10" t="s">
        <v>44</v>
      </c>
      <c r="J83" s="10" t="s">
        <v>24</v>
      </c>
      <c r="K83" s="10" t="s">
        <v>45</v>
      </c>
      <c r="L83" s="10" t="s">
        <v>61</v>
      </c>
      <c r="M83" s="10" t="s">
        <v>404</v>
      </c>
      <c r="N83" s="11">
        <v>1617.17</v>
      </c>
      <c r="O83" s="12">
        <v>2</v>
      </c>
      <c r="P83" s="13">
        <v>0.05</v>
      </c>
      <c r="Q83" s="11">
        <v>163.07</v>
      </c>
    </row>
    <row r="84" spans="1:17" x14ac:dyDescent="0.3">
      <c r="A84" s="2" t="s">
        <v>405</v>
      </c>
      <c r="B84" s="3">
        <v>44782</v>
      </c>
      <c r="C84" s="3">
        <v>44783</v>
      </c>
      <c r="D84" s="2" t="s">
        <v>18</v>
      </c>
      <c r="E84" s="2" t="s">
        <v>406</v>
      </c>
      <c r="F84" s="4" t="s">
        <v>407</v>
      </c>
      <c r="G84" s="4" t="s">
        <v>42</v>
      </c>
      <c r="H84" s="4" t="s">
        <v>165</v>
      </c>
      <c r="I84" s="4" t="s">
        <v>44</v>
      </c>
      <c r="J84" s="4" t="s">
        <v>24</v>
      </c>
      <c r="K84" s="4" t="s">
        <v>25</v>
      </c>
      <c r="L84" s="4" t="s">
        <v>124</v>
      </c>
      <c r="M84" s="4" t="s">
        <v>408</v>
      </c>
      <c r="N84" s="5">
        <v>5694.02</v>
      </c>
      <c r="O84" s="6">
        <v>3</v>
      </c>
      <c r="P84" s="7">
        <v>0.5</v>
      </c>
      <c r="Q84" s="5">
        <v>-2040.57</v>
      </c>
    </row>
    <row r="85" spans="1:17" x14ac:dyDescent="0.3">
      <c r="A85" s="8" t="s">
        <v>409</v>
      </c>
      <c r="B85" s="9">
        <v>44856</v>
      </c>
      <c r="C85" s="9">
        <v>44861</v>
      </c>
      <c r="D85" s="8" t="s">
        <v>73</v>
      </c>
      <c r="E85" s="8" t="s">
        <v>410</v>
      </c>
      <c r="F85" s="10" t="s">
        <v>411</v>
      </c>
      <c r="G85" s="10" t="s">
        <v>42</v>
      </c>
      <c r="H85" s="10" t="s">
        <v>412</v>
      </c>
      <c r="I85" s="10" t="s">
        <v>178</v>
      </c>
      <c r="J85" s="10" t="s">
        <v>24</v>
      </c>
      <c r="K85" s="10" t="s">
        <v>35</v>
      </c>
      <c r="L85" s="10" t="s">
        <v>158</v>
      </c>
      <c r="M85" s="10" t="s">
        <v>413</v>
      </c>
      <c r="N85" s="11">
        <v>301.56</v>
      </c>
      <c r="O85" s="12">
        <v>3</v>
      </c>
      <c r="P85" s="13">
        <v>0.05</v>
      </c>
      <c r="Q85" s="11">
        <v>122.72</v>
      </c>
    </row>
    <row r="86" spans="1:17" x14ac:dyDescent="0.3">
      <c r="A86" s="2" t="s">
        <v>414</v>
      </c>
      <c r="B86" s="3">
        <v>44476</v>
      </c>
      <c r="C86" s="3">
        <v>44479</v>
      </c>
      <c r="D86" s="2" t="s">
        <v>39</v>
      </c>
      <c r="E86" s="2" t="s">
        <v>415</v>
      </c>
      <c r="F86" s="4" t="s">
        <v>416</v>
      </c>
      <c r="G86" s="4" t="s">
        <v>42</v>
      </c>
      <c r="H86" s="4" t="s">
        <v>417</v>
      </c>
      <c r="I86" s="4" t="s">
        <v>123</v>
      </c>
      <c r="J86" s="4" t="s">
        <v>24</v>
      </c>
      <c r="K86" s="4" t="s">
        <v>35</v>
      </c>
      <c r="L86" s="4" t="s">
        <v>295</v>
      </c>
      <c r="M86" s="4" t="s">
        <v>418</v>
      </c>
      <c r="N86" s="5">
        <v>122.45</v>
      </c>
      <c r="O86" s="6">
        <v>5</v>
      </c>
      <c r="P86" s="7">
        <v>0</v>
      </c>
      <c r="Q86" s="5">
        <v>71.02</v>
      </c>
    </row>
    <row r="87" spans="1:17" x14ac:dyDescent="0.3">
      <c r="A87" s="8" t="s">
        <v>419</v>
      </c>
      <c r="B87" s="9">
        <v>45001</v>
      </c>
      <c r="C87" s="9">
        <v>45006</v>
      </c>
      <c r="D87" s="8" t="s">
        <v>29</v>
      </c>
      <c r="E87" s="8" t="s">
        <v>420</v>
      </c>
      <c r="F87" s="10" t="s">
        <v>421</v>
      </c>
      <c r="G87" s="10" t="s">
        <v>51</v>
      </c>
      <c r="H87" s="10" t="s">
        <v>422</v>
      </c>
      <c r="I87" s="10" t="s">
        <v>423</v>
      </c>
      <c r="J87" s="10" t="s">
        <v>88</v>
      </c>
      <c r="K87" s="10" t="s">
        <v>45</v>
      </c>
      <c r="L87" s="10" t="s">
        <v>46</v>
      </c>
      <c r="M87" s="10" t="s">
        <v>424</v>
      </c>
      <c r="N87" s="11">
        <v>1296.24</v>
      </c>
      <c r="O87" s="12">
        <v>8</v>
      </c>
      <c r="P87" s="13">
        <v>0</v>
      </c>
      <c r="Q87" s="11">
        <v>394.33</v>
      </c>
    </row>
    <row r="88" spans="1:17" x14ac:dyDescent="0.3">
      <c r="A88" s="2" t="s">
        <v>425</v>
      </c>
      <c r="B88" s="3">
        <v>45048</v>
      </c>
      <c r="C88" s="3">
        <v>45053</v>
      </c>
      <c r="D88" s="2" t="s">
        <v>29</v>
      </c>
      <c r="E88" s="2" t="s">
        <v>426</v>
      </c>
      <c r="F88" s="4" t="s">
        <v>427</v>
      </c>
      <c r="G88" s="4" t="s">
        <v>42</v>
      </c>
      <c r="H88" s="4" t="s">
        <v>412</v>
      </c>
      <c r="I88" s="4" t="s">
        <v>178</v>
      </c>
      <c r="J88" s="4" t="s">
        <v>24</v>
      </c>
      <c r="K88" s="4" t="s">
        <v>35</v>
      </c>
      <c r="L88" s="4" t="s">
        <v>166</v>
      </c>
      <c r="M88" s="4" t="s">
        <v>428</v>
      </c>
      <c r="N88" s="5">
        <v>15.64</v>
      </c>
      <c r="O88" s="6">
        <v>1</v>
      </c>
      <c r="P88" s="7">
        <v>0.3</v>
      </c>
      <c r="Q88" s="5">
        <v>1.42</v>
      </c>
    </row>
    <row r="89" spans="1:17" x14ac:dyDescent="0.3">
      <c r="A89" s="8" t="s">
        <v>429</v>
      </c>
      <c r="B89" s="9">
        <v>45243</v>
      </c>
      <c r="C89" s="9">
        <v>45245</v>
      </c>
      <c r="D89" s="8" t="s">
        <v>39</v>
      </c>
      <c r="E89" s="8" t="s">
        <v>108</v>
      </c>
      <c r="F89" s="10" t="s">
        <v>109</v>
      </c>
      <c r="G89" s="10" t="s">
        <v>21</v>
      </c>
      <c r="H89" s="10" t="s">
        <v>22</v>
      </c>
      <c r="I89" s="10" t="s">
        <v>23</v>
      </c>
      <c r="J89" s="10" t="s">
        <v>24</v>
      </c>
      <c r="K89" s="10" t="s">
        <v>25</v>
      </c>
      <c r="L89" s="10" t="s">
        <v>68</v>
      </c>
      <c r="M89" s="10" t="s">
        <v>430</v>
      </c>
      <c r="N89" s="11">
        <v>599.6</v>
      </c>
      <c r="O89" s="12">
        <v>10</v>
      </c>
      <c r="P89" s="13">
        <v>0</v>
      </c>
      <c r="Q89" s="11">
        <v>240.21</v>
      </c>
    </row>
    <row r="90" spans="1:17" x14ac:dyDescent="0.3">
      <c r="A90" s="2" t="s">
        <v>431</v>
      </c>
      <c r="B90" s="3">
        <v>44401</v>
      </c>
      <c r="C90" s="3">
        <v>44404</v>
      </c>
      <c r="D90" s="2" t="s">
        <v>73</v>
      </c>
      <c r="E90" s="2" t="s">
        <v>432</v>
      </c>
      <c r="F90" s="4" t="s">
        <v>433</v>
      </c>
      <c r="G90" s="4" t="s">
        <v>51</v>
      </c>
      <c r="H90" s="4" t="s">
        <v>171</v>
      </c>
      <c r="I90" s="4" t="s">
        <v>172</v>
      </c>
      <c r="J90" s="4" t="s">
        <v>24</v>
      </c>
      <c r="K90" s="4" t="s">
        <v>25</v>
      </c>
      <c r="L90" s="4" t="s">
        <v>124</v>
      </c>
      <c r="M90" s="4" t="s">
        <v>434</v>
      </c>
      <c r="N90" s="5">
        <v>8954.91</v>
      </c>
      <c r="O90" s="6">
        <v>5</v>
      </c>
      <c r="P90" s="7">
        <v>0.1</v>
      </c>
      <c r="Q90" s="5">
        <v>1549.35</v>
      </c>
    </row>
    <row r="91" spans="1:17" x14ac:dyDescent="0.3">
      <c r="A91" s="8" t="s">
        <v>435</v>
      </c>
      <c r="B91" s="9">
        <v>45627</v>
      </c>
      <c r="C91" s="9">
        <v>45632</v>
      </c>
      <c r="D91" s="8" t="s">
        <v>29</v>
      </c>
      <c r="E91" s="8" t="s">
        <v>436</v>
      </c>
      <c r="F91" s="10" t="s">
        <v>437</v>
      </c>
      <c r="G91" s="10" t="s">
        <v>51</v>
      </c>
      <c r="H91" s="10" t="s">
        <v>438</v>
      </c>
      <c r="I91" s="10" t="s">
        <v>157</v>
      </c>
      <c r="J91" s="10" t="s">
        <v>88</v>
      </c>
      <c r="K91" s="10" t="s">
        <v>25</v>
      </c>
      <c r="L91" s="10" t="s">
        <v>74</v>
      </c>
      <c r="M91" s="10" t="s">
        <v>439</v>
      </c>
      <c r="N91" s="11">
        <v>573.79</v>
      </c>
      <c r="O91" s="12">
        <v>3</v>
      </c>
      <c r="P91" s="13">
        <v>0.5</v>
      </c>
      <c r="Q91" s="11">
        <v>-63.45</v>
      </c>
    </row>
    <row r="92" spans="1:17" x14ac:dyDescent="0.3">
      <c r="A92" s="2" t="s">
        <v>440</v>
      </c>
      <c r="B92" s="3">
        <v>44460</v>
      </c>
      <c r="C92" s="3">
        <v>44465</v>
      </c>
      <c r="D92" s="2" t="s">
        <v>73</v>
      </c>
      <c r="E92" s="2" t="s">
        <v>441</v>
      </c>
      <c r="F92" s="4" t="s">
        <v>442</v>
      </c>
      <c r="G92" s="4" t="s">
        <v>21</v>
      </c>
      <c r="H92" s="4" t="s">
        <v>98</v>
      </c>
      <c r="I92" s="4" t="s">
        <v>80</v>
      </c>
      <c r="J92" s="4" t="s">
        <v>54</v>
      </c>
      <c r="K92" s="4" t="s">
        <v>25</v>
      </c>
      <c r="L92" s="4" t="s">
        <v>124</v>
      </c>
      <c r="M92" s="4" t="s">
        <v>443</v>
      </c>
      <c r="N92" s="5">
        <v>2173.96</v>
      </c>
      <c r="O92" s="6">
        <v>8</v>
      </c>
      <c r="P92" s="7">
        <v>0.15</v>
      </c>
      <c r="Q92" s="5">
        <v>410.02</v>
      </c>
    </row>
    <row r="93" spans="1:17" x14ac:dyDescent="0.3">
      <c r="A93" s="8" t="s">
        <v>444</v>
      </c>
      <c r="B93" s="9">
        <v>45090</v>
      </c>
      <c r="C93" s="9">
        <v>45088</v>
      </c>
      <c r="D93" s="8" t="s">
        <v>18</v>
      </c>
      <c r="E93" s="8" t="s">
        <v>445</v>
      </c>
      <c r="F93" s="10" t="s">
        <v>446</v>
      </c>
      <c r="G93" s="10" t="s">
        <v>51</v>
      </c>
      <c r="H93" s="10" t="s">
        <v>183</v>
      </c>
      <c r="I93" s="10" t="s">
        <v>184</v>
      </c>
      <c r="J93" s="10" t="s">
        <v>54</v>
      </c>
      <c r="K93" s="10" t="s">
        <v>45</v>
      </c>
      <c r="L93" s="10" t="s">
        <v>117</v>
      </c>
      <c r="M93" s="10" t="s">
        <v>447</v>
      </c>
      <c r="N93" s="11">
        <v>228.34</v>
      </c>
      <c r="O93" s="12">
        <v>5</v>
      </c>
      <c r="P93" s="13">
        <v>0.3</v>
      </c>
      <c r="Q93" s="11">
        <v>-5.76</v>
      </c>
    </row>
    <row r="94" spans="1:17" x14ac:dyDescent="0.3">
      <c r="A94" s="2" t="s">
        <v>448</v>
      </c>
      <c r="B94" s="3">
        <v>44350</v>
      </c>
      <c r="C94" s="3">
        <v>44352</v>
      </c>
      <c r="D94" s="2" t="s">
        <v>18</v>
      </c>
      <c r="E94" s="2" t="s">
        <v>240</v>
      </c>
      <c r="F94" s="4" t="s">
        <v>241</v>
      </c>
      <c r="G94" s="4" t="s">
        <v>42</v>
      </c>
      <c r="H94" s="4" t="s">
        <v>115</v>
      </c>
      <c r="I94" s="4" t="s">
        <v>116</v>
      </c>
      <c r="J94" s="4" t="s">
        <v>54</v>
      </c>
      <c r="K94" s="4" t="s">
        <v>25</v>
      </c>
      <c r="L94" s="4" t="s">
        <v>124</v>
      </c>
      <c r="M94" s="4" t="s">
        <v>449</v>
      </c>
      <c r="N94" s="5">
        <v>12155.36</v>
      </c>
      <c r="O94" s="6">
        <v>8</v>
      </c>
      <c r="P94" s="7">
        <v>0.3</v>
      </c>
      <c r="Q94" s="5">
        <v>-1894.61</v>
      </c>
    </row>
    <row r="95" spans="1:17" x14ac:dyDescent="0.3">
      <c r="A95" s="8" t="s">
        <v>450</v>
      </c>
      <c r="B95" s="9">
        <v>45525</v>
      </c>
      <c r="C95" s="9">
        <v>45528</v>
      </c>
      <c r="D95" s="8" t="s">
        <v>73</v>
      </c>
      <c r="E95" s="8" t="s">
        <v>389</v>
      </c>
      <c r="F95" s="10" t="s">
        <v>390</v>
      </c>
      <c r="G95" s="10" t="s">
        <v>51</v>
      </c>
      <c r="H95" s="10" t="s">
        <v>59</v>
      </c>
      <c r="I95" s="10" t="s">
        <v>60</v>
      </c>
      <c r="J95" s="10" t="s">
        <v>54</v>
      </c>
      <c r="K95" s="10" t="s">
        <v>25</v>
      </c>
      <c r="L95" s="10" t="s">
        <v>68</v>
      </c>
      <c r="M95" s="10" t="s">
        <v>451</v>
      </c>
      <c r="N95" s="11">
        <v>995.3</v>
      </c>
      <c r="O95" s="12">
        <v>10</v>
      </c>
      <c r="P95" s="13">
        <v>0</v>
      </c>
      <c r="Q95" s="11">
        <v>439.1</v>
      </c>
    </row>
    <row r="96" spans="1:17" x14ac:dyDescent="0.3">
      <c r="A96" s="2" t="s">
        <v>452</v>
      </c>
      <c r="B96" s="3">
        <v>44856</v>
      </c>
      <c r="C96" s="3">
        <v>44863</v>
      </c>
      <c r="D96" s="2" t="s">
        <v>29</v>
      </c>
      <c r="E96" s="2" t="s">
        <v>453</v>
      </c>
      <c r="F96" s="4" t="s">
        <v>454</v>
      </c>
      <c r="G96" s="4" t="s">
        <v>21</v>
      </c>
      <c r="H96" s="4" t="s">
        <v>386</v>
      </c>
      <c r="I96" s="4" t="s">
        <v>347</v>
      </c>
      <c r="J96" s="4" t="s">
        <v>88</v>
      </c>
      <c r="K96" s="4" t="s">
        <v>35</v>
      </c>
      <c r="L96" s="4" t="s">
        <v>89</v>
      </c>
      <c r="M96" s="4" t="s">
        <v>455</v>
      </c>
      <c r="N96" s="5">
        <v>647</v>
      </c>
      <c r="O96" s="6">
        <v>4</v>
      </c>
      <c r="P96" s="7">
        <v>0</v>
      </c>
      <c r="Q96" s="5">
        <v>176.12</v>
      </c>
    </row>
    <row r="97" spans="1:17" x14ac:dyDescent="0.3">
      <c r="A97" s="8" t="s">
        <v>456</v>
      </c>
      <c r="B97" s="9">
        <v>44718</v>
      </c>
      <c r="C97" s="9">
        <v>44719</v>
      </c>
      <c r="D97" s="8" t="s">
        <v>18</v>
      </c>
      <c r="E97" s="8" t="s">
        <v>457</v>
      </c>
      <c r="F97" s="10" t="s">
        <v>458</v>
      </c>
      <c r="G97" s="10" t="s">
        <v>51</v>
      </c>
      <c r="H97" s="10" t="s">
        <v>459</v>
      </c>
      <c r="I97" s="10" t="s">
        <v>460</v>
      </c>
      <c r="J97" s="10" t="s">
        <v>54</v>
      </c>
      <c r="K97" s="10" t="s">
        <v>35</v>
      </c>
      <c r="L97" s="10" t="s">
        <v>110</v>
      </c>
      <c r="M97" s="10" t="s">
        <v>461</v>
      </c>
      <c r="N97" s="11">
        <v>243.8</v>
      </c>
      <c r="O97" s="12">
        <v>10</v>
      </c>
      <c r="P97" s="13">
        <v>0</v>
      </c>
      <c r="Q97" s="11">
        <v>112.62</v>
      </c>
    </row>
    <row r="98" spans="1:17" x14ac:dyDescent="0.3">
      <c r="A98" s="2" t="s">
        <v>462</v>
      </c>
      <c r="B98" s="3">
        <v>44531</v>
      </c>
      <c r="C98" s="3">
        <v>44533</v>
      </c>
      <c r="D98" s="2" t="s">
        <v>18</v>
      </c>
      <c r="E98" s="2" t="s">
        <v>463</v>
      </c>
      <c r="F98" s="4" t="s">
        <v>464</v>
      </c>
      <c r="G98" s="4" t="s">
        <v>51</v>
      </c>
      <c r="H98" s="4" t="s">
        <v>465</v>
      </c>
      <c r="I98" s="4" t="s">
        <v>423</v>
      </c>
      <c r="J98" s="4" t="s">
        <v>88</v>
      </c>
      <c r="K98" s="4" t="s">
        <v>25</v>
      </c>
      <c r="L98" s="4" t="s">
        <v>26</v>
      </c>
      <c r="M98" s="4" t="s">
        <v>466</v>
      </c>
      <c r="N98" s="5">
        <v>3591.79</v>
      </c>
      <c r="O98" s="6">
        <v>9</v>
      </c>
      <c r="P98" s="7">
        <v>0.2</v>
      </c>
      <c r="Q98" s="5">
        <v>75.599999999999994</v>
      </c>
    </row>
    <row r="99" spans="1:17" x14ac:dyDescent="0.3">
      <c r="A99" s="8" t="s">
        <v>467</v>
      </c>
      <c r="B99" s="9">
        <v>44963</v>
      </c>
      <c r="C99" s="9">
        <v>44967</v>
      </c>
      <c r="D99" s="8" t="s">
        <v>39</v>
      </c>
      <c r="E99" s="8" t="s">
        <v>468</v>
      </c>
      <c r="F99" s="10" t="s">
        <v>469</v>
      </c>
      <c r="G99" s="10" t="s">
        <v>51</v>
      </c>
      <c r="H99" s="10" t="s">
        <v>372</v>
      </c>
      <c r="I99" s="10" t="s">
        <v>373</v>
      </c>
      <c r="J99" s="10" t="s">
        <v>34</v>
      </c>
      <c r="K99" s="10" t="s">
        <v>45</v>
      </c>
      <c r="L99" s="10" t="s">
        <v>117</v>
      </c>
      <c r="M99" s="10" t="s">
        <v>470</v>
      </c>
      <c r="N99" s="11">
        <v>1169.26</v>
      </c>
      <c r="O99" s="12">
        <v>4</v>
      </c>
      <c r="P99" s="13">
        <v>0.4</v>
      </c>
      <c r="Q99" s="11">
        <v>-195.87</v>
      </c>
    </row>
    <row r="100" spans="1:17" x14ac:dyDescent="0.3">
      <c r="A100" s="2" t="s">
        <v>471</v>
      </c>
      <c r="B100" s="3">
        <v>44713</v>
      </c>
      <c r="C100" s="3">
        <v>44716</v>
      </c>
      <c r="D100" s="2" t="s">
        <v>39</v>
      </c>
      <c r="E100" s="2" t="s">
        <v>472</v>
      </c>
      <c r="F100" s="4" t="s">
        <v>473</v>
      </c>
      <c r="G100" s="4" t="s">
        <v>51</v>
      </c>
      <c r="H100" s="4" t="s">
        <v>32</v>
      </c>
      <c r="I100" s="4" t="s">
        <v>33</v>
      </c>
      <c r="J100" s="4" t="s">
        <v>34</v>
      </c>
      <c r="K100" s="4" t="s">
        <v>45</v>
      </c>
      <c r="L100" s="4" t="s">
        <v>46</v>
      </c>
      <c r="M100" s="4" t="s">
        <v>474</v>
      </c>
      <c r="N100" s="5">
        <v>1738.73</v>
      </c>
      <c r="O100" s="6">
        <v>4</v>
      </c>
      <c r="P100" s="7">
        <v>0.05</v>
      </c>
      <c r="Q100" s="5">
        <v>514</v>
      </c>
    </row>
    <row r="101" spans="1:17" x14ac:dyDescent="0.3">
      <c r="A101" s="8" t="s">
        <v>475</v>
      </c>
      <c r="B101" s="9">
        <v>45055</v>
      </c>
      <c r="C101" s="9">
        <v>45057</v>
      </c>
      <c r="D101" s="8" t="s">
        <v>18</v>
      </c>
      <c r="E101" s="8" t="s">
        <v>476</v>
      </c>
      <c r="F101" s="10" t="s">
        <v>477</v>
      </c>
      <c r="G101" s="10" t="s">
        <v>42</v>
      </c>
      <c r="H101" s="10" t="s">
        <v>150</v>
      </c>
      <c r="I101" s="10" t="s">
        <v>151</v>
      </c>
      <c r="J101" s="10" t="s">
        <v>34</v>
      </c>
      <c r="K101" s="10" t="s">
        <v>35</v>
      </c>
      <c r="L101" s="10" t="s">
        <v>110</v>
      </c>
      <c r="M101" s="10" t="s">
        <v>478</v>
      </c>
      <c r="N101" s="11">
        <v>193.05</v>
      </c>
      <c r="O101" s="12">
        <v>5</v>
      </c>
      <c r="P101" s="13">
        <v>0</v>
      </c>
      <c r="Q101" s="11">
        <v>96.18</v>
      </c>
    </row>
    <row r="102" spans="1:17" x14ac:dyDescent="0.3">
      <c r="A102" s="2" t="s">
        <v>479</v>
      </c>
      <c r="B102" s="3">
        <v>44297</v>
      </c>
      <c r="C102" s="3">
        <v>44299</v>
      </c>
      <c r="D102" s="2" t="s">
        <v>18</v>
      </c>
      <c r="E102" s="2" t="s">
        <v>480</v>
      </c>
      <c r="F102" s="4" t="s">
        <v>481</v>
      </c>
      <c r="G102" s="4" t="s">
        <v>42</v>
      </c>
      <c r="H102" s="4" t="s">
        <v>352</v>
      </c>
      <c r="I102" s="4" t="s">
        <v>306</v>
      </c>
      <c r="J102" s="4" t="s">
        <v>34</v>
      </c>
      <c r="K102" s="4" t="s">
        <v>35</v>
      </c>
      <c r="L102" s="4" t="s">
        <v>158</v>
      </c>
      <c r="M102" s="4" t="s">
        <v>482</v>
      </c>
      <c r="N102" s="5">
        <v>30.18</v>
      </c>
      <c r="O102" s="6">
        <v>2</v>
      </c>
      <c r="P102" s="7">
        <v>0.3</v>
      </c>
      <c r="Q102" s="5">
        <v>2.95</v>
      </c>
    </row>
    <row r="103" spans="1:17" x14ac:dyDescent="0.3">
      <c r="A103" s="8" t="s">
        <v>483</v>
      </c>
      <c r="B103" s="9">
        <v>44767</v>
      </c>
      <c r="C103" s="9">
        <v>44770</v>
      </c>
      <c r="D103" s="8" t="s">
        <v>73</v>
      </c>
      <c r="E103" s="8" t="s">
        <v>484</v>
      </c>
      <c r="F103" s="10" t="s">
        <v>485</v>
      </c>
      <c r="G103" s="10" t="s">
        <v>21</v>
      </c>
      <c r="H103" s="10" t="s">
        <v>86</v>
      </c>
      <c r="I103" s="10" t="s">
        <v>87</v>
      </c>
      <c r="J103" s="10" t="s">
        <v>88</v>
      </c>
      <c r="K103" s="10" t="s">
        <v>35</v>
      </c>
      <c r="L103" s="10" t="s">
        <v>89</v>
      </c>
      <c r="M103" s="10" t="s">
        <v>486</v>
      </c>
      <c r="N103" s="11">
        <v>247.18</v>
      </c>
      <c r="O103" s="12">
        <v>2</v>
      </c>
      <c r="P103" s="13">
        <v>0.5</v>
      </c>
      <c r="Q103" s="11">
        <v>-68.42</v>
      </c>
    </row>
    <row r="104" spans="1:17" x14ac:dyDescent="0.3">
      <c r="A104" s="2" t="s">
        <v>487</v>
      </c>
      <c r="B104" s="3">
        <v>44525</v>
      </c>
      <c r="C104" s="3">
        <v>44528</v>
      </c>
      <c r="D104" s="2" t="s">
        <v>18</v>
      </c>
      <c r="E104" s="2" t="s">
        <v>426</v>
      </c>
      <c r="F104" s="4" t="s">
        <v>427</v>
      </c>
      <c r="G104" s="4" t="s">
        <v>42</v>
      </c>
      <c r="H104" s="4" t="s">
        <v>412</v>
      </c>
      <c r="I104" s="4" t="s">
        <v>178</v>
      </c>
      <c r="J104" s="4" t="s">
        <v>24</v>
      </c>
      <c r="K104" s="4" t="s">
        <v>35</v>
      </c>
      <c r="L104" s="4" t="s">
        <v>229</v>
      </c>
      <c r="M104" s="4" t="s">
        <v>488</v>
      </c>
      <c r="N104" s="5">
        <v>9.76</v>
      </c>
      <c r="O104" s="6">
        <v>4</v>
      </c>
      <c r="P104" s="7">
        <v>0.1</v>
      </c>
      <c r="Q104" s="5">
        <v>4.63</v>
      </c>
    </row>
    <row r="105" spans="1:17" x14ac:dyDescent="0.3">
      <c r="A105" s="8" t="s">
        <v>489</v>
      </c>
      <c r="B105" s="9">
        <v>45156</v>
      </c>
      <c r="C105" s="9">
        <v>45158</v>
      </c>
      <c r="D105" s="8" t="s">
        <v>18</v>
      </c>
      <c r="E105" s="8" t="s">
        <v>490</v>
      </c>
      <c r="F105" s="10" t="s">
        <v>491</v>
      </c>
      <c r="G105" s="10" t="s">
        <v>42</v>
      </c>
      <c r="H105" s="10" t="s">
        <v>492</v>
      </c>
      <c r="I105" s="10" t="s">
        <v>53</v>
      </c>
      <c r="J105" s="10" t="s">
        <v>54</v>
      </c>
      <c r="K105" s="10" t="s">
        <v>25</v>
      </c>
      <c r="L105" s="10" t="s">
        <v>124</v>
      </c>
      <c r="M105" s="10" t="s">
        <v>493</v>
      </c>
      <c r="N105" s="11">
        <v>9249.39</v>
      </c>
      <c r="O105" s="12">
        <v>9</v>
      </c>
      <c r="P105" s="13">
        <v>0.5</v>
      </c>
      <c r="Q105" s="11">
        <v>-5471.12</v>
      </c>
    </row>
    <row r="106" spans="1:17" x14ac:dyDescent="0.3">
      <c r="A106" s="2" t="s">
        <v>494</v>
      </c>
      <c r="B106" s="3">
        <v>45117</v>
      </c>
      <c r="C106" s="3">
        <v>45119</v>
      </c>
      <c r="D106" s="2" t="s">
        <v>39</v>
      </c>
      <c r="E106" s="2" t="s">
        <v>495</v>
      </c>
      <c r="F106" s="4" t="s">
        <v>496</v>
      </c>
      <c r="G106" s="4" t="s">
        <v>51</v>
      </c>
      <c r="H106" s="4" t="s">
        <v>497</v>
      </c>
      <c r="I106" s="4" t="s">
        <v>423</v>
      </c>
      <c r="J106" s="4" t="s">
        <v>88</v>
      </c>
      <c r="K106" s="4" t="s">
        <v>35</v>
      </c>
      <c r="L106" s="4" t="s">
        <v>158</v>
      </c>
      <c r="M106" s="4" t="s">
        <v>498</v>
      </c>
      <c r="N106" s="5">
        <v>216.64</v>
      </c>
      <c r="O106" s="6">
        <v>2</v>
      </c>
      <c r="P106" s="7">
        <v>0</v>
      </c>
      <c r="Q106" s="5">
        <v>95.7</v>
      </c>
    </row>
    <row r="107" spans="1:17" x14ac:dyDescent="0.3">
      <c r="A107" s="8" t="s">
        <v>499</v>
      </c>
      <c r="B107" s="9">
        <v>44739</v>
      </c>
      <c r="C107" s="9">
        <v>44743</v>
      </c>
      <c r="D107" s="8" t="s">
        <v>39</v>
      </c>
      <c r="E107" s="8" t="s">
        <v>500</v>
      </c>
      <c r="F107" s="10" t="s">
        <v>501</v>
      </c>
      <c r="G107" s="10" t="s">
        <v>21</v>
      </c>
      <c r="H107" s="10" t="s">
        <v>104</v>
      </c>
      <c r="I107" s="10" t="s">
        <v>105</v>
      </c>
      <c r="J107" s="10" t="s">
        <v>88</v>
      </c>
      <c r="K107" s="10" t="s">
        <v>25</v>
      </c>
      <c r="L107" s="10" t="s">
        <v>124</v>
      </c>
      <c r="M107" s="10" t="s">
        <v>502</v>
      </c>
      <c r="N107" s="11">
        <v>4412.25</v>
      </c>
      <c r="O107" s="12">
        <v>8</v>
      </c>
      <c r="P107" s="13">
        <v>0.15</v>
      </c>
      <c r="Q107" s="11">
        <v>804.71</v>
      </c>
    </row>
    <row r="108" spans="1:17" x14ac:dyDescent="0.3">
      <c r="A108" s="2" t="s">
        <v>503</v>
      </c>
      <c r="B108" s="3">
        <v>45569</v>
      </c>
      <c r="C108" s="3">
        <v>45572</v>
      </c>
      <c r="D108" s="2" t="s">
        <v>73</v>
      </c>
      <c r="E108" s="2" t="s">
        <v>504</v>
      </c>
      <c r="F108" s="4" t="s">
        <v>505</v>
      </c>
      <c r="G108" s="4" t="s">
        <v>42</v>
      </c>
      <c r="H108" s="4" t="s">
        <v>150</v>
      </c>
      <c r="I108" s="4" t="s">
        <v>151</v>
      </c>
      <c r="J108" s="4" t="s">
        <v>34</v>
      </c>
      <c r="K108" s="4" t="s">
        <v>45</v>
      </c>
      <c r="L108" s="4" t="s">
        <v>117</v>
      </c>
      <c r="M108" s="4" t="s">
        <v>506</v>
      </c>
      <c r="N108" s="5">
        <v>1706.3</v>
      </c>
      <c r="O108" s="6">
        <v>6</v>
      </c>
      <c r="P108" s="7">
        <v>0.2</v>
      </c>
      <c r="Q108" s="5">
        <v>288.61</v>
      </c>
    </row>
    <row r="109" spans="1:17" x14ac:dyDescent="0.3">
      <c r="A109" s="8" t="s">
        <v>507</v>
      </c>
      <c r="B109" s="9">
        <v>45421</v>
      </c>
      <c r="C109" s="9">
        <v>45424</v>
      </c>
      <c r="D109" s="8" t="s">
        <v>18</v>
      </c>
      <c r="E109" s="8" t="s">
        <v>143</v>
      </c>
      <c r="F109" s="10" t="s">
        <v>144</v>
      </c>
      <c r="G109" s="10" t="s">
        <v>21</v>
      </c>
      <c r="H109" s="10" t="s">
        <v>145</v>
      </c>
      <c r="I109" s="10" t="s">
        <v>140</v>
      </c>
      <c r="J109" s="10" t="s">
        <v>24</v>
      </c>
      <c r="K109" s="10" t="s">
        <v>45</v>
      </c>
      <c r="L109" s="10" t="s">
        <v>117</v>
      </c>
      <c r="M109" s="10" t="s">
        <v>508</v>
      </c>
      <c r="N109" s="11">
        <v>243.83</v>
      </c>
      <c r="O109" s="12">
        <v>1</v>
      </c>
      <c r="P109" s="13">
        <v>0.05</v>
      </c>
      <c r="Q109" s="11">
        <v>41.65</v>
      </c>
    </row>
    <row r="110" spans="1:17" x14ac:dyDescent="0.3">
      <c r="A110" s="2" t="s">
        <v>509</v>
      </c>
      <c r="B110" s="3">
        <v>44477</v>
      </c>
      <c r="C110" s="3">
        <v>44480</v>
      </c>
      <c r="D110" s="2" t="s">
        <v>73</v>
      </c>
      <c r="E110" s="2" t="s">
        <v>384</v>
      </c>
      <c r="F110" s="4" t="s">
        <v>385</v>
      </c>
      <c r="G110" s="4" t="s">
        <v>51</v>
      </c>
      <c r="H110" s="4" t="s">
        <v>386</v>
      </c>
      <c r="I110" s="4" t="s">
        <v>347</v>
      </c>
      <c r="J110" s="4" t="s">
        <v>88</v>
      </c>
      <c r="K110" s="4" t="s">
        <v>25</v>
      </c>
      <c r="L110" s="4" t="s">
        <v>26</v>
      </c>
      <c r="M110" s="4" t="s">
        <v>510</v>
      </c>
      <c r="N110" s="5">
        <v>5776.15</v>
      </c>
      <c r="O110" s="6">
        <v>9</v>
      </c>
      <c r="P110" s="7">
        <v>0.3</v>
      </c>
      <c r="Q110" s="5">
        <v>-1102.75</v>
      </c>
    </row>
    <row r="111" spans="1:17" x14ac:dyDescent="0.3">
      <c r="A111" s="8" t="s">
        <v>511</v>
      </c>
      <c r="B111" s="9">
        <v>45256</v>
      </c>
      <c r="C111" s="9">
        <v>45259</v>
      </c>
      <c r="D111" s="8" t="s">
        <v>73</v>
      </c>
      <c r="E111" s="8" t="s">
        <v>512</v>
      </c>
      <c r="F111" s="10" t="s">
        <v>513</v>
      </c>
      <c r="G111" s="10" t="s">
        <v>21</v>
      </c>
      <c r="H111" s="10" t="s">
        <v>104</v>
      </c>
      <c r="I111" s="10" t="s">
        <v>105</v>
      </c>
      <c r="J111" s="10" t="s">
        <v>88</v>
      </c>
      <c r="K111" s="10" t="s">
        <v>25</v>
      </c>
      <c r="L111" s="10" t="s">
        <v>26</v>
      </c>
      <c r="M111" s="10" t="s">
        <v>514</v>
      </c>
      <c r="N111" s="11">
        <v>7846.92</v>
      </c>
      <c r="O111" s="12">
        <v>5</v>
      </c>
      <c r="P111" s="13">
        <v>0.1</v>
      </c>
      <c r="Q111" s="11">
        <v>1306.6199999999999</v>
      </c>
    </row>
    <row r="112" spans="1:17" x14ac:dyDescent="0.3">
      <c r="A112" s="2" t="s">
        <v>515</v>
      </c>
      <c r="B112" s="3">
        <v>45615</v>
      </c>
      <c r="C112" s="3">
        <v>45617</v>
      </c>
      <c r="D112" s="2" t="s">
        <v>18</v>
      </c>
      <c r="E112" s="2" t="s">
        <v>214</v>
      </c>
      <c r="F112" s="4" t="s">
        <v>215</v>
      </c>
      <c r="G112" s="4" t="s">
        <v>21</v>
      </c>
      <c r="H112" s="4" t="s">
        <v>52</v>
      </c>
      <c r="I112" s="4" t="s">
        <v>53</v>
      </c>
      <c r="J112" s="4" t="s">
        <v>54</v>
      </c>
      <c r="K112" s="4" t="s">
        <v>35</v>
      </c>
      <c r="L112" s="4" t="s">
        <v>158</v>
      </c>
      <c r="M112" s="4" t="s">
        <v>516</v>
      </c>
      <c r="N112" s="5">
        <v>556.78</v>
      </c>
      <c r="O112" s="6">
        <v>9</v>
      </c>
      <c r="P112" s="7">
        <v>0.5</v>
      </c>
      <c r="Q112" s="5">
        <v>-194.52</v>
      </c>
    </row>
    <row r="113" spans="1:17" x14ac:dyDescent="0.3">
      <c r="A113" s="8" t="s">
        <v>517</v>
      </c>
      <c r="B113" s="9">
        <v>44573</v>
      </c>
      <c r="C113" s="9">
        <v>44580</v>
      </c>
      <c r="D113" s="8" t="s">
        <v>29</v>
      </c>
      <c r="E113" s="8" t="s">
        <v>389</v>
      </c>
      <c r="F113" s="10" t="s">
        <v>390</v>
      </c>
      <c r="G113" s="10" t="s">
        <v>51</v>
      </c>
      <c r="H113" s="10" t="s">
        <v>59</v>
      </c>
      <c r="I113" s="10" t="s">
        <v>60</v>
      </c>
      <c r="J113" s="10" t="s">
        <v>54</v>
      </c>
      <c r="K113" s="10" t="s">
        <v>25</v>
      </c>
      <c r="L113" s="10" t="s">
        <v>26</v>
      </c>
      <c r="M113" s="10" t="s">
        <v>518</v>
      </c>
      <c r="N113" s="11">
        <v>1025.3900000000001</v>
      </c>
      <c r="O113" s="12">
        <v>6</v>
      </c>
      <c r="P113" s="13">
        <v>0.4</v>
      </c>
      <c r="Q113" s="11">
        <v>-265.22000000000003</v>
      </c>
    </row>
    <row r="114" spans="1:17" x14ac:dyDescent="0.3">
      <c r="A114" s="2" t="s">
        <v>519</v>
      </c>
      <c r="B114" s="3">
        <v>44957</v>
      </c>
      <c r="C114" s="3">
        <v>44960</v>
      </c>
      <c r="D114" s="2" t="s">
        <v>39</v>
      </c>
      <c r="E114" s="2" t="s">
        <v>468</v>
      </c>
      <c r="F114" s="4" t="s">
        <v>469</v>
      </c>
      <c r="G114" s="4" t="s">
        <v>51</v>
      </c>
      <c r="H114" s="4" t="s">
        <v>372</v>
      </c>
      <c r="I114" s="4" t="s">
        <v>373</v>
      </c>
      <c r="J114" s="4" t="s">
        <v>34</v>
      </c>
      <c r="K114" s="4" t="s">
        <v>45</v>
      </c>
      <c r="L114" s="4" t="s">
        <v>61</v>
      </c>
      <c r="M114" s="4" t="s">
        <v>520</v>
      </c>
      <c r="N114" s="5">
        <v>5319.54</v>
      </c>
      <c r="O114" s="6">
        <v>9</v>
      </c>
      <c r="P114" s="7">
        <v>0</v>
      </c>
      <c r="Q114" s="5">
        <v>235.75</v>
      </c>
    </row>
    <row r="115" spans="1:17" x14ac:dyDescent="0.3">
      <c r="A115" s="8" t="s">
        <v>521</v>
      </c>
      <c r="B115" s="9">
        <v>44702</v>
      </c>
      <c r="C115" s="9">
        <v>44705</v>
      </c>
      <c r="D115" s="8" t="s">
        <v>18</v>
      </c>
      <c r="E115" s="8" t="s">
        <v>512</v>
      </c>
      <c r="F115" s="10" t="s">
        <v>513</v>
      </c>
      <c r="G115" s="10" t="s">
        <v>21</v>
      </c>
      <c r="H115" s="10" t="s">
        <v>104</v>
      </c>
      <c r="I115" s="10" t="s">
        <v>105</v>
      </c>
      <c r="J115" s="10" t="s">
        <v>88</v>
      </c>
      <c r="K115" s="10" t="s">
        <v>35</v>
      </c>
      <c r="L115" s="10" t="s">
        <v>229</v>
      </c>
      <c r="M115" s="10" t="s">
        <v>522</v>
      </c>
      <c r="N115" s="11">
        <v>17.34</v>
      </c>
      <c r="O115" s="12">
        <v>2</v>
      </c>
      <c r="P115" s="13">
        <v>0.15</v>
      </c>
      <c r="Q115" s="11">
        <v>7.54</v>
      </c>
    </row>
    <row r="116" spans="1:17" x14ac:dyDescent="0.3">
      <c r="A116" s="2" t="s">
        <v>523</v>
      </c>
      <c r="B116" s="3">
        <v>44720</v>
      </c>
      <c r="C116" s="3">
        <v>44719</v>
      </c>
      <c r="D116" s="2" t="s">
        <v>29</v>
      </c>
      <c r="E116" s="2" t="s">
        <v>344</v>
      </c>
      <c r="F116" s="4" t="s">
        <v>345</v>
      </c>
      <c r="G116" s="4" t="s">
        <v>51</v>
      </c>
      <c r="H116" s="4" t="s">
        <v>346</v>
      </c>
      <c r="I116" s="4" t="s">
        <v>347</v>
      </c>
      <c r="J116" s="4" t="s">
        <v>88</v>
      </c>
      <c r="K116" s="4" t="s">
        <v>25</v>
      </c>
      <c r="L116" s="4" t="s">
        <v>124</v>
      </c>
      <c r="M116" s="4" t="s">
        <v>524</v>
      </c>
      <c r="N116" s="5">
        <v>604.55999999999995</v>
      </c>
      <c r="O116" s="6">
        <v>1</v>
      </c>
      <c r="P116" s="7">
        <v>0.2</v>
      </c>
      <c r="Q116" s="5">
        <v>-7.74</v>
      </c>
    </row>
    <row r="117" spans="1:17" x14ac:dyDescent="0.3">
      <c r="A117" s="8" t="s">
        <v>525</v>
      </c>
      <c r="B117" s="9">
        <v>45046</v>
      </c>
      <c r="C117" s="9">
        <v>45049</v>
      </c>
      <c r="D117" s="8" t="s">
        <v>73</v>
      </c>
      <c r="E117" s="8" t="s">
        <v>463</v>
      </c>
      <c r="F117" s="10" t="s">
        <v>464</v>
      </c>
      <c r="G117" s="10" t="s">
        <v>51</v>
      </c>
      <c r="H117" s="10" t="s">
        <v>465</v>
      </c>
      <c r="I117" s="10" t="s">
        <v>423</v>
      </c>
      <c r="J117" s="10" t="s">
        <v>88</v>
      </c>
      <c r="K117" s="10" t="s">
        <v>35</v>
      </c>
      <c r="L117" s="10" t="s">
        <v>81</v>
      </c>
      <c r="M117" s="10" t="s">
        <v>526</v>
      </c>
      <c r="N117" s="11">
        <v>72.95</v>
      </c>
      <c r="O117" s="12">
        <v>5</v>
      </c>
      <c r="P117" s="13">
        <v>0.1</v>
      </c>
      <c r="Q117" s="11">
        <v>34.92</v>
      </c>
    </row>
    <row r="118" spans="1:17" x14ac:dyDescent="0.3">
      <c r="A118" s="2" t="s">
        <v>527</v>
      </c>
      <c r="B118" s="3">
        <v>45067</v>
      </c>
      <c r="C118" s="3">
        <v>45074</v>
      </c>
      <c r="D118" s="2" t="s">
        <v>29</v>
      </c>
      <c r="E118" s="2" t="s">
        <v>528</v>
      </c>
      <c r="F118" s="4" t="s">
        <v>529</v>
      </c>
      <c r="G118" s="4" t="s">
        <v>51</v>
      </c>
      <c r="H118" s="4" t="s">
        <v>530</v>
      </c>
      <c r="I118" s="4" t="s">
        <v>373</v>
      </c>
      <c r="J118" s="4" t="s">
        <v>34</v>
      </c>
      <c r="K118" s="4" t="s">
        <v>25</v>
      </c>
      <c r="L118" s="4" t="s">
        <v>26</v>
      </c>
      <c r="M118" s="4" t="s">
        <v>531</v>
      </c>
      <c r="N118" s="5">
        <v>806.95</v>
      </c>
      <c r="O118" s="6">
        <v>1</v>
      </c>
      <c r="P118" s="7">
        <v>0.3</v>
      </c>
      <c r="Q118" s="5">
        <v>-123.82</v>
      </c>
    </row>
    <row r="119" spans="1:17" x14ac:dyDescent="0.3">
      <c r="A119" s="8" t="s">
        <v>532</v>
      </c>
      <c r="B119" s="9">
        <v>45466</v>
      </c>
      <c r="C119" s="9">
        <v>45469</v>
      </c>
      <c r="D119" s="8" t="s">
        <v>18</v>
      </c>
      <c r="E119" s="8" t="s">
        <v>533</v>
      </c>
      <c r="F119" s="10" t="s">
        <v>534</v>
      </c>
      <c r="G119" s="10" t="s">
        <v>42</v>
      </c>
      <c r="H119" s="10" t="s">
        <v>145</v>
      </c>
      <c r="I119" s="10" t="s">
        <v>140</v>
      </c>
      <c r="J119" s="10" t="s">
        <v>24</v>
      </c>
      <c r="K119" s="10" t="s">
        <v>35</v>
      </c>
      <c r="L119" s="10" t="s">
        <v>36</v>
      </c>
      <c r="M119" s="10" t="s">
        <v>535</v>
      </c>
      <c r="N119" s="11">
        <v>1425.62</v>
      </c>
      <c r="O119" s="12">
        <v>8</v>
      </c>
      <c r="P119" s="13">
        <v>0.15</v>
      </c>
      <c r="Q119" s="11">
        <v>436.7</v>
      </c>
    </row>
    <row r="120" spans="1:17" x14ac:dyDescent="0.3">
      <c r="A120" s="2" t="s">
        <v>536</v>
      </c>
      <c r="B120" s="3">
        <v>44463</v>
      </c>
      <c r="C120" s="3">
        <v>44468</v>
      </c>
      <c r="D120" s="2" t="s">
        <v>73</v>
      </c>
      <c r="E120" s="2" t="s">
        <v>537</v>
      </c>
      <c r="F120" s="4" t="s">
        <v>538</v>
      </c>
      <c r="G120" s="4" t="s">
        <v>42</v>
      </c>
      <c r="H120" s="4" t="s">
        <v>115</v>
      </c>
      <c r="I120" s="4" t="s">
        <v>116</v>
      </c>
      <c r="J120" s="4" t="s">
        <v>54</v>
      </c>
      <c r="K120" s="4" t="s">
        <v>25</v>
      </c>
      <c r="L120" s="4" t="s">
        <v>68</v>
      </c>
      <c r="M120" s="4" t="s">
        <v>539</v>
      </c>
      <c r="N120" s="5">
        <v>514.52</v>
      </c>
      <c r="O120" s="6">
        <v>7</v>
      </c>
      <c r="P120" s="7">
        <v>0.1</v>
      </c>
      <c r="Q120" s="5">
        <v>166.33</v>
      </c>
    </row>
    <row r="121" spans="1:17" x14ac:dyDescent="0.3">
      <c r="A121" s="8" t="s">
        <v>540</v>
      </c>
      <c r="B121" s="9">
        <v>45130</v>
      </c>
      <c r="C121" s="9">
        <v>45133</v>
      </c>
      <c r="D121" s="8" t="s">
        <v>39</v>
      </c>
      <c r="E121" s="8" t="s">
        <v>317</v>
      </c>
      <c r="F121" s="10" t="s">
        <v>318</v>
      </c>
      <c r="G121" s="10" t="s">
        <v>21</v>
      </c>
      <c r="H121" s="10" t="s">
        <v>319</v>
      </c>
      <c r="I121" s="10" t="s">
        <v>194</v>
      </c>
      <c r="J121" s="10" t="s">
        <v>34</v>
      </c>
      <c r="K121" s="10" t="s">
        <v>25</v>
      </c>
      <c r="L121" s="10" t="s">
        <v>26</v>
      </c>
      <c r="M121" s="10" t="s">
        <v>541</v>
      </c>
      <c r="N121" s="11">
        <v>413.09</v>
      </c>
      <c r="O121" s="12">
        <v>1</v>
      </c>
      <c r="P121" s="13">
        <v>0.1</v>
      </c>
      <c r="Q121" s="11">
        <v>12.96</v>
      </c>
    </row>
    <row r="122" spans="1:17" x14ac:dyDescent="0.3">
      <c r="A122" s="2" t="s">
        <v>542</v>
      </c>
      <c r="B122" s="3">
        <v>44969</v>
      </c>
      <c r="C122" s="3">
        <v>44973</v>
      </c>
      <c r="D122" s="2" t="s">
        <v>73</v>
      </c>
      <c r="E122" s="2" t="s">
        <v>543</v>
      </c>
      <c r="F122" s="4" t="s">
        <v>544</v>
      </c>
      <c r="G122" s="4" t="s">
        <v>42</v>
      </c>
      <c r="H122" s="4" t="s">
        <v>346</v>
      </c>
      <c r="I122" s="4" t="s">
        <v>347</v>
      </c>
      <c r="J122" s="4" t="s">
        <v>88</v>
      </c>
      <c r="K122" s="4" t="s">
        <v>35</v>
      </c>
      <c r="L122" s="4" t="s">
        <v>158</v>
      </c>
      <c r="M122" s="4" t="s">
        <v>545</v>
      </c>
      <c r="N122" s="5">
        <v>470.12</v>
      </c>
      <c r="O122" s="6">
        <v>4</v>
      </c>
      <c r="P122" s="7">
        <v>0.1</v>
      </c>
      <c r="Q122" s="5">
        <v>187.22</v>
      </c>
    </row>
    <row r="123" spans="1:17" x14ac:dyDescent="0.3">
      <c r="A123" s="8" t="s">
        <v>546</v>
      </c>
      <c r="B123" s="9">
        <v>44850</v>
      </c>
      <c r="C123" s="9">
        <v>44853</v>
      </c>
      <c r="D123" s="8" t="s">
        <v>39</v>
      </c>
      <c r="E123" s="8" t="s">
        <v>547</v>
      </c>
      <c r="F123" s="10" t="s">
        <v>548</v>
      </c>
      <c r="G123" s="10" t="s">
        <v>51</v>
      </c>
      <c r="H123" s="10" t="s">
        <v>156</v>
      </c>
      <c r="I123" s="10" t="s">
        <v>157</v>
      </c>
      <c r="J123" s="10" t="s">
        <v>88</v>
      </c>
      <c r="K123" s="10" t="s">
        <v>35</v>
      </c>
      <c r="L123" s="10" t="s">
        <v>89</v>
      </c>
      <c r="M123" s="10" t="s">
        <v>549</v>
      </c>
      <c r="N123" s="11">
        <v>731.5</v>
      </c>
      <c r="O123" s="12">
        <v>10</v>
      </c>
      <c r="P123" s="13">
        <v>0</v>
      </c>
      <c r="Q123" s="11">
        <v>277.95999999999998</v>
      </c>
    </row>
    <row r="124" spans="1:17" x14ac:dyDescent="0.3">
      <c r="A124" s="2" t="s">
        <v>550</v>
      </c>
      <c r="B124" s="3">
        <v>45116</v>
      </c>
      <c r="C124" s="3">
        <v>45121</v>
      </c>
      <c r="D124" s="2" t="s">
        <v>73</v>
      </c>
      <c r="E124" s="2" t="s">
        <v>370</v>
      </c>
      <c r="F124" s="4" t="s">
        <v>371</v>
      </c>
      <c r="G124" s="4" t="s">
        <v>51</v>
      </c>
      <c r="H124" s="4" t="s">
        <v>372</v>
      </c>
      <c r="I124" s="4" t="s">
        <v>373</v>
      </c>
      <c r="J124" s="4" t="s">
        <v>34</v>
      </c>
      <c r="K124" s="4" t="s">
        <v>35</v>
      </c>
      <c r="L124" s="4" t="s">
        <v>110</v>
      </c>
      <c r="M124" s="4" t="s">
        <v>551</v>
      </c>
      <c r="N124" s="5">
        <v>77.56</v>
      </c>
      <c r="O124" s="6">
        <v>4</v>
      </c>
      <c r="P124" s="7">
        <v>0.3</v>
      </c>
      <c r="Q124" s="5">
        <v>14.66</v>
      </c>
    </row>
    <row r="125" spans="1:17" x14ac:dyDescent="0.3">
      <c r="A125" s="8" t="s">
        <v>552</v>
      </c>
      <c r="B125" s="9">
        <v>44687</v>
      </c>
      <c r="C125" s="9">
        <v>44689</v>
      </c>
      <c r="D125" s="8" t="s">
        <v>18</v>
      </c>
      <c r="E125" s="8" t="s">
        <v>553</v>
      </c>
      <c r="F125" s="10" t="s">
        <v>554</v>
      </c>
      <c r="G125" s="10" t="s">
        <v>42</v>
      </c>
      <c r="H125" s="10" t="s">
        <v>177</v>
      </c>
      <c r="I125" s="10" t="s">
        <v>178</v>
      </c>
      <c r="J125" s="10" t="s">
        <v>24</v>
      </c>
      <c r="K125" s="10" t="s">
        <v>25</v>
      </c>
      <c r="L125" s="10" t="s">
        <v>124</v>
      </c>
      <c r="M125" s="10" t="s">
        <v>555</v>
      </c>
      <c r="N125" s="11">
        <v>15335.1</v>
      </c>
      <c r="O125" s="12">
        <v>5</v>
      </c>
      <c r="P125" s="13">
        <v>0</v>
      </c>
      <c r="Q125" s="11">
        <v>3137.43</v>
      </c>
    </row>
    <row r="126" spans="1:17" x14ac:dyDescent="0.3">
      <c r="A126" s="2" t="s">
        <v>556</v>
      </c>
      <c r="B126" s="3">
        <v>45474</v>
      </c>
      <c r="C126" s="3">
        <v>45478</v>
      </c>
      <c r="D126" s="2" t="s">
        <v>73</v>
      </c>
      <c r="E126" s="2" t="s">
        <v>240</v>
      </c>
      <c r="F126" s="4" t="s">
        <v>241</v>
      </c>
      <c r="G126" s="4" t="s">
        <v>42</v>
      </c>
      <c r="H126" s="4" t="s">
        <v>115</v>
      </c>
      <c r="I126" s="4" t="s">
        <v>116</v>
      </c>
      <c r="J126" s="4" t="s">
        <v>54</v>
      </c>
      <c r="K126" s="4" t="s">
        <v>35</v>
      </c>
      <c r="L126" s="4" t="s">
        <v>158</v>
      </c>
      <c r="M126" s="4" t="s">
        <v>557</v>
      </c>
      <c r="N126" s="5">
        <v>127.82</v>
      </c>
      <c r="O126" s="6">
        <v>3</v>
      </c>
      <c r="P126" s="7">
        <v>0.4</v>
      </c>
      <c r="Q126" s="5">
        <v>-20.170000000000002</v>
      </c>
    </row>
    <row r="127" spans="1:17" x14ac:dyDescent="0.3">
      <c r="A127" s="8" t="s">
        <v>558</v>
      </c>
      <c r="B127" s="9">
        <v>44362</v>
      </c>
      <c r="C127" s="9">
        <v>44364</v>
      </c>
      <c r="D127" s="8" t="s">
        <v>39</v>
      </c>
      <c r="E127" s="8" t="s">
        <v>244</v>
      </c>
      <c r="F127" s="10" t="s">
        <v>245</v>
      </c>
      <c r="G127" s="10" t="s">
        <v>42</v>
      </c>
      <c r="H127" s="10" t="s">
        <v>79</v>
      </c>
      <c r="I127" s="10" t="s">
        <v>80</v>
      </c>
      <c r="J127" s="10" t="s">
        <v>54</v>
      </c>
      <c r="K127" s="10" t="s">
        <v>25</v>
      </c>
      <c r="L127" s="10" t="s">
        <v>26</v>
      </c>
      <c r="M127" s="10" t="s">
        <v>559</v>
      </c>
      <c r="N127" s="11">
        <v>1324.45</v>
      </c>
      <c r="O127" s="12">
        <v>4</v>
      </c>
      <c r="P127" s="13">
        <v>0.2</v>
      </c>
      <c r="Q127" s="11">
        <v>-22.57</v>
      </c>
    </row>
    <row r="128" spans="1:17" x14ac:dyDescent="0.3">
      <c r="A128" s="2" t="s">
        <v>560</v>
      </c>
      <c r="B128" s="3">
        <v>45124</v>
      </c>
      <c r="C128" s="3">
        <v>45127</v>
      </c>
      <c r="D128" s="2" t="s">
        <v>39</v>
      </c>
      <c r="E128" s="2" t="s">
        <v>561</v>
      </c>
      <c r="F128" s="4" t="s">
        <v>562</v>
      </c>
      <c r="G128" s="4" t="s">
        <v>42</v>
      </c>
      <c r="H128" s="4" t="s">
        <v>563</v>
      </c>
      <c r="I128" s="4" t="s">
        <v>460</v>
      </c>
      <c r="J128" s="4" t="s">
        <v>54</v>
      </c>
      <c r="K128" s="4" t="s">
        <v>45</v>
      </c>
      <c r="L128" s="4" t="s">
        <v>61</v>
      </c>
      <c r="M128" s="4" t="s">
        <v>564</v>
      </c>
      <c r="N128" s="5">
        <v>174.73</v>
      </c>
      <c r="O128" s="6">
        <v>1</v>
      </c>
      <c r="P128" s="7">
        <v>0.3</v>
      </c>
      <c r="Q128" s="5">
        <v>-56.39</v>
      </c>
    </row>
    <row r="129" spans="1:17" x14ac:dyDescent="0.3">
      <c r="A129" s="8" t="s">
        <v>565</v>
      </c>
      <c r="B129" s="9">
        <v>45172</v>
      </c>
      <c r="C129" s="9">
        <v>45178</v>
      </c>
      <c r="D129" s="8" t="s">
        <v>29</v>
      </c>
      <c r="E129" s="8" t="s">
        <v>566</v>
      </c>
      <c r="F129" s="10" t="s">
        <v>567</v>
      </c>
      <c r="G129" s="10" t="s">
        <v>21</v>
      </c>
      <c r="H129" s="10" t="s">
        <v>156</v>
      </c>
      <c r="I129" s="10" t="s">
        <v>157</v>
      </c>
      <c r="J129" s="10" t="s">
        <v>88</v>
      </c>
      <c r="K129" s="10" t="s">
        <v>35</v>
      </c>
      <c r="L129" s="10" t="s">
        <v>216</v>
      </c>
      <c r="M129" s="10" t="s">
        <v>568</v>
      </c>
      <c r="N129" s="11">
        <v>147.63</v>
      </c>
      <c r="O129" s="12">
        <v>10</v>
      </c>
      <c r="P129" s="13">
        <v>0.3</v>
      </c>
      <c r="Q129" s="11">
        <v>41.33</v>
      </c>
    </row>
    <row r="130" spans="1:17" x14ac:dyDescent="0.3">
      <c r="A130" s="2" t="s">
        <v>569</v>
      </c>
      <c r="B130" s="3">
        <v>45625</v>
      </c>
      <c r="C130" s="3">
        <v>45629</v>
      </c>
      <c r="D130" s="2" t="s">
        <v>39</v>
      </c>
      <c r="E130" s="2" t="s">
        <v>570</v>
      </c>
      <c r="F130" s="4" t="s">
        <v>571</v>
      </c>
      <c r="G130" s="4" t="s">
        <v>21</v>
      </c>
      <c r="H130" s="4" t="s">
        <v>66</v>
      </c>
      <c r="I130" s="4" t="s">
        <v>67</v>
      </c>
      <c r="J130" s="4" t="s">
        <v>34</v>
      </c>
      <c r="K130" s="4" t="s">
        <v>25</v>
      </c>
      <c r="L130" s="4" t="s">
        <v>124</v>
      </c>
      <c r="M130" s="4" t="s">
        <v>572</v>
      </c>
      <c r="N130" s="5">
        <v>17920.25</v>
      </c>
      <c r="O130" s="6">
        <v>10</v>
      </c>
      <c r="P130" s="7">
        <v>0.5</v>
      </c>
      <c r="Q130" s="5">
        <v>-9831.98</v>
      </c>
    </row>
    <row r="131" spans="1:17" x14ac:dyDescent="0.3">
      <c r="A131" s="8" t="s">
        <v>573</v>
      </c>
      <c r="B131" s="9">
        <v>44420</v>
      </c>
      <c r="C131" s="9">
        <v>44427</v>
      </c>
      <c r="D131" s="8" t="s">
        <v>29</v>
      </c>
      <c r="E131" s="8" t="s">
        <v>432</v>
      </c>
      <c r="F131" s="10" t="s">
        <v>433</v>
      </c>
      <c r="G131" s="10" t="s">
        <v>51</v>
      </c>
      <c r="H131" s="10" t="s">
        <v>171</v>
      </c>
      <c r="I131" s="10" t="s">
        <v>172</v>
      </c>
      <c r="J131" s="10" t="s">
        <v>24</v>
      </c>
      <c r="K131" s="10" t="s">
        <v>45</v>
      </c>
      <c r="L131" s="10" t="s">
        <v>99</v>
      </c>
      <c r="M131" s="10" t="s">
        <v>574</v>
      </c>
      <c r="N131" s="11">
        <v>56.34</v>
      </c>
      <c r="O131" s="12">
        <v>1</v>
      </c>
      <c r="P131" s="13">
        <v>0.5</v>
      </c>
      <c r="Q131" s="11">
        <v>-15.5</v>
      </c>
    </row>
    <row r="132" spans="1:17" x14ac:dyDescent="0.3">
      <c r="A132" s="2" t="s">
        <v>575</v>
      </c>
      <c r="B132" s="3">
        <v>45201</v>
      </c>
      <c r="C132" s="3">
        <v>45203</v>
      </c>
      <c r="D132" s="2" t="s">
        <v>18</v>
      </c>
      <c r="E132" s="2" t="s">
        <v>528</v>
      </c>
      <c r="F132" s="4" t="s">
        <v>529</v>
      </c>
      <c r="G132" s="4" t="s">
        <v>51</v>
      </c>
      <c r="H132" s="4" t="s">
        <v>530</v>
      </c>
      <c r="I132" s="4" t="s">
        <v>373</v>
      </c>
      <c r="J132" s="4" t="s">
        <v>34</v>
      </c>
      <c r="K132" s="4" t="s">
        <v>45</v>
      </c>
      <c r="L132" s="4" t="s">
        <v>99</v>
      </c>
      <c r="M132" s="4" t="s">
        <v>576</v>
      </c>
      <c r="N132" s="5">
        <v>1818.8</v>
      </c>
      <c r="O132" s="6">
        <v>10</v>
      </c>
      <c r="P132" s="7">
        <v>0</v>
      </c>
      <c r="Q132" s="5">
        <v>577.54</v>
      </c>
    </row>
    <row r="133" spans="1:17" x14ac:dyDescent="0.3">
      <c r="A133" s="8" t="s">
        <v>577</v>
      </c>
      <c r="B133" s="9">
        <v>45376</v>
      </c>
      <c r="C133" s="9">
        <v>45378</v>
      </c>
      <c r="D133" s="8" t="s">
        <v>39</v>
      </c>
      <c r="E133" s="8" t="s">
        <v>426</v>
      </c>
      <c r="F133" s="10" t="s">
        <v>427</v>
      </c>
      <c r="G133" s="10" t="s">
        <v>42</v>
      </c>
      <c r="H133" s="10" t="s">
        <v>412</v>
      </c>
      <c r="I133" s="10" t="s">
        <v>178</v>
      </c>
      <c r="J133" s="10" t="s">
        <v>24</v>
      </c>
      <c r="K133" s="10" t="s">
        <v>45</v>
      </c>
      <c r="L133" s="10" t="s">
        <v>61</v>
      </c>
      <c r="M133" s="10" t="s">
        <v>578</v>
      </c>
      <c r="N133" s="11">
        <v>1604.88</v>
      </c>
      <c r="O133" s="12">
        <v>8</v>
      </c>
      <c r="P133" s="13">
        <v>0.5</v>
      </c>
      <c r="Q133" s="11">
        <v>-1365.55</v>
      </c>
    </row>
    <row r="134" spans="1:17" x14ac:dyDescent="0.3">
      <c r="A134" s="2" t="s">
        <v>579</v>
      </c>
      <c r="B134" s="3">
        <v>45072</v>
      </c>
      <c r="C134" s="3">
        <v>45077</v>
      </c>
      <c r="D134" s="2" t="s">
        <v>29</v>
      </c>
      <c r="E134" s="2" t="s">
        <v>580</v>
      </c>
      <c r="F134" s="4" t="s">
        <v>581</v>
      </c>
      <c r="G134" s="4" t="s">
        <v>51</v>
      </c>
      <c r="H134" s="4" t="s">
        <v>156</v>
      </c>
      <c r="I134" s="4" t="s">
        <v>157</v>
      </c>
      <c r="J134" s="4" t="s">
        <v>88</v>
      </c>
      <c r="K134" s="4" t="s">
        <v>25</v>
      </c>
      <c r="L134" s="4" t="s">
        <v>124</v>
      </c>
      <c r="M134" s="4" t="s">
        <v>582</v>
      </c>
      <c r="N134" s="5">
        <v>9305.49</v>
      </c>
      <c r="O134" s="6">
        <v>6</v>
      </c>
      <c r="P134" s="7">
        <v>0.5</v>
      </c>
      <c r="Q134" s="5">
        <v>-4456.4399999999996</v>
      </c>
    </row>
    <row r="135" spans="1:17" x14ac:dyDescent="0.3">
      <c r="A135" s="8" t="s">
        <v>583</v>
      </c>
      <c r="B135" s="9">
        <v>44845</v>
      </c>
      <c r="C135" s="9">
        <v>44852</v>
      </c>
      <c r="D135" s="8" t="s">
        <v>29</v>
      </c>
      <c r="E135" s="8" t="s">
        <v>584</v>
      </c>
      <c r="F135" s="10" t="s">
        <v>585</v>
      </c>
      <c r="G135" s="10" t="s">
        <v>42</v>
      </c>
      <c r="H135" s="10" t="s">
        <v>250</v>
      </c>
      <c r="I135" s="10" t="s">
        <v>251</v>
      </c>
      <c r="J135" s="10" t="s">
        <v>88</v>
      </c>
      <c r="K135" s="10" t="s">
        <v>25</v>
      </c>
      <c r="L135" s="10" t="s">
        <v>26</v>
      </c>
      <c r="M135" s="10" t="s">
        <v>586</v>
      </c>
      <c r="N135" s="11">
        <v>1410</v>
      </c>
      <c r="O135" s="12">
        <v>8</v>
      </c>
      <c r="P135" s="13">
        <v>0</v>
      </c>
      <c r="Q135" s="11">
        <v>282.13</v>
      </c>
    </row>
    <row r="136" spans="1:17" x14ac:dyDescent="0.3">
      <c r="A136" s="2" t="s">
        <v>587</v>
      </c>
      <c r="B136" s="3">
        <v>45297</v>
      </c>
      <c r="C136" s="3">
        <v>45304</v>
      </c>
      <c r="D136" s="2" t="s">
        <v>29</v>
      </c>
      <c r="E136" s="2" t="s">
        <v>588</v>
      </c>
      <c r="F136" s="4" t="s">
        <v>589</v>
      </c>
      <c r="G136" s="4" t="s">
        <v>42</v>
      </c>
      <c r="H136" s="4" t="s">
        <v>397</v>
      </c>
      <c r="I136" s="4" t="s">
        <v>33</v>
      </c>
      <c r="J136" s="4" t="s">
        <v>34</v>
      </c>
      <c r="K136" s="4" t="s">
        <v>25</v>
      </c>
      <c r="L136" s="4" t="s">
        <v>68</v>
      </c>
      <c r="M136" s="4" t="s">
        <v>590</v>
      </c>
      <c r="N136" s="5">
        <v>397.73</v>
      </c>
      <c r="O136" s="6">
        <v>4</v>
      </c>
      <c r="P136" s="7">
        <v>0.1</v>
      </c>
      <c r="Q136" s="5">
        <v>155.79</v>
      </c>
    </row>
    <row r="137" spans="1:17" x14ac:dyDescent="0.3">
      <c r="A137" s="8" t="s">
        <v>591</v>
      </c>
      <c r="B137" s="9">
        <v>44424</v>
      </c>
      <c r="C137" s="9">
        <v>44426</v>
      </c>
      <c r="D137" s="8" t="s">
        <v>39</v>
      </c>
      <c r="E137" s="8" t="s">
        <v>592</v>
      </c>
      <c r="F137" s="10" t="s">
        <v>593</v>
      </c>
      <c r="G137" s="10" t="s">
        <v>21</v>
      </c>
      <c r="H137" s="10" t="s">
        <v>207</v>
      </c>
      <c r="I137" s="10" t="s">
        <v>60</v>
      </c>
      <c r="J137" s="10" t="s">
        <v>54</v>
      </c>
      <c r="K137" s="10" t="s">
        <v>45</v>
      </c>
      <c r="L137" s="10" t="s">
        <v>99</v>
      </c>
      <c r="M137" s="10" t="s">
        <v>594</v>
      </c>
      <c r="N137" s="11">
        <v>183.02</v>
      </c>
      <c r="O137" s="12">
        <v>1</v>
      </c>
      <c r="P137" s="13">
        <v>0</v>
      </c>
      <c r="Q137" s="11">
        <v>62.11</v>
      </c>
    </row>
    <row r="138" spans="1:17" x14ac:dyDescent="0.3">
      <c r="A138" s="2" t="s">
        <v>595</v>
      </c>
      <c r="B138" s="3">
        <v>45233</v>
      </c>
      <c r="C138" s="3">
        <v>45236</v>
      </c>
      <c r="D138" s="2" t="s">
        <v>39</v>
      </c>
      <c r="E138" s="2" t="s">
        <v>244</v>
      </c>
      <c r="F138" s="4" t="s">
        <v>245</v>
      </c>
      <c r="G138" s="4" t="s">
        <v>42</v>
      </c>
      <c r="H138" s="4" t="s">
        <v>79</v>
      </c>
      <c r="I138" s="4" t="s">
        <v>80</v>
      </c>
      <c r="J138" s="4" t="s">
        <v>54</v>
      </c>
      <c r="K138" s="4" t="s">
        <v>25</v>
      </c>
      <c r="L138" s="4" t="s">
        <v>26</v>
      </c>
      <c r="M138" s="4" t="s">
        <v>596</v>
      </c>
      <c r="N138" s="5">
        <v>1725.18</v>
      </c>
      <c r="O138" s="6">
        <v>1</v>
      </c>
      <c r="P138" s="7">
        <v>1.43</v>
      </c>
      <c r="Q138" s="5">
        <v>212.56</v>
      </c>
    </row>
    <row r="139" spans="1:17" x14ac:dyDescent="0.3">
      <c r="A139" s="8" t="s">
        <v>597</v>
      </c>
      <c r="B139" s="9">
        <v>44236</v>
      </c>
      <c r="C139" s="9">
        <v>44240</v>
      </c>
      <c r="D139" s="8" t="s">
        <v>39</v>
      </c>
      <c r="E139" s="8" t="s">
        <v>197</v>
      </c>
      <c r="F139" s="10" t="s">
        <v>198</v>
      </c>
      <c r="G139" s="10" t="s">
        <v>21</v>
      </c>
      <c r="H139" s="10" t="s">
        <v>129</v>
      </c>
      <c r="I139" s="10" t="s">
        <v>33</v>
      </c>
      <c r="J139" s="10" t="s">
        <v>34</v>
      </c>
      <c r="K139" s="10" t="s">
        <v>35</v>
      </c>
      <c r="L139" s="10" t="s">
        <v>36</v>
      </c>
      <c r="M139" s="10" t="s">
        <v>598</v>
      </c>
      <c r="N139" s="11">
        <v>189.76</v>
      </c>
      <c r="O139" s="12">
        <v>5</v>
      </c>
      <c r="P139" s="13">
        <v>0.15</v>
      </c>
      <c r="Q139" s="11">
        <v>47.26</v>
      </c>
    </row>
    <row r="140" spans="1:17" x14ac:dyDescent="0.3">
      <c r="A140" s="2" t="s">
        <v>599</v>
      </c>
      <c r="B140" s="3">
        <v>44629</v>
      </c>
      <c r="C140" s="3">
        <v>44633</v>
      </c>
      <c r="D140" s="2" t="s">
        <v>73</v>
      </c>
      <c r="E140" s="2" t="s">
        <v>370</v>
      </c>
      <c r="F140" s="4" t="s">
        <v>371</v>
      </c>
      <c r="G140" s="4" t="s">
        <v>51</v>
      </c>
      <c r="H140" s="4" t="s">
        <v>372</v>
      </c>
      <c r="I140" s="4" t="s">
        <v>373</v>
      </c>
      <c r="J140" s="4" t="s">
        <v>34</v>
      </c>
      <c r="K140" s="4" t="s">
        <v>45</v>
      </c>
      <c r="L140" s="4" t="s">
        <v>61</v>
      </c>
      <c r="M140" s="4" t="s">
        <v>600</v>
      </c>
      <c r="N140" s="5">
        <v>887.56</v>
      </c>
      <c r="O140" s="6">
        <v>1</v>
      </c>
      <c r="P140" s="7">
        <v>0</v>
      </c>
      <c r="Q140" s="5">
        <v>130.72999999999999</v>
      </c>
    </row>
    <row r="141" spans="1:17" x14ac:dyDescent="0.3">
      <c r="A141" s="8" t="s">
        <v>601</v>
      </c>
      <c r="B141" s="9">
        <v>45424</v>
      </c>
      <c r="C141" s="9">
        <v>45426</v>
      </c>
      <c r="D141" s="8" t="s">
        <v>39</v>
      </c>
      <c r="E141" s="8" t="s">
        <v>201</v>
      </c>
      <c r="F141" s="10" t="s">
        <v>202</v>
      </c>
      <c r="G141" s="10" t="s">
        <v>21</v>
      </c>
      <c r="H141" s="10" t="s">
        <v>98</v>
      </c>
      <c r="I141" s="10" t="s">
        <v>80</v>
      </c>
      <c r="J141" s="10" t="s">
        <v>54</v>
      </c>
      <c r="K141" s="10" t="s">
        <v>25</v>
      </c>
      <c r="L141" s="10" t="s">
        <v>74</v>
      </c>
      <c r="M141" s="10" t="s">
        <v>602</v>
      </c>
      <c r="N141" s="11">
        <v>1225.1199999999999</v>
      </c>
      <c r="O141" s="12">
        <v>6</v>
      </c>
      <c r="P141" s="13">
        <v>0.15</v>
      </c>
      <c r="Q141" s="11">
        <v>398.23</v>
      </c>
    </row>
    <row r="142" spans="1:17" x14ac:dyDescent="0.3">
      <c r="A142" s="2" t="s">
        <v>603</v>
      </c>
      <c r="B142" s="3">
        <v>44376</v>
      </c>
      <c r="C142" s="3">
        <v>44379</v>
      </c>
      <c r="D142" s="2" t="s">
        <v>18</v>
      </c>
      <c r="E142" s="2" t="s">
        <v>484</v>
      </c>
      <c r="F142" s="4" t="s">
        <v>485</v>
      </c>
      <c r="G142" s="4" t="s">
        <v>21</v>
      </c>
      <c r="H142" s="4" t="s">
        <v>86</v>
      </c>
      <c r="I142" s="4" t="s">
        <v>87</v>
      </c>
      <c r="J142" s="4" t="s">
        <v>88</v>
      </c>
      <c r="K142" s="4" t="s">
        <v>45</v>
      </c>
      <c r="L142" s="4" t="s">
        <v>99</v>
      </c>
      <c r="M142" s="4" t="s">
        <v>604</v>
      </c>
      <c r="N142" s="5">
        <v>253.73</v>
      </c>
      <c r="O142" s="6">
        <v>6</v>
      </c>
      <c r="P142" s="7">
        <v>0.2</v>
      </c>
      <c r="Q142" s="5">
        <v>30.1</v>
      </c>
    </row>
    <row r="143" spans="1:17" x14ac:dyDescent="0.3">
      <c r="A143" s="8" t="s">
        <v>605</v>
      </c>
      <c r="B143" s="9">
        <v>45234</v>
      </c>
      <c r="C143" s="9">
        <v>45237</v>
      </c>
      <c r="D143" s="8" t="s">
        <v>18</v>
      </c>
      <c r="E143" s="8" t="s">
        <v>606</v>
      </c>
      <c r="F143" s="10" t="s">
        <v>607</v>
      </c>
      <c r="G143" s="10" t="s">
        <v>51</v>
      </c>
      <c r="H143" s="10" t="s">
        <v>104</v>
      </c>
      <c r="I143" s="10" t="s">
        <v>105</v>
      </c>
      <c r="J143" s="10" t="s">
        <v>88</v>
      </c>
      <c r="K143" s="10" t="s">
        <v>45</v>
      </c>
      <c r="L143" s="10" t="s">
        <v>61</v>
      </c>
      <c r="M143" s="10" t="s">
        <v>608</v>
      </c>
      <c r="N143" s="11">
        <v>3570.24</v>
      </c>
      <c r="O143" s="12">
        <v>8</v>
      </c>
      <c r="P143" s="13">
        <v>0.5</v>
      </c>
      <c r="Q143" s="11">
        <v>-2742.86</v>
      </c>
    </row>
    <row r="144" spans="1:17" x14ac:dyDescent="0.3">
      <c r="A144" s="2" t="s">
        <v>609</v>
      </c>
      <c r="B144" s="3">
        <v>45517</v>
      </c>
      <c r="C144" s="3">
        <v>45522</v>
      </c>
      <c r="D144" s="2" t="s">
        <v>73</v>
      </c>
      <c r="E144" s="2" t="s">
        <v>610</v>
      </c>
      <c r="F144" s="4" t="s">
        <v>611</v>
      </c>
      <c r="G144" s="4" t="s">
        <v>51</v>
      </c>
      <c r="H144" s="4" t="s">
        <v>346</v>
      </c>
      <c r="I144" s="4" t="s">
        <v>347</v>
      </c>
      <c r="J144" s="4" t="s">
        <v>88</v>
      </c>
      <c r="K144" s="4" t="s">
        <v>35</v>
      </c>
      <c r="L144" s="4" t="s">
        <v>216</v>
      </c>
      <c r="M144" s="4" t="s">
        <v>612</v>
      </c>
      <c r="N144" s="5">
        <v>252.6</v>
      </c>
      <c r="O144" s="6">
        <v>6</v>
      </c>
      <c r="P144" s="7">
        <v>0</v>
      </c>
      <c r="Q144" s="5">
        <v>131.46</v>
      </c>
    </row>
    <row r="145" spans="1:17" x14ac:dyDescent="0.3">
      <c r="A145" s="8" t="s">
        <v>613</v>
      </c>
      <c r="B145" s="9">
        <v>45126</v>
      </c>
      <c r="C145" s="9">
        <v>45130</v>
      </c>
      <c r="D145" s="8" t="s">
        <v>73</v>
      </c>
      <c r="E145" s="8" t="s">
        <v>614</v>
      </c>
      <c r="F145" s="10" t="s">
        <v>615</v>
      </c>
      <c r="G145" s="10" t="s">
        <v>21</v>
      </c>
      <c r="H145" s="10" t="s">
        <v>139</v>
      </c>
      <c r="I145" s="10" t="s">
        <v>140</v>
      </c>
      <c r="J145" s="10" t="s">
        <v>24</v>
      </c>
      <c r="K145" s="10" t="s">
        <v>45</v>
      </c>
      <c r="L145" s="10" t="s">
        <v>117</v>
      </c>
      <c r="M145" s="10" t="s">
        <v>616</v>
      </c>
      <c r="N145" s="11">
        <v>1118</v>
      </c>
      <c r="O145" s="12">
        <v>6</v>
      </c>
      <c r="P145" s="13">
        <v>0.3</v>
      </c>
      <c r="Q145" s="11">
        <v>89.46</v>
      </c>
    </row>
    <row r="146" spans="1:17" x14ac:dyDescent="0.3">
      <c r="A146" s="2" t="s">
        <v>617</v>
      </c>
      <c r="B146" s="3">
        <v>45215</v>
      </c>
      <c r="C146" s="3">
        <v>45220</v>
      </c>
      <c r="D146" s="2" t="s">
        <v>29</v>
      </c>
      <c r="E146" s="2" t="s">
        <v>618</v>
      </c>
      <c r="F146" s="4" t="s">
        <v>619</v>
      </c>
      <c r="G146" s="4" t="s">
        <v>42</v>
      </c>
      <c r="H146" s="4" t="s">
        <v>260</v>
      </c>
      <c r="I146" s="4" t="s">
        <v>151</v>
      </c>
      <c r="J146" s="4" t="s">
        <v>34</v>
      </c>
      <c r="K146" s="4" t="s">
        <v>35</v>
      </c>
      <c r="L146" s="4" t="s">
        <v>216</v>
      </c>
      <c r="M146" s="4" t="s">
        <v>620</v>
      </c>
      <c r="N146" s="5">
        <v>352.44</v>
      </c>
      <c r="O146" s="6">
        <v>8</v>
      </c>
      <c r="P146" s="7">
        <v>0.15</v>
      </c>
      <c r="Q146" s="5">
        <v>149.68</v>
      </c>
    </row>
    <row r="147" spans="1:17" x14ac:dyDescent="0.3">
      <c r="A147" s="8" t="s">
        <v>621</v>
      </c>
      <c r="B147" s="9">
        <v>44370</v>
      </c>
      <c r="C147" s="9">
        <v>44375</v>
      </c>
      <c r="D147" s="8" t="s">
        <v>73</v>
      </c>
      <c r="E147" s="8" t="s">
        <v>376</v>
      </c>
      <c r="F147" s="10" t="s">
        <v>377</v>
      </c>
      <c r="G147" s="10" t="s">
        <v>42</v>
      </c>
      <c r="H147" s="10" t="s">
        <v>122</v>
      </c>
      <c r="I147" s="10" t="s">
        <v>123</v>
      </c>
      <c r="J147" s="10" t="s">
        <v>24</v>
      </c>
      <c r="K147" s="10" t="s">
        <v>25</v>
      </c>
      <c r="L147" s="10" t="s">
        <v>26</v>
      </c>
      <c r="M147" s="10" t="s">
        <v>622</v>
      </c>
      <c r="N147" s="11">
        <v>1573.09</v>
      </c>
      <c r="O147" s="12">
        <v>1</v>
      </c>
      <c r="P147" s="13">
        <v>0.1</v>
      </c>
      <c r="Q147" s="11">
        <v>198.89</v>
      </c>
    </row>
    <row r="148" spans="1:17" x14ac:dyDescent="0.3">
      <c r="A148" s="2" t="s">
        <v>623</v>
      </c>
      <c r="B148" s="3">
        <v>44413</v>
      </c>
      <c r="C148" s="3">
        <v>44417</v>
      </c>
      <c r="D148" s="2" t="s">
        <v>73</v>
      </c>
      <c r="E148" s="2" t="s">
        <v>108</v>
      </c>
      <c r="F148" s="4" t="s">
        <v>109</v>
      </c>
      <c r="G148" s="4" t="s">
        <v>21</v>
      </c>
      <c r="H148" s="4" t="s">
        <v>22</v>
      </c>
      <c r="I148" s="4" t="s">
        <v>23</v>
      </c>
      <c r="J148" s="4" t="s">
        <v>24</v>
      </c>
      <c r="K148" s="4" t="s">
        <v>45</v>
      </c>
      <c r="L148" s="4" t="s">
        <v>46</v>
      </c>
      <c r="M148" s="4" t="s">
        <v>624</v>
      </c>
      <c r="N148" s="5">
        <v>1139.04</v>
      </c>
      <c r="O148" s="6">
        <v>3</v>
      </c>
      <c r="P148" s="7">
        <v>0.5</v>
      </c>
      <c r="Q148" s="5">
        <v>-199.19</v>
      </c>
    </row>
    <row r="149" spans="1:17" x14ac:dyDescent="0.3">
      <c r="A149" s="8" t="s">
        <v>625</v>
      </c>
      <c r="B149" s="9">
        <v>44227</v>
      </c>
      <c r="C149" s="9">
        <v>44228</v>
      </c>
      <c r="D149" s="8" t="s">
        <v>18</v>
      </c>
      <c r="E149" s="8" t="s">
        <v>40</v>
      </c>
      <c r="F149" s="10" t="s">
        <v>41</v>
      </c>
      <c r="G149" s="10" t="s">
        <v>42</v>
      </c>
      <c r="H149" s="10" t="s">
        <v>43</v>
      </c>
      <c r="I149" s="10" t="s">
        <v>44</v>
      </c>
      <c r="J149" s="10" t="s">
        <v>24</v>
      </c>
      <c r="K149" s="10" t="s">
        <v>35</v>
      </c>
      <c r="L149" s="10" t="s">
        <v>158</v>
      </c>
      <c r="M149" s="10" t="s">
        <v>626</v>
      </c>
      <c r="N149" s="11">
        <v>102.46</v>
      </c>
      <c r="O149" s="12">
        <v>1</v>
      </c>
      <c r="P149" s="13">
        <v>1.41</v>
      </c>
      <c r="Q149" s="11">
        <v>42.66</v>
      </c>
    </row>
    <row r="150" spans="1:17" x14ac:dyDescent="0.3">
      <c r="A150" s="2" t="s">
        <v>627</v>
      </c>
      <c r="B150" s="3">
        <v>44301</v>
      </c>
      <c r="C150" s="3">
        <v>44303</v>
      </c>
      <c r="D150" s="2" t="s">
        <v>18</v>
      </c>
      <c r="E150" s="2" t="s">
        <v>628</v>
      </c>
      <c r="F150" s="4" t="s">
        <v>629</v>
      </c>
      <c r="G150" s="4" t="s">
        <v>42</v>
      </c>
      <c r="H150" s="4" t="s">
        <v>32</v>
      </c>
      <c r="I150" s="4" t="s">
        <v>33</v>
      </c>
      <c r="J150" s="4" t="s">
        <v>34</v>
      </c>
      <c r="K150" s="4" t="s">
        <v>25</v>
      </c>
      <c r="L150" s="4" t="s">
        <v>124</v>
      </c>
      <c r="M150" s="4" t="s">
        <v>630</v>
      </c>
      <c r="N150" s="5">
        <v>5680.86</v>
      </c>
      <c r="O150" s="6">
        <v>6</v>
      </c>
      <c r="P150" s="7">
        <v>0</v>
      </c>
      <c r="Q150" s="5">
        <v>1407.78</v>
      </c>
    </row>
    <row r="151" spans="1:17" x14ac:dyDescent="0.3">
      <c r="A151" s="8" t="s">
        <v>631</v>
      </c>
      <c r="B151" s="9">
        <v>44492</v>
      </c>
      <c r="C151" s="9">
        <v>44497</v>
      </c>
      <c r="D151" s="8" t="s">
        <v>73</v>
      </c>
      <c r="E151" s="8" t="s">
        <v>258</v>
      </c>
      <c r="F151" s="10" t="s">
        <v>259</v>
      </c>
      <c r="G151" s="10" t="s">
        <v>51</v>
      </c>
      <c r="H151" s="10" t="s">
        <v>260</v>
      </c>
      <c r="I151" s="10" t="s">
        <v>151</v>
      </c>
      <c r="J151" s="10" t="s">
        <v>34</v>
      </c>
      <c r="K151" s="10" t="s">
        <v>45</v>
      </c>
      <c r="L151" s="10" t="s">
        <v>61</v>
      </c>
      <c r="M151" s="10" t="s">
        <v>632</v>
      </c>
      <c r="N151" s="11">
        <v>1434.82</v>
      </c>
      <c r="O151" s="12">
        <v>6</v>
      </c>
      <c r="P151" s="13">
        <v>0.4</v>
      </c>
      <c r="Q151" s="11">
        <v>-885.35</v>
      </c>
    </row>
    <row r="152" spans="1:17" x14ac:dyDescent="0.3">
      <c r="A152" s="2" t="s">
        <v>633</v>
      </c>
      <c r="B152" s="3">
        <v>44255</v>
      </c>
      <c r="C152" s="3">
        <v>44262</v>
      </c>
      <c r="D152" s="2" t="s">
        <v>29</v>
      </c>
      <c r="E152" s="2" t="s">
        <v>537</v>
      </c>
      <c r="F152" s="4" t="s">
        <v>538</v>
      </c>
      <c r="G152" s="4" t="s">
        <v>42</v>
      </c>
      <c r="H152" s="4" t="s">
        <v>115</v>
      </c>
      <c r="I152" s="4" t="s">
        <v>116</v>
      </c>
      <c r="J152" s="4" t="s">
        <v>54</v>
      </c>
      <c r="K152" s="4" t="s">
        <v>35</v>
      </c>
      <c r="L152" s="4" t="s">
        <v>89</v>
      </c>
      <c r="M152" s="4" t="s">
        <v>634</v>
      </c>
      <c r="N152" s="5">
        <v>348.39</v>
      </c>
      <c r="O152" s="6">
        <v>3</v>
      </c>
      <c r="P152" s="7">
        <v>0.4</v>
      </c>
      <c r="Q152" s="5">
        <v>-60.48</v>
      </c>
    </row>
    <row r="153" spans="1:17" x14ac:dyDescent="0.3">
      <c r="A153" s="8" t="s">
        <v>635</v>
      </c>
      <c r="B153" s="9">
        <v>44665</v>
      </c>
      <c r="C153" s="9">
        <v>44666</v>
      </c>
      <c r="D153" s="8" t="s">
        <v>18</v>
      </c>
      <c r="E153" s="8" t="s">
        <v>240</v>
      </c>
      <c r="F153" s="10" t="s">
        <v>241</v>
      </c>
      <c r="G153" s="10" t="s">
        <v>42</v>
      </c>
      <c r="H153" s="10" t="s">
        <v>115</v>
      </c>
      <c r="I153" s="10" t="s">
        <v>116</v>
      </c>
      <c r="J153" s="10" t="s">
        <v>54</v>
      </c>
      <c r="K153" s="10" t="s">
        <v>45</v>
      </c>
      <c r="L153" s="10" t="s">
        <v>99</v>
      </c>
      <c r="M153" s="10" t="s">
        <v>636</v>
      </c>
      <c r="N153" s="11">
        <v>1156.75</v>
      </c>
      <c r="O153" s="12">
        <v>7</v>
      </c>
      <c r="P153" s="13">
        <v>0</v>
      </c>
      <c r="Q153" s="11">
        <v>374.29</v>
      </c>
    </row>
    <row r="154" spans="1:17" x14ac:dyDescent="0.3">
      <c r="A154" s="2" t="s">
        <v>637</v>
      </c>
      <c r="B154" s="3">
        <v>45331</v>
      </c>
      <c r="C154" s="3">
        <v>45334</v>
      </c>
      <c r="D154" s="2" t="s">
        <v>39</v>
      </c>
      <c r="E154" s="2" t="s">
        <v>175</v>
      </c>
      <c r="F154" s="4" t="s">
        <v>176</v>
      </c>
      <c r="G154" s="4" t="s">
        <v>51</v>
      </c>
      <c r="H154" s="4" t="s">
        <v>177</v>
      </c>
      <c r="I154" s="4" t="s">
        <v>178</v>
      </c>
      <c r="J154" s="4" t="s">
        <v>24</v>
      </c>
      <c r="K154" s="4" t="s">
        <v>45</v>
      </c>
      <c r="L154" s="4" t="s">
        <v>117</v>
      </c>
      <c r="M154" s="4" t="s">
        <v>638</v>
      </c>
      <c r="N154" s="5">
        <v>1359.79</v>
      </c>
      <c r="O154" s="6">
        <v>4</v>
      </c>
      <c r="P154" s="7">
        <v>0.3</v>
      </c>
      <c r="Q154" s="5">
        <v>108.38</v>
      </c>
    </row>
    <row r="155" spans="1:17" x14ac:dyDescent="0.3">
      <c r="A155" s="8" t="s">
        <v>639</v>
      </c>
      <c r="B155" s="9">
        <v>44681</v>
      </c>
      <c r="C155" s="9">
        <v>44683</v>
      </c>
      <c r="D155" s="8" t="s">
        <v>18</v>
      </c>
      <c r="E155" s="8" t="s">
        <v>495</v>
      </c>
      <c r="F155" s="10" t="s">
        <v>496</v>
      </c>
      <c r="G155" s="10" t="s">
        <v>51</v>
      </c>
      <c r="H155" s="10" t="s">
        <v>497</v>
      </c>
      <c r="I155" s="10" t="s">
        <v>423</v>
      </c>
      <c r="J155" s="10" t="s">
        <v>88</v>
      </c>
      <c r="K155" s="10" t="s">
        <v>25</v>
      </c>
      <c r="L155" s="10" t="s">
        <v>74</v>
      </c>
      <c r="M155" s="10" t="s">
        <v>640</v>
      </c>
      <c r="N155" s="11">
        <v>1608.84</v>
      </c>
      <c r="O155" s="12">
        <v>6</v>
      </c>
      <c r="P155" s="13">
        <v>0</v>
      </c>
      <c r="Q155" s="11">
        <v>602.37</v>
      </c>
    </row>
    <row r="156" spans="1:17" x14ac:dyDescent="0.3">
      <c r="A156" s="2" t="s">
        <v>641</v>
      </c>
      <c r="B156" s="3">
        <v>45456</v>
      </c>
      <c r="C156" s="3">
        <v>45458</v>
      </c>
      <c r="D156" s="2" t="s">
        <v>39</v>
      </c>
      <c r="E156" s="2" t="s">
        <v>642</v>
      </c>
      <c r="F156" s="4" t="s">
        <v>643</v>
      </c>
      <c r="G156" s="4" t="s">
        <v>51</v>
      </c>
      <c r="H156" s="4" t="s">
        <v>171</v>
      </c>
      <c r="I156" s="4" t="s">
        <v>172</v>
      </c>
      <c r="J156" s="4" t="s">
        <v>24</v>
      </c>
      <c r="K156" s="4" t="s">
        <v>45</v>
      </c>
      <c r="L156" s="4" t="s">
        <v>46</v>
      </c>
      <c r="M156" s="4" t="s">
        <v>644</v>
      </c>
      <c r="N156" s="5">
        <v>5385.73</v>
      </c>
      <c r="O156" s="6">
        <v>7</v>
      </c>
      <c r="P156" s="7">
        <v>0</v>
      </c>
      <c r="Q156" s="5">
        <v>1664.53</v>
      </c>
    </row>
    <row r="157" spans="1:17" x14ac:dyDescent="0.3">
      <c r="A157" s="8" t="s">
        <v>645</v>
      </c>
      <c r="B157" s="9">
        <v>44259</v>
      </c>
      <c r="C157" s="9">
        <v>44262</v>
      </c>
      <c r="D157" s="8" t="s">
        <v>18</v>
      </c>
      <c r="E157" s="8" t="s">
        <v>370</v>
      </c>
      <c r="F157" s="10" t="s">
        <v>371</v>
      </c>
      <c r="G157" s="10" t="s">
        <v>51</v>
      </c>
      <c r="H157" s="10" t="s">
        <v>372</v>
      </c>
      <c r="I157" s="10" t="s">
        <v>373</v>
      </c>
      <c r="J157" s="10" t="s">
        <v>34</v>
      </c>
      <c r="K157" s="10" t="s">
        <v>25</v>
      </c>
      <c r="L157" s="10" t="s">
        <v>26</v>
      </c>
      <c r="M157" s="10" t="s">
        <v>646</v>
      </c>
      <c r="N157" s="11">
        <v>10836.72</v>
      </c>
      <c r="O157" s="12">
        <v>10</v>
      </c>
      <c r="P157" s="13">
        <v>0.2</v>
      </c>
      <c r="Q157" s="11">
        <v>-255.98</v>
      </c>
    </row>
    <row r="158" spans="1:17" x14ac:dyDescent="0.3">
      <c r="A158" s="2" t="s">
        <v>647</v>
      </c>
      <c r="B158" s="3">
        <v>45177</v>
      </c>
      <c r="C158" s="3">
        <v>45182</v>
      </c>
      <c r="D158" s="2" t="s">
        <v>73</v>
      </c>
      <c r="E158" s="2" t="s">
        <v>333</v>
      </c>
      <c r="F158" s="4" t="s">
        <v>334</v>
      </c>
      <c r="G158" s="4" t="s">
        <v>21</v>
      </c>
      <c r="H158" s="4" t="s">
        <v>335</v>
      </c>
      <c r="I158" s="4" t="s">
        <v>251</v>
      </c>
      <c r="J158" s="4" t="s">
        <v>88</v>
      </c>
      <c r="K158" s="4" t="s">
        <v>35</v>
      </c>
      <c r="L158" s="4" t="s">
        <v>36</v>
      </c>
      <c r="M158" s="4" t="s">
        <v>648</v>
      </c>
      <c r="N158" s="5">
        <v>306.39999999999998</v>
      </c>
      <c r="O158" s="6">
        <v>4</v>
      </c>
      <c r="P158" s="7">
        <v>0</v>
      </c>
      <c r="Q158" s="5">
        <v>116.58</v>
      </c>
    </row>
    <row r="159" spans="1:17" x14ac:dyDescent="0.3">
      <c r="A159" s="8" t="s">
        <v>649</v>
      </c>
      <c r="B159" s="9">
        <v>45622</v>
      </c>
      <c r="C159" s="9">
        <v>45625</v>
      </c>
      <c r="D159" s="8" t="s">
        <v>73</v>
      </c>
      <c r="E159" s="8" t="s">
        <v>650</v>
      </c>
      <c r="F159" s="10" t="s">
        <v>651</v>
      </c>
      <c r="G159" s="10" t="s">
        <v>42</v>
      </c>
      <c r="H159" s="10" t="s">
        <v>438</v>
      </c>
      <c r="I159" s="10" t="s">
        <v>157</v>
      </c>
      <c r="J159" s="10" t="s">
        <v>88</v>
      </c>
      <c r="K159" s="10" t="s">
        <v>45</v>
      </c>
      <c r="L159" s="10" t="s">
        <v>117</v>
      </c>
      <c r="M159" s="10" t="s">
        <v>652</v>
      </c>
      <c r="N159" s="11">
        <v>497.24</v>
      </c>
      <c r="O159" s="12">
        <v>4</v>
      </c>
      <c r="P159" s="13">
        <v>0</v>
      </c>
      <c r="Q159" s="11">
        <v>114.09</v>
      </c>
    </row>
    <row r="160" spans="1:17" x14ac:dyDescent="0.3">
      <c r="A160" s="2" t="s">
        <v>653</v>
      </c>
      <c r="B160" s="3">
        <v>45606</v>
      </c>
      <c r="C160" s="3">
        <v>45612</v>
      </c>
      <c r="D160" s="2" t="s">
        <v>29</v>
      </c>
      <c r="E160" s="2" t="s">
        <v>654</v>
      </c>
      <c r="F160" s="4" t="s">
        <v>655</v>
      </c>
      <c r="G160" s="4" t="s">
        <v>21</v>
      </c>
      <c r="H160" s="4" t="s">
        <v>66</v>
      </c>
      <c r="I160" s="4" t="s">
        <v>67</v>
      </c>
      <c r="J160" s="4" t="s">
        <v>34</v>
      </c>
      <c r="K160" s="4" t="s">
        <v>25</v>
      </c>
      <c r="L160" s="4" t="s">
        <v>124</v>
      </c>
      <c r="M160" s="4" t="s">
        <v>656</v>
      </c>
      <c r="N160" s="5">
        <v>3040.43</v>
      </c>
      <c r="O160" s="6">
        <v>5</v>
      </c>
      <c r="P160" s="7">
        <v>0.5</v>
      </c>
      <c r="Q160" s="5">
        <v>-1116.3800000000001</v>
      </c>
    </row>
    <row r="161" spans="1:17" x14ac:dyDescent="0.3">
      <c r="A161" s="8" t="s">
        <v>657</v>
      </c>
      <c r="B161" s="9">
        <v>44793</v>
      </c>
      <c r="C161" s="9">
        <v>44794</v>
      </c>
      <c r="D161" s="8" t="s">
        <v>18</v>
      </c>
      <c r="E161" s="8" t="s">
        <v>102</v>
      </c>
      <c r="F161" s="10" t="s">
        <v>103</v>
      </c>
      <c r="G161" s="10" t="s">
        <v>42</v>
      </c>
      <c r="H161" s="10" t="s">
        <v>104</v>
      </c>
      <c r="I161" s="10" t="s">
        <v>105</v>
      </c>
      <c r="J161" s="10" t="s">
        <v>88</v>
      </c>
      <c r="K161" s="10" t="s">
        <v>25</v>
      </c>
      <c r="L161" s="10" t="s">
        <v>68</v>
      </c>
      <c r="M161" s="10" t="s">
        <v>658</v>
      </c>
      <c r="N161" s="11">
        <v>1235.6600000000001</v>
      </c>
      <c r="O161" s="12">
        <v>10</v>
      </c>
      <c r="P161" s="13">
        <v>0.05</v>
      </c>
      <c r="Q161" s="11">
        <v>409.76</v>
      </c>
    </row>
    <row r="162" spans="1:17" x14ac:dyDescent="0.3">
      <c r="A162" s="2" t="s">
        <v>659</v>
      </c>
      <c r="B162" s="3">
        <v>44473</v>
      </c>
      <c r="C162" s="3">
        <v>44478</v>
      </c>
      <c r="D162" s="2" t="s">
        <v>73</v>
      </c>
      <c r="E162" s="2" t="s">
        <v>289</v>
      </c>
      <c r="F162" s="4" t="s">
        <v>290</v>
      </c>
      <c r="G162" s="4" t="s">
        <v>51</v>
      </c>
      <c r="H162" s="4" t="s">
        <v>115</v>
      </c>
      <c r="I162" s="4" t="s">
        <v>116</v>
      </c>
      <c r="J162" s="4" t="s">
        <v>54</v>
      </c>
      <c r="K162" s="4" t="s">
        <v>35</v>
      </c>
      <c r="L162" s="4" t="s">
        <v>89</v>
      </c>
      <c r="M162" s="4" t="s">
        <v>660</v>
      </c>
      <c r="N162" s="5">
        <v>2372.25</v>
      </c>
      <c r="O162" s="6">
        <v>9</v>
      </c>
      <c r="P162" s="7">
        <v>0.1</v>
      </c>
      <c r="Q162" s="5">
        <v>638.49</v>
      </c>
    </row>
    <row r="163" spans="1:17" x14ac:dyDescent="0.3">
      <c r="A163" s="8" t="s">
        <v>661</v>
      </c>
      <c r="B163" s="9">
        <v>45094</v>
      </c>
      <c r="C163" s="9">
        <v>45099</v>
      </c>
      <c r="D163" s="8" t="s">
        <v>29</v>
      </c>
      <c r="E163" s="8" t="s">
        <v>662</v>
      </c>
      <c r="F163" s="10" t="s">
        <v>663</v>
      </c>
      <c r="G163" s="10" t="s">
        <v>21</v>
      </c>
      <c r="H163" s="10" t="s">
        <v>104</v>
      </c>
      <c r="I163" s="10" t="s">
        <v>105</v>
      </c>
      <c r="J163" s="10" t="s">
        <v>88</v>
      </c>
      <c r="K163" s="10" t="s">
        <v>25</v>
      </c>
      <c r="L163" s="10" t="s">
        <v>124</v>
      </c>
      <c r="M163" s="10" t="s">
        <v>664</v>
      </c>
      <c r="N163" s="11">
        <v>5737.98</v>
      </c>
      <c r="O163" s="12">
        <v>3</v>
      </c>
      <c r="P163" s="13">
        <v>0.5</v>
      </c>
      <c r="Q163" s="11">
        <v>-3195.99</v>
      </c>
    </row>
    <row r="164" spans="1:17" x14ac:dyDescent="0.3">
      <c r="A164" s="2" t="s">
        <v>665</v>
      </c>
      <c r="B164" s="3">
        <v>44827</v>
      </c>
      <c r="C164" s="3">
        <v>44830</v>
      </c>
      <c r="D164" s="2" t="s">
        <v>18</v>
      </c>
      <c r="E164" s="2" t="s">
        <v>666</v>
      </c>
      <c r="F164" s="4" t="s">
        <v>667</v>
      </c>
      <c r="G164" s="4" t="s">
        <v>21</v>
      </c>
      <c r="H164" s="4" t="s">
        <v>372</v>
      </c>
      <c r="I164" s="4" t="s">
        <v>373</v>
      </c>
      <c r="J164" s="4" t="s">
        <v>34</v>
      </c>
      <c r="K164" s="4" t="s">
        <v>35</v>
      </c>
      <c r="L164" s="4" t="s">
        <v>110</v>
      </c>
      <c r="M164" s="4" t="s">
        <v>668</v>
      </c>
      <c r="N164" s="5">
        <v>15</v>
      </c>
      <c r="O164" s="6">
        <v>1</v>
      </c>
      <c r="P164" s="7">
        <v>0.1</v>
      </c>
      <c r="Q164" s="5">
        <v>6.25</v>
      </c>
    </row>
    <row r="165" spans="1:17" x14ac:dyDescent="0.3">
      <c r="A165" s="8" t="s">
        <v>669</v>
      </c>
      <c r="B165" s="9">
        <v>45341</v>
      </c>
      <c r="C165" s="9">
        <v>45345</v>
      </c>
      <c r="D165" s="8" t="s">
        <v>39</v>
      </c>
      <c r="E165" s="8" t="s">
        <v>670</v>
      </c>
      <c r="F165" s="10" t="s">
        <v>671</v>
      </c>
      <c r="G165" s="10" t="s">
        <v>21</v>
      </c>
      <c r="H165" s="10" t="s">
        <v>465</v>
      </c>
      <c r="I165" s="10" t="s">
        <v>423</v>
      </c>
      <c r="J165" s="10" t="s">
        <v>88</v>
      </c>
      <c r="K165" s="10" t="s">
        <v>25</v>
      </c>
      <c r="L165" s="10" t="s">
        <v>124</v>
      </c>
      <c r="M165" s="10" t="s">
        <v>672</v>
      </c>
      <c r="N165" s="11">
        <v>859.31</v>
      </c>
      <c r="O165" s="12">
        <v>1</v>
      </c>
      <c r="P165" s="13">
        <v>0.3</v>
      </c>
      <c r="Q165" s="11">
        <v>-101.96</v>
      </c>
    </row>
    <row r="166" spans="1:17" x14ac:dyDescent="0.3">
      <c r="A166" s="2" t="s">
        <v>673</v>
      </c>
      <c r="B166" s="3">
        <v>44817</v>
      </c>
      <c r="C166" s="3">
        <v>44821</v>
      </c>
      <c r="D166" s="2" t="s">
        <v>39</v>
      </c>
      <c r="E166" s="2" t="s">
        <v>628</v>
      </c>
      <c r="F166" s="4" t="s">
        <v>629</v>
      </c>
      <c r="G166" s="4" t="s">
        <v>42</v>
      </c>
      <c r="H166" s="4" t="s">
        <v>32</v>
      </c>
      <c r="I166" s="4" t="s">
        <v>33</v>
      </c>
      <c r="J166" s="4" t="s">
        <v>34</v>
      </c>
      <c r="K166" s="4" t="s">
        <v>25</v>
      </c>
      <c r="L166" s="4" t="s">
        <v>74</v>
      </c>
      <c r="M166" s="4" t="s">
        <v>674</v>
      </c>
      <c r="N166" s="5">
        <v>1345.15</v>
      </c>
      <c r="O166" s="6">
        <v>7</v>
      </c>
      <c r="P166" s="7">
        <v>0.5</v>
      </c>
      <c r="Q166" s="5">
        <v>-420.09</v>
      </c>
    </row>
    <row r="167" spans="1:17" x14ac:dyDescent="0.3">
      <c r="A167" s="8" t="s">
        <v>675</v>
      </c>
      <c r="B167" s="9">
        <v>44684</v>
      </c>
      <c r="C167" s="9">
        <v>44686</v>
      </c>
      <c r="D167" s="8" t="s">
        <v>39</v>
      </c>
      <c r="E167" s="8" t="s">
        <v>143</v>
      </c>
      <c r="F167" s="10" t="s">
        <v>144</v>
      </c>
      <c r="G167" s="10" t="s">
        <v>21</v>
      </c>
      <c r="H167" s="10" t="s">
        <v>145</v>
      </c>
      <c r="I167" s="10" t="s">
        <v>140</v>
      </c>
      <c r="J167" s="10" t="s">
        <v>24</v>
      </c>
      <c r="K167" s="10" t="s">
        <v>25</v>
      </c>
      <c r="L167" s="10" t="s">
        <v>26</v>
      </c>
      <c r="M167" s="10" t="s">
        <v>676</v>
      </c>
      <c r="N167" s="11">
        <v>3338.72</v>
      </c>
      <c r="O167" s="12">
        <v>3</v>
      </c>
      <c r="P167" s="13">
        <v>0.05</v>
      </c>
      <c r="Q167" s="11">
        <v>782.67</v>
      </c>
    </row>
    <row r="168" spans="1:17" x14ac:dyDescent="0.3">
      <c r="A168" s="2" t="s">
        <v>677</v>
      </c>
      <c r="B168" s="3">
        <v>44638</v>
      </c>
      <c r="C168" s="3">
        <v>44643</v>
      </c>
      <c r="D168" s="2" t="s">
        <v>73</v>
      </c>
      <c r="E168" s="2" t="s">
        <v>678</v>
      </c>
      <c r="F168" s="4" t="s">
        <v>679</v>
      </c>
      <c r="G168" s="4" t="s">
        <v>51</v>
      </c>
      <c r="H168" s="4" t="s">
        <v>122</v>
      </c>
      <c r="I168" s="4" t="s">
        <v>123</v>
      </c>
      <c r="J168" s="4" t="s">
        <v>24</v>
      </c>
      <c r="K168" s="4" t="s">
        <v>45</v>
      </c>
      <c r="L168" s="4" t="s">
        <v>61</v>
      </c>
      <c r="M168" s="4" t="s">
        <v>680</v>
      </c>
      <c r="N168" s="5">
        <v>458.88</v>
      </c>
      <c r="O168" s="6">
        <v>1</v>
      </c>
      <c r="P168" s="7">
        <v>0</v>
      </c>
      <c r="Q168" s="5">
        <v>81.2</v>
      </c>
    </row>
    <row r="169" spans="1:17" x14ac:dyDescent="0.3">
      <c r="A169" s="8" t="s">
        <v>681</v>
      </c>
      <c r="B169" s="9">
        <v>45400</v>
      </c>
      <c r="C169" s="9">
        <v>45402</v>
      </c>
      <c r="D169" s="8" t="s">
        <v>39</v>
      </c>
      <c r="E169" s="8" t="s">
        <v>682</v>
      </c>
      <c r="F169" s="10" t="s">
        <v>683</v>
      </c>
      <c r="G169" s="10" t="s">
        <v>21</v>
      </c>
      <c r="H169" s="10" t="s">
        <v>66</v>
      </c>
      <c r="I169" s="10" t="s">
        <v>67</v>
      </c>
      <c r="J169" s="10" t="s">
        <v>34</v>
      </c>
      <c r="K169" s="10" t="s">
        <v>35</v>
      </c>
      <c r="L169" s="10" t="s">
        <v>158</v>
      </c>
      <c r="M169" s="10" t="s">
        <v>684</v>
      </c>
      <c r="N169" s="11">
        <v>125.16</v>
      </c>
      <c r="O169" s="12">
        <v>5</v>
      </c>
      <c r="P169" s="13">
        <v>0.2</v>
      </c>
      <c r="Q169" s="11">
        <v>38.1</v>
      </c>
    </row>
    <row r="170" spans="1:17" x14ac:dyDescent="0.3">
      <c r="A170" s="2" t="s">
        <v>685</v>
      </c>
      <c r="B170" s="3">
        <v>44841</v>
      </c>
      <c r="C170" s="3">
        <v>44844</v>
      </c>
      <c r="D170" s="2" t="s">
        <v>73</v>
      </c>
      <c r="E170" s="2" t="s">
        <v>588</v>
      </c>
      <c r="F170" s="4" t="s">
        <v>589</v>
      </c>
      <c r="G170" s="4" t="s">
        <v>42</v>
      </c>
      <c r="H170" s="4" t="s">
        <v>397</v>
      </c>
      <c r="I170" s="4" t="s">
        <v>33</v>
      </c>
      <c r="J170" s="4" t="s">
        <v>34</v>
      </c>
      <c r="K170" s="4" t="s">
        <v>45</v>
      </c>
      <c r="L170" s="4" t="s">
        <v>46</v>
      </c>
      <c r="M170" s="4" t="s">
        <v>686</v>
      </c>
      <c r="N170" s="5">
        <v>3001.72</v>
      </c>
      <c r="O170" s="6">
        <v>7</v>
      </c>
      <c r="P170" s="7">
        <v>0.15</v>
      </c>
      <c r="Q170" s="5">
        <v>444.54</v>
      </c>
    </row>
    <row r="171" spans="1:17" x14ac:dyDescent="0.3">
      <c r="A171" s="8" t="s">
        <v>687</v>
      </c>
      <c r="B171" s="9">
        <v>45636</v>
      </c>
      <c r="C171" s="9">
        <v>45641</v>
      </c>
      <c r="D171" s="8" t="s">
        <v>73</v>
      </c>
      <c r="E171" s="8" t="s">
        <v>688</v>
      </c>
      <c r="F171" s="10" t="s">
        <v>689</v>
      </c>
      <c r="G171" s="10" t="s">
        <v>42</v>
      </c>
      <c r="H171" s="10" t="s">
        <v>438</v>
      </c>
      <c r="I171" s="10" t="s">
        <v>157</v>
      </c>
      <c r="J171" s="10" t="s">
        <v>88</v>
      </c>
      <c r="K171" s="10" t="s">
        <v>35</v>
      </c>
      <c r="L171" s="10" t="s">
        <v>81</v>
      </c>
      <c r="M171" s="10" t="s">
        <v>690</v>
      </c>
      <c r="N171" s="11">
        <v>68.44</v>
      </c>
      <c r="O171" s="12">
        <v>8</v>
      </c>
      <c r="P171" s="13">
        <v>0.5</v>
      </c>
      <c r="Q171" s="11">
        <v>-8.1300000000000008</v>
      </c>
    </row>
    <row r="172" spans="1:17" x14ac:dyDescent="0.3">
      <c r="A172" s="2" t="s">
        <v>691</v>
      </c>
      <c r="B172" s="3">
        <v>45210</v>
      </c>
      <c r="C172" s="3">
        <v>45212</v>
      </c>
      <c r="D172" s="2" t="s">
        <v>18</v>
      </c>
      <c r="E172" s="2" t="s">
        <v>692</v>
      </c>
      <c r="F172" s="4" t="s">
        <v>693</v>
      </c>
      <c r="G172" s="4" t="s">
        <v>21</v>
      </c>
      <c r="H172" s="4" t="s">
        <v>694</v>
      </c>
      <c r="I172" s="4" t="s">
        <v>67</v>
      </c>
      <c r="J172" s="4" t="s">
        <v>34</v>
      </c>
      <c r="K172" s="4" t="s">
        <v>35</v>
      </c>
      <c r="L172" s="4" t="s">
        <v>81</v>
      </c>
      <c r="M172" s="4" t="s">
        <v>695</v>
      </c>
      <c r="N172" s="5">
        <v>48.12</v>
      </c>
      <c r="O172" s="6">
        <v>6</v>
      </c>
      <c r="P172" s="7">
        <v>0</v>
      </c>
      <c r="Q172" s="5">
        <v>27.52</v>
      </c>
    </row>
    <row r="173" spans="1:17" x14ac:dyDescent="0.3">
      <c r="A173" s="8" t="s">
        <v>696</v>
      </c>
      <c r="B173" s="9">
        <v>44437</v>
      </c>
      <c r="C173" s="9">
        <v>44444</v>
      </c>
      <c r="D173" s="8" t="s">
        <v>29</v>
      </c>
      <c r="E173" s="8" t="s">
        <v>697</v>
      </c>
      <c r="F173" s="10" t="s">
        <v>698</v>
      </c>
      <c r="G173" s="10" t="s">
        <v>21</v>
      </c>
      <c r="H173" s="10" t="s">
        <v>319</v>
      </c>
      <c r="I173" s="10" t="s">
        <v>194</v>
      </c>
      <c r="J173" s="10" t="s">
        <v>34</v>
      </c>
      <c r="K173" s="10" t="s">
        <v>35</v>
      </c>
      <c r="L173" s="10" t="s">
        <v>158</v>
      </c>
      <c r="M173" s="10" t="s">
        <v>699</v>
      </c>
      <c r="N173" s="11">
        <v>91.08</v>
      </c>
      <c r="O173" s="12">
        <v>6</v>
      </c>
      <c r="P173" s="13">
        <v>0</v>
      </c>
      <c r="Q173" s="11">
        <v>28.09</v>
      </c>
    </row>
    <row r="174" spans="1:17" x14ac:dyDescent="0.3">
      <c r="A174" s="2" t="s">
        <v>700</v>
      </c>
      <c r="B174" s="3">
        <v>44349</v>
      </c>
      <c r="C174" s="3">
        <v>44353</v>
      </c>
      <c r="D174" s="2" t="s">
        <v>39</v>
      </c>
      <c r="E174" s="2" t="s">
        <v>701</v>
      </c>
      <c r="F174" s="4" t="s">
        <v>702</v>
      </c>
      <c r="G174" s="4" t="s">
        <v>21</v>
      </c>
      <c r="H174" s="4" t="s">
        <v>43</v>
      </c>
      <c r="I174" s="4" t="s">
        <v>44</v>
      </c>
      <c r="J174" s="4" t="s">
        <v>24</v>
      </c>
      <c r="K174" s="4" t="s">
        <v>45</v>
      </c>
      <c r="L174" s="4" t="s">
        <v>117</v>
      </c>
      <c r="M174" s="4" t="s">
        <v>703</v>
      </c>
      <c r="N174" s="5">
        <v>1163.96</v>
      </c>
      <c r="O174" s="6">
        <v>10</v>
      </c>
      <c r="P174" s="7">
        <v>0.3</v>
      </c>
      <c r="Q174" s="5">
        <v>27.64</v>
      </c>
    </row>
    <row r="175" spans="1:17" x14ac:dyDescent="0.3">
      <c r="A175" s="8" t="s">
        <v>704</v>
      </c>
      <c r="B175" s="9">
        <v>44811</v>
      </c>
      <c r="C175" s="9">
        <v>44814</v>
      </c>
      <c r="D175" s="8" t="s">
        <v>18</v>
      </c>
      <c r="E175" s="8" t="s">
        <v>504</v>
      </c>
      <c r="F175" s="10" t="s">
        <v>505</v>
      </c>
      <c r="G175" s="10" t="s">
        <v>42</v>
      </c>
      <c r="H175" s="10" t="s">
        <v>150</v>
      </c>
      <c r="I175" s="10" t="s">
        <v>151</v>
      </c>
      <c r="J175" s="10" t="s">
        <v>34</v>
      </c>
      <c r="K175" s="10" t="s">
        <v>35</v>
      </c>
      <c r="L175" s="10" t="s">
        <v>81</v>
      </c>
      <c r="M175" s="10" t="s">
        <v>705</v>
      </c>
      <c r="N175" s="11">
        <v>21.1</v>
      </c>
      <c r="O175" s="12">
        <v>2</v>
      </c>
      <c r="P175" s="13">
        <v>0.1</v>
      </c>
      <c r="Q175" s="11">
        <v>9.36</v>
      </c>
    </row>
    <row r="176" spans="1:17" x14ac:dyDescent="0.3">
      <c r="A176" s="2" t="s">
        <v>706</v>
      </c>
      <c r="B176" s="3">
        <v>45458</v>
      </c>
      <c r="C176" s="3">
        <v>45459</v>
      </c>
      <c r="D176" s="2" t="s">
        <v>18</v>
      </c>
      <c r="E176" s="2" t="s">
        <v>707</v>
      </c>
      <c r="F176" s="4" t="s">
        <v>708</v>
      </c>
      <c r="G176" s="4" t="s">
        <v>51</v>
      </c>
      <c r="H176" s="4" t="s">
        <v>386</v>
      </c>
      <c r="I176" s="4" t="s">
        <v>347</v>
      </c>
      <c r="J176" s="4" t="s">
        <v>88</v>
      </c>
      <c r="K176" s="4" t="s">
        <v>45</v>
      </c>
      <c r="L176" s="4" t="s">
        <v>117</v>
      </c>
      <c r="M176" s="4" t="s">
        <v>709</v>
      </c>
      <c r="N176" s="5">
        <v>1168.2</v>
      </c>
      <c r="O176" s="6">
        <v>4</v>
      </c>
      <c r="P176" s="7">
        <v>0</v>
      </c>
      <c r="Q176" s="5">
        <v>248.61</v>
      </c>
    </row>
    <row r="177" spans="1:17" x14ac:dyDescent="0.3">
      <c r="A177" s="8" t="s">
        <v>710</v>
      </c>
      <c r="B177" s="9">
        <v>44380</v>
      </c>
      <c r="C177" s="9">
        <v>44383</v>
      </c>
      <c r="D177" s="8" t="s">
        <v>18</v>
      </c>
      <c r="E177" s="8" t="s">
        <v>420</v>
      </c>
      <c r="F177" s="10" t="s">
        <v>421</v>
      </c>
      <c r="G177" s="10" t="s">
        <v>51</v>
      </c>
      <c r="H177" s="10" t="s">
        <v>422</v>
      </c>
      <c r="I177" s="10" t="s">
        <v>423</v>
      </c>
      <c r="J177" s="10" t="s">
        <v>88</v>
      </c>
      <c r="K177" s="10" t="s">
        <v>25</v>
      </c>
      <c r="L177" s="10" t="s">
        <v>26</v>
      </c>
      <c r="M177" s="10" t="s">
        <v>711</v>
      </c>
      <c r="N177" s="11">
        <v>1053.67</v>
      </c>
      <c r="O177" s="12">
        <v>9</v>
      </c>
      <c r="P177" s="13">
        <v>0.5</v>
      </c>
      <c r="Q177" s="11">
        <v>-487.2</v>
      </c>
    </row>
    <row r="178" spans="1:17" x14ac:dyDescent="0.3">
      <c r="A178" s="2" t="s">
        <v>712</v>
      </c>
      <c r="B178" s="3">
        <v>45550</v>
      </c>
      <c r="C178" s="3">
        <v>45556</v>
      </c>
      <c r="D178" s="2" t="s">
        <v>29</v>
      </c>
      <c r="E178" s="2" t="s">
        <v>480</v>
      </c>
      <c r="F178" s="4" t="s">
        <v>481</v>
      </c>
      <c r="G178" s="4" t="s">
        <v>42</v>
      </c>
      <c r="H178" s="4" t="s">
        <v>352</v>
      </c>
      <c r="I178" s="4" t="s">
        <v>306</v>
      </c>
      <c r="J178" s="4" t="s">
        <v>34</v>
      </c>
      <c r="K178" s="4" t="s">
        <v>25</v>
      </c>
      <c r="L178" s="4" t="s">
        <v>26</v>
      </c>
      <c r="M178" s="4" t="s">
        <v>713</v>
      </c>
      <c r="N178" s="5">
        <v>4452.5200000000004</v>
      </c>
      <c r="O178" s="6">
        <v>5</v>
      </c>
      <c r="P178" s="7">
        <v>0.3</v>
      </c>
      <c r="Q178" s="5">
        <v>-515.39</v>
      </c>
    </row>
    <row r="179" spans="1:17" x14ac:dyDescent="0.3">
      <c r="A179" s="8" t="s">
        <v>714</v>
      </c>
      <c r="B179" s="9">
        <v>44511</v>
      </c>
      <c r="C179" s="9">
        <v>44516</v>
      </c>
      <c r="D179" s="8" t="s">
        <v>29</v>
      </c>
      <c r="E179" s="8" t="s">
        <v>40</v>
      </c>
      <c r="F179" s="10" t="s">
        <v>41</v>
      </c>
      <c r="G179" s="10" t="s">
        <v>42</v>
      </c>
      <c r="H179" s="10" t="s">
        <v>43</v>
      </c>
      <c r="I179" s="10" t="s">
        <v>44</v>
      </c>
      <c r="J179" s="10" t="s">
        <v>24</v>
      </c>
      <c r="K179" s="10" t="s">
        <v>25</v>
      </c>
      <c r="L179" s="10" t="s">
        <v>68</v>
      </c>
      <c r="M179" s="10" t="s">
        <v>715</v>
      </c>
      <c r="N179" s="11">
        <v>848.9</v>
      </c>
      <c r="O179" s="12">
        <v>10</v>
      </c>
      <c r="P179" s="13">
        <v>0</v>
      </c>
      <c r="Q179" s="11">
        <v>293.79000000000002</v>
      </c>
    </row>
    <row r="180" spans="1:17" x14ac:dyDescent="0.3">
      <c r="A180" s="2" t="s">
        <v>716</v>
      </c>
      <c r="B180" s="3">
        <v>45123</v>
      </c>
      <c r="C180" s="3">
        <v>45127</v>
      </c>
      <c r="D180" s="2" t="s">
        <v>73</v>
      </c>
      <c r="E180" s="2" t="s">
        <v>717</v>
      </c>
      <c r="F180" s="4" t="s">
        <v>718</v>
      </c>
      <c r="G180" s="4" t="s">
        <v>51</v>
      </c>
      <c r="H180" s="4" t="s">
        <v>86</v>
      </c>
      <c r="I180" s="4" t="s">
        <v>87</v>
      </c>
      <c r="J180" s="4" t="s">
        <v>88</v>
      </c>
      <c r="K180" s="4" t="s">
        <v>45</v>
      </c>
      <c r="L180" s="4" t="s">
        <v>46</v>
      </c>
      <c r="M180" s="4" t="s">
        <v>719</v>
      </c>
      <c r="N180" s="5">
        <v>2509.7800000000002</v>
      </c>
      <c r="O180" s="6">
        <v>4</v>
      </c>
      <c r="P180" s="7">
        <v>0.15</v>
      </c>
      <c r="Q180" s="5">
        <v>644.6</v>
      </c>
    </row>
    <row r="181" spans="1:17" x14ac:dyDescent="0.3">
      <c r="A181" s="8" t="s">
        <v>720</v>
      </c>
      <c r="B181" s="9">
        <v>44832</v>
      </c>
      <c r="C181" s="9">
        <v>44836</v>
      </c>
      <c r="D181" s="8" t="s">
        <v>73</v>
      </c>
      <c r="E181" s="8" t="s">
        <v>40</v>
      </c>
      <c r="F181" s="10" t="s">
        <v>41</v>
      </c>
      <c r="G181" s="10" t="s">
        <v>42</v>
      </c>
      <c r="H181" s="10" t="s">
        <v>43</v>
      </c>
      <c r="I181" s="10" t="s">
        <v>44</v>
      </c>
      <c r="J181" s="10" t="s">
        <v>24</v>
      </c>
      <c r="K181" s="10" t="s">
        <v>25</v>
      </c>
      <c r="L181" s="10" t="s">
        <v>124</v>
      </c>
      <c r="M181" s="10" t="s">
        <v>721</v>
      </c>
      <c r="N181" s="11">
        <v>4775.87</v>
      </c>
      <c r="O181" s="12">
        <v>8</v>
      </c>
      <c r="P181" s="13">
        <v>0.2</v>
      </c>
      <c r="Q181" s="11">
        <v>73.17</v>
      </c>
    </row>
    <row r="182" spans="1:17" x14ac:dyDescent="0.3">
      <c r="A182" s="2" t="s">
        <v>722</v>
      </c>
      <c r="B182" s="3">
        <v>44221</v>
      </c>
      <c r="C182" s="3">
        <v>44222</v>
      </c>
      <c r="D182" s="2" t="s">
        <v>18</v>
      </c>
      <c r="E182" s="2" t="s">
        <v>723</v>
      </c>
      <c r="F182" s="4" t="s">
        <v>724</v>
      </c>
      <c r="G182" s="4" t="s">
        <v>21</v>
      </c>
      <c r="H182" s="4" t="s">
        <v>98</v>
      </c>
      <c r="I182" s="4" t="s">
        <v>80</v>
      </c>
      <c r="J182" s="4" t="s">
        <v>54</v>
      </c>
      <c r="K182" s="4" t="s">
        <v>25</v>
      </c>
      <c r="L182" s="4" t="s">
        <v>124</v>
      </c>
      <c r="M182" s="4" t="s">
        <v>725</v>
      </c>
      <c r="N182" s="5">
        <v>1459.1</v>
      </c>
      <c r="O182" s="6">
        <v>1</v>
      </c>
      <c r="P182" s="7">
        <v>0</v>
      </c>
      <c r="Q182" s="5">
        <v>287.33999999999997</v>
      </c>
    </row>
    <row r="183" spans="1:17" x14ac:dyDescent="0.3">
      <c r="A183" s="8" t="s">
        <v>726</v>
      </c>
      <c r="B183" s="9">
        <v>45264</v>
      </c>
      <c r="C183" s="9">
        <v>45268</v>
      </c>
      <c r="D183" s="8" t="s">
        <v>39</v>
      </c>
      <c r="E183" s="8" t="s">
        <v>187</v>
      </c>
      <c r="F183" s="10" t="s">
        <v>188</v>
      </c>
      <c r="G183" s="10" t="s">
        <v>21</v>
      </c>
      <c r="H183" s="10" t="s">
        <v>22</v>
      </c>
      <c r="I183" s="10" t="s">
        <v>23</v>
      </c>
      <c r="J183" s="10" t="s">
        <v>24</v>
      </c>
      <c r="K183" s="10" t="s">
        <v>45</v>
      </c>
      <c r="L183" s="10" t="s">
        <v>46</v>
      </c>
      <c r="M183" s="10" t="s">
        <v>727</v>
      </c>
      <c r="N183" s="11">
        <v>4716.12</v>
      </c>
      <c r="O183" s="12">
        <v>6</v>
      </c>
      <c r="P183" s="13">
        <v>0</v>
      </c>
      <c r="Q183" s="11">
        <v>1496.91</v>
      </c>
    </row>
    <row r="184" spans="1:17" x14ac:dyDescent="0.3">
      <c r="A184" s="2" t="s">
        <v>728</v>
      </c>
      <c r="B184" s="3">
        <v>44708</v>
      </c>
      <c r="C184" s="3">
        <v>44713</v>
      </c>
      <c r="D184" s="2" t="s">
        <v>29</v>
      </c>
      <c r="E184" s="2" t="s">
        <v>729</v>
      </c>
      <c r="F184" s="4" t="s">
        <v>730</v>
      </c>
      <c r="G184" s="4" t="s">
        <v>42</v>
      </c>
      <c r="H184" s="4" t="s">
        <v>165</v>
      </c>
      <c r="I184" s="4" t="s">
        <v>44</v>
      </c>
      <c r="J184" s="4" t="s">
        <v>24</v>
      </c>
      <c r="K184" s="4" t="s">
        <v>45</v>
      </c>
      <c r="L184" s="4" t="s">
        <v>117</v>
      </c>
      <c r="M184" s="4" t="s">
        <v>731</v>
      </c>
      <c r="N184" s="5">
        <v>2030.14</v>
      </c>
      <c r="O184" s="6">
        <v>7</v>
      </c>
      <c r="P184" s="7">
        <v>0.15</v>
      </c>
      <c r="Q184" s="5">
        <v>253.34</v>
      </c>
    </row>
    <row r="185" spans="1:17" x14ac:dyDescent="0.3">
      <c r="A185" s="8" t="s">
        <v>732</v>
      </c>
      <c r="B185" s="9">
        <v>44356</v>
      </c>
      <c r="C185" s="9">
        <v>44359</v>
      </c>
      <c r="D185" s="8" t="s">
        <v>39</v>
      </c>
      <c r="E185" s="8" t="s">
        <v>733</v>
      </c>
      <c r="F185" s="10" t="s">
        <v>734</v>
      </c>
      <c r="G185" s="10" t="s">
        <v>51</v>
      </c>
      <c r="H185" s="10" t="s">
        <v>324</v>
      </c>
      <c r="I185" s="10" t="s">
        <v>116</v>
      </c>
      <c r="J185" s="10" t="s">
        <v>54</v>
      </c>
      <c r="K185" s="10" t="s">
        <v>25</v>
      </c>
      <c r="L185" s="10" t="s">
        <v>124</v>
      </c>
      <c r="M185" s="10" t="s">
        <v>735</v>
      </c>
      <c r="N185" s="11">
        <v>10077.16</v>
      </c>
      <c r="O185" s="12">
        <v>7</v>
      </c>
      <c r="P185" s="13">
        <v>0.15</v>
      </c>
      <c r="Q185" s="11">
        <v>1019.23</v>
      </c>
    </row>
    <row r="186" spans="1:17" x14ac:dyDescent="0.3">
      <c r="A186" s="2" t="s">
        <v>736</v>
      </c>
      <c r="B186" s="3">
        <v>45183</v>
      </c>
      <c r="C186" s="3">
        <v>45186</v>
      </c>
      <c r="D186" s="2" t="s">
        <v>73</v>
      </c>
      <c r="E186" s="2" t="s">
        <v>64</v>
      </c>
      <c r="F186" s="4" t="s">
        <v>65</v>
      </c>
      <c r="G186" s="4" t="s">
        <v>51</v>
      </c>
      <c r="H186" s="4" t="s">
        <v>66</v>
      </c>
      <c r="I186" s="4" t="s">
        <v>67</v>
      </c>
      <c r="J186" s="4" t="s">
        <v>34</v>
      </c>
      <c r="K186" s="4" t="s">
        <v>25</v>
      </c>
      <c r="L186" s="4" t="s">
        <v>74</v>
      </c>
      <c r="M186" s="4" t="s">
        <v>737</v>
      </c>
      <c r="N186" s="5">
        <v>3507.79</v>
      </c>
      <c r="O186" s="6">
        <v>9</v>
      </c>
      <c r="P186" s="7">
        <v>0.1</v>
      </c>
      <c r="Q186" s="5">
        <v>836.31</v>
      </c>
    </row>
    <row r="187" spans="1:17" x14ac:dyDescent="0.3">
      <c r="A187" s="8" t="s">
        <v>738</v>
      </c>
      <c r="B187" s="9">
        <v>44765</v>
      </c>
      <c r="C187" s="9">
        <v>44769</v>
      </c>
      <c r="D187" s="8" t="s">
        <v>73</v>
      </c>
      <c r="E187" s="8" t="s">
        <v>364</v>
      </c>
      <c r="F187" s="10" t="s">
        <v>365</v>
      </c>
      <c r="G187" s="10" t="s">
        <v>42</v>
      </c>
      <c r="H187" s="10" t="s">
        <v>193</v>
      </c>
      <c r="I187" s="10" t="s">
        <v>194</v>
      </c>
      <c r="J187" s="10" t="s">
        <v>34</v>
      </c>
      <c r="K187" s="10" t="s">
        <v>25</v>
      </c>
      <c r="L187" s="10" t="s">
        <v>68</v>
      </c>
      <c r="M187" s="10" t="s">
        <v>739</v>
      </c>
      <c r="N187" s="11">
        <v>343.64</v>
      </c>
      <c r="O187" s="12">
        <v>7</v>
      </c>
      <c r="P187" s="13">
        <v>0.3</v>
      </c>
      <c r="Q187" s="11">
        <v>34.74</v>
      </c>
    </row>
    <row r="188" spans="1:17" x14ac:dyDescent="0.3">
      <c r="A188" s="2" t="s">
        <v>740</v>
      </c>
      <c r="B188" s="3">
        <v>44681</v>
      </c>
      <c r="C188" s="3">
        <v>44688</v>
      </c>
      <c r="D188" s="2" t="s">
        <v>29</v>
      </c>
      <c r="E188" s="2" t="s">
        <v>741</v>
      </c>
      <c r="F188" s="4" t="s">
        <v>742</v>
      </c>
      <c r="G188" s="4" t="s">
        <v>51</v>
      </c>
      <c r="H188" s="4" t="s">
        <v>260</v>
      </c>
      <c r="I188" s="4" t="s">
        <v>151</v>
      </c>
      <c r="J188" s="4" t="s">
        <v>34</v>
      </c>
      <c r="K188" s="4" t="s">
        <v>35</v>
      </c>
      <c r="L188" s="4" t="s">
        <v>81</v>
      </c>
      <c r="M188" s="4" t="s">
        <v>743</v>
      </c>
      <c r="N188" s="5">
        <v>24.52</v>
      </c>
      <c r="O188" s="6">
        <v>1</v>
      </c>
      <c r="P188" s="7">
        <v>0.15</v>
      </c>
      <c r="Q188" s="5">
        <v>10</v>
      </c>
    </row>
    <row r="189" spans="1:17" x14ac:dyDescent="0.3">
      <c r="A189" s="8" t="s">
        <v>744</v>
      </c>
      <c r="B189" s="9">
        <v>44498</v>
      </c>
      <c r="C189" s="9">
        <v>44499</v>
      </c>
      <c r="D189" s="8" t="s">
        <v>18</v>
      </c>
      <c r="E189" s="8" t="s">
        <v>745</v>
      </c>
      <c r="F189" s="10" t="s">
        <v>746</v>
      </c>
      <c r="G189" s="10" t="s">
        <v>51</v>
      </c>
      <c r="H189" s="10" t="s">
        <v>465</v>
      </c>
      <c r="I189" s="10" t="s">
        <v>423</v>
      </c>
      <c r="J189" s="10" t="s">
        <v>88</v>
      </c>
      <c r="K189" s="10" t="s">
        <v>35</v>
      </c>
      <c r="L189" s="10" t="s">
        <v>295</v>
      </c>
      <c r="M189" s="10" t="s">
        <v>747</v>
      </c>
      <c r="N189" s="11">
        <v>43.27</v>
      </c>
      <c r="O189" s="12">
        <v>5</v>
      </c>
      <c r="P189" s="13">
        <v>0.5</v>
      </c>
      <c r="Q189" s="11">
        <v>-2.06</v>
      </c>
    </row>
    <row r="190" spans="1:17" x14ac:dyDescent="0.3">
      <c r="A190" s="2" t="s">
        <v>748</v>
      </c>
      <c r="B190" s="3">
        <v>45110</v>
      </c>
      <c r="C190" s="3">
        <v>45114</v>
      </c>
      <c r="D190" s="2" t="s">
        <v>39</v>
      </c>
      <c r="E190" s="2" t="s">
        <v>191</v>
      </c>
      <c r="F190" s="4" t="s">
        <v>192</v>
      </c>
      <c r="G190" s="4" t="s">
        <v>21</v>
      </c>
      <c r="H190" s="4" t="s">
        <v>193</v>
      </c>
      <c r="I190" s="4" t="s">
        <v>194</v>
      </c>
      <c r="J190" s="4" t="s">
        <v>34</v>
      </c>
      <c r="K190" s="4" t="s">
        <v>45</v>
      </c>
      <c r="L190" s="4" t="s">
        <v>117</v>
      </c>
      <c r="M190" s="4" t="s">
        <v>749</v>
      </c>
      <c r="N190" s="5">
        <v>378.43</v>
      </c>
      <c r="O190" s="6">
        <v>1</v>
      </c>
      <c r="P190" s="7">
        <v>0.2</v>
      </c>
      <c r="Q190" s="5">
        <v>52.37</v>
      </c>
    </row>
    <row r="191" spans="1:17" x14ac:dyDescent="0.3">
      <c r="A191" s="8" t="s">
        <v>750</v>
      </c>
      <c r="B191" s="9">
        <v>44755</v>
      </c>
      <c r="C191" s="9">
        <v>44758</v>
      </c>
      <c r="D191" s="8" t="s">
        <v>39</v>
      </c>
      <c r="E191" s="8" t="s">
        <v>733</v>
      </c>
      <c r="F191" s="10" t="s">
        <v>734</v>
      </c>
      <c r="G191" s="10" t="s">
        <v>51</v>
      </c>
      <c r="H191" s="10" t="s">
        <v>324</v>
      </c>
      <c r="I191" s="10" t="s">
        <v>116</v>
      </c>
      <c r="J191" s="10" t="s">
        <v>54</v>
      </c>
      <c r="K191" s="10" t="s">
        <v>45</v>
      </c>
      <c r="L191" s="10" t="s">
        <v>117</v>
      </c>
      <c r="M191" s="10" t="s">
        <v>751</v>
      </c>
      <c r="N191" s="11">
        <v>575.84</v>
      </c>
      <c r="O191" s="12">
        <v>3</v>
      </c>
      <c r="P191" s="13">
        <v>0.15</v>
      </c>
      <c r="Q191" s="11">
        <v>124.56</v>
      </c>
    </row>
    <row r="192" spans="1:17" x14ac:dyDescent="0.3">
      <c r="A192" s="2" t="s">
        <v>752</v>
      </c>
      <c r="B192" s="3">
        <v>44506</v>
      </c>
      <c r="C192" s="3">
        <v>44507</v>
      </c>
      <c r="D192" s="2" t="s">
        <v>18</v>
      </c>
      <c r="E192" s="2" t="s">
        <v>753</v>
      </c>
      <c r="F192" s="4" t="s">
        <v>754</v>
      </c>
      <c r="G192" s="4" t="s">
        <v>42</v>
      </c>
      <c r="H192" s="4" t="s">
        <v>22</v>
      </c>
      <c r="I192" s="4" t="s">
        <v>23</v>
      </c>
      <c r="J192" s="4" t="s">
        <v>24</v>
      </c>
      <c r="K192" s="4" t="s">
        <v>35</v>
      </c>
      <c r="L192" s="4" t="s">
        <v>295</v>
      </c>
      <c r="M192" s="4" t="s">
        <v>755</v>
      </c>
      <c r="N192" s="5">
        <v>302.19</v>
      </c>
      <c r="O192" s="6">
        <v>6</v>
      </c>
      <c r="P192" s="7">
        <v>0.3</v>
      </c>
      <c r="Q192" s="5">
        <v>68.13</v>
      </c>
    </row>
    <row r="193" spans="1:17" x14ac:dyDescent="0.3">
      <c r="A193" s="8" t="s">
        <v>756</v>
      </c>
      <c r="B193" s="9">
        <v>45240</v>
      </c>
      <c r="C193" s="9">
        <v>45243</v>
      </c>
      <c r="D193" s="8" t="s">
        <v>73</v>
      </c>
      <c r="E193" s="8" t="s">
        <v>453</v>
      </c>
      <c r="F193" s="10" t="s">
        <v>454</v>
      </c>
      <c r="G193" s="10" t="s">
        <v>21</v>
      </c>
      <c r="H193" s="10" t="s">
        <v>386</v>
      </c>
      <c r="I193" s="10" t="s">
        <v>347</v>
      </c>
      <c r="J193" s="10" t="s">
        <v>88</v>
      </c>
      <c r="K193" s="10" t="s">
        <v>45</v>
      </c>
      <c r="L193" s="10" t="s">
        <v>46</v>
      </c>
      <c r="M193" s="10" t="s">
        <v>757</v>
      </c>
      <c r="N193" s="11">
        <v>229.56</v>
      </c>
      <c r="O193" s="12">
        <v>2</v>
      </c>
      <c r="P193" s="13">
        <v>0.3</v>
      </c>
      <c r="Q193" s="11">
        <v>8.98</v>
      </c>
    </row>
    <row r="194" spans="1:17" x14ac:dyDescent="0.3">
      <c r="A194" s="2" t="s">
        <v>758</v>
      </c>
      <c r="B194" s="3">
        <v>44726</v>
      </c>
      <c r="C194" s="3">
        <v>44729</v>
      </c>
      <c r="D194" s="2" t="s">
        <v>18</v>
      </c>
      <c r="E194" s="2" t="s">
        <v>592</v>
      </c>
      <c r="F194" s="4" t="s">
        <v>593</v>
      </c>
      <c r="G194" s="4" t="s">
        <v>21</v>
      </c>
      <c r="H194" s="4" t="s">
        <v>207</v>
      </c>
      <c r="I194" s="4" t="s">
        <v>60</v>
      </c>
      <c r="J194" s="4" t="s">
        <v>54</v>
      </c>
      <c r="K194" s="4" t="s">
        <v>35</v>
      </c>
      <c r="L194" s="4" t="s">
        <v>81</v>
      </c>
      <c r="M194" s="4" t="s">
        <v>759</v>
      </c>
      <c r="N194" s="5">
        <v>86.34</v>
      </c>
      <c r="O194" s="6">
        <v>4</v>
      </c>
      <c r="P194" s="7">
        <v>0.05</v>
      </c>
      <c r="Q194" s="5">
        <v>40.22</v>
      </c>
    </row>
    <row r="195" spans="1:17" x14ac:dyDescent="0.3">
      <c r="A195" s="8" t="s">
        <v>760</v>
      </c>
      <c r="B195" s="9">
        <v>45027</v>
      </c>
      <c r="C195" s="9">
        <v>45034</v>
      </c>
      <c r="D195" s="8" t="s">
        <v>29</v>
      </c>
      <c r="E195" s="8" t="s">
        <v>723</v>
      </c>
      <c r="F195" s="10" t="s">
        <v>724</v>
      </c>
      <c r="G195" s="10" t="s">
        <v>21</v>
      </c>
      <c r="H195" s="10" t="s">
        <v>98</v>
      </c>
      <c r="I195" s="10" t="s">
        <v>80</v>
      </c>
      <c r="J195" s="10" t="s">
        <v>54</v>
      </c>
      <c r="K195" s="10" t="s">
        <v>25</v>
      </c>
      <c r="L195" s="10" t="s">
        <v>124</v>
      </c>
      <c r="M195" s="10" t="s">
        <v>761</v>
      </c>
      <c r="N195" s="11">
        <v>11203.54</v>
      </c>
      <c r="O195" s="12">
        <v>9</v>
      </c>
      <c r="P195" s="13">
        <v>0.4</v>
      </c>
      <c r="Q195" s="11">
        <v>-3392.08</v>
      </c>
    </row>
    <row r="196" spans="1:17" x14ac:dyDescent="0.3">
      <c r="A196" s="2" t="s">
        <v>762</v>
      </c>
      <c r="B196" s="3">
        <v>44722</v>
      </c>
      <c r="C196" s="3">
        <v>44726</v>
      </c>
      <c r="D196" s="2" t="s">
        <v>73</v>
      </c>
      <c r="E196" s="2" t="s">
        <v>763</v>
      </c>
      <c r="F196" s="4" t="s">
        <v>764</v>
      </c>
      <c r="G196" s="4" t="s">
        <v>21</v>
      </c>
      <c r="H196" s="4" t="s">
        <v>765</v>
      </c>
      <c r="I196" s="4" t="s">
        <v>105</v>
      </c>
      <c r="J196" s="4" t="s">
        <v>88</v>
      </c>
      <c r="K196" s="4" t="s">
        <v>25</v>
      </c>
      <c r="L196" s="4" t="s">
        <v>124</v>
      </c>
      <c r="M196" s="4" t="s">
        <v>766</v>
      </c>
      <c r="N196" s="5">
        <v>15435.36</v>
      </c>
      <c r="O196" s="6">
        <v>5</v>
      </c>
      <c r="P196" s="7">
        <v>0.1</v>
      </c>
      <c r="Q196" s="5">
        <v>2171.81</v>
      </c>
    </row>
    <row r="197" spans="1:17" x14ac:dyDescent="0.3">
      <c r="A197" s="8" t="s">
        <v>767</v>
      </c>
      <c r="B197" s="9">
        <v>45248</v>
      </c>
      <c r="C197" s="9">
        <v>45252</v>
      </c>
      <c r="D197" s="8" t="s">
        <v>73</v>
      </c>
      <c r="E197" s="8" t="s">
        <v>768</v>
      </c>
      <c r="F197" s="10" t="s">
        <v>769</v>
      </c>
      <c r="G197" s="10" t="s">
        <v>51</v>
      </c>
      <c r="H197" s="10" t="s">
        <v>183</v>
      </c>
      <c r="I197" s="10" t="s">
        <v>184</v>
      </c>
      <c r="J197" s="10" t="s">
        <v>54</v>
      </c>
      <c r="K197" s="10" t="s">
        <v>25</v>
      </c>
      <c r="L197" s="10" t="s">
        <v>68</v>
      </c>
      <c r="M197" s="10" t="s">
        <v>770</v>
      </c>
      <c r="N197" s="11">
        <v>173.23</v>
      </c>
      <c r="O197" s="12">
        <v>3</v>
      </c>
      <c r="P197" s="13">
        <v>0.1</v>
      </c>
      <c r="Q197" s="11">
        <v>59.3</v>
      </c>
    </row>
    <row r="198" spans="1:17" x14ac:dyDescent="0.3">
      <c r="A198" s="2" t="s">
        <v>771</v>
      </c>
      <c r="B198" s="3">
        <v>45262</v>
      </c>
      <c r="C198" s="3">
        <v>45263</v>
      </c>
      <c r="D198" s="2" t="s">
        <v>18</v>
      </c>
      <c r="E198" s="2" t="s">
        <v>410</v>
      </c>
      <c r="F198" s="4" t="s">
        <v>411</v>
      </c>
      <c r="G198" s="4" t="s">
        <v>42</v>
      </c>
      <c r="H198" s="4" t="s">
        <v>412</v>
      </c>
      <c r="I198" s="4" t="s">
        <v>178</v>
      </c>
      <c r="J198" s="4" t="s">
        <v>24</v>
      </c>
      <c r="K198" s="4" t="s">
        <v>25</v>
      </c>
      <c r="L198" s="4" t="s">
        <v>124</v>
      </c>
      <c r="M198" s="4" t="s">
        <v>772</v>
      </c>
      <c r="N198" s="5">
        <v>7257</v>
      </c>
      <c r="O198" s="6">
        <v>3</v>
      </c>
      <c r="P198" s="7">
        <v>0</v>
      </c>
      <c r="Q198" s="5">
        <v>2013.83</v>
      </c>
    </row>
    <row r="199" spans="1:17" x14ac:dyDescent="0.3">
      <c r="A199" s="8" t="s">
        <v>773</v>
      </c>
      <c r="B199" s="9">
        <v>44360</v>
      </c>
      <c r="C199" s="9">
        <v>44363</v>
      </c>
      <c r="D199" s="8" t="s">
        <v>18</v>
      </c>
      <c r="E199" s="8" t="s">
        <v>293</v>
      </c>
      <c r="F199" s="10" t="s">
        <v>294</v>
      </c>
      <c r="G199" s="10" t="s">
        <v>21</v>
      </c>
      <c r="H199" s="10" t="s">
        <v>193</v>
      </c>
      <c r="I199" s="10" t="s">
        <v>194</v>
      </c>
      <c r="J199" s="10" t="s">
        <v>34</v>
      </c>
      <c r="K199" s="10" t="s">
        <v>25</v>
      </c>
      <c r="L199" s="10" t="s">
        <v>68</v>
      </c>
      <c r="M199" s="10" t="s">
        <v>774</v>
      </c>
      <c r="N199" s="11">
        <v>34.97</v>
      </c>
      <c r="O199" s="12">
        <v>4</v>
      </c>
      <c r="P199" s="13">
        <v>0.3</v>
      </c>
      <c r="Q199" s="11">
        <v>1.57</v>
      </c>
    </row>
    <row r="200" spans="1:17" x14ac:dyDescent="0.3">
      <c r="A200" s="2" t="s">
        <v>775</v>
      </c>
      <c r="B200" s="3">
        <v>45453</v>
      </c>
      <c r="C200" s="3">
        <v>45456</v>
      </c>
      <c r="D200" s="2" t="s">
        <v>18</v>
      </c>
      <c r="E200" s="2" t="s">
        <v>628</v>
      </c>
      <c r="F200" s="4" t="s">
        <v>629</v>
      </c>
      <c r="G200" s="4" t="s">
        <v>42</v>
      </c>
      <c r="H200" s="4" t="s">
        <v>32</v>
      </c>
      <c r="I200" s="4" t="s">
        <v>33</v>
      </c>
      <c r="J200" s="4" t="s">
        <v>34</v>
      </c>
      <c r="K200" s="4" t="s">
        <v>35</v>
      </c>
      <c r="L200" s="4" t="s">
        <v>158</v>
      </c>
      <c r="M200" s="4" t="s">
        <v>776</v>
      </c>
      <c r="N200" s="5">
        <v>992.97</v>
      </c>
      <c r="O200" s="6">
        <v>9</v>
      </c>
      <c r="P200" s="7">
        <v>0</v>
      </c>
      <c r="Q200" s="5">
        <v>403.07</v>
      </c>
    </row>
    <row r="201" spans="1:17" x14ac:dyDescent="0.3">
      <c r="A201" s="8" t="s">
        <v>777</v>
      </c>
      <c r="B201" s="9">
        <v>44785</v>
      </c>
      <c r="C201" s="9">
        <v>44788</v>
      </c>
      <c r="D201" s="8" t="s">
        <v>39</v>
      </c>
      <c r="E201" s="8" t="s">
        <v>463</v>
      </c>
      <c r="F201" s="10" t="s">
        <v>464</v>
      </c>
      <c r="G201" s="10" t="s">
        <v>51</v>
      </c>
      <c r="H201" s="10" t="s">
        <v>465</v>
      </c>
      <c r="I201" s="10" t="s">
        <v>423</v>
      </c>
      <c r="J201" s="10" t="s">
        <v>88</v>
      </c>
      <c r="K201" s="10" t="s">
        <v>25</v>
      </c>
      <c r="L201" s="10" t="s">
        <v>124</v>
      </c>
      <c r="M201" s="10" t="s">
        <v>778</v>
      </c>
      <c r="N201" s="11">
        <v>10111.14</v>
      </c>
      <c r="O201" s="12">
        <v>8</v>
      </c>
      <c r="P201" s="13">
        <v>0.3</v>
      </c>
      <c r="Q201" s="11">
        <v>-1070.1300000000001</v>
      </c>
    </row>
    <row r="202" spans="1:17" x14ac:dyDescent="0.3">
      <c r="A202" s="2" t="s">
        <v>779</v>
      </c>
      <c r="B202" s="3">
        <v>44235</v>
      </c>
      <c r="C202" s="3">
        <v>44239</v>
      </c>
      <c r="D202" s="2" t="s">
        <v>39</v>
      </c>
      <c r="E202" s="2" t="s">
        <v>298</v>
      </c>
      <c r="F202" s="4" t="s">
        <v>299</v>
      </c>
      <c r="G202" s="4" t="s">
        <v>21</v>
      </c>
      <c r="H202" s="4" t="s">
        <v>300</v>
      </c>
      <c r="I202" s="4" t="s">
        <v>184</v>
      </c>
      <c r="J202" s="4" t="s">
        <v>54</v>
      </c>
      <c r="K202" s="4" t="s">
        <v>35</v>
      </c>
      <c r="L202" s="4" t="s">
        <v>216</v>
      </c>
      <c r="M202" s="4" t="s">
        <v>780</v>
      </c>
      <c r="N202" s="5">
        <v>203.49</v>
      </c>
      <c r="O202" s="6">
        <v>7</v>
      </c>
      <c r="P202" s="7">
        <v>0.05</v>
      </c>
      <c r="Q202" s="5">
        <v>71.5</v>
      </c>
    </row>
    <row r="203" spans="1:17" x14ac:dyDescent="0.3">
      <c r="A203" s="8" t="s">
        <v>781</v>
      </c>
      <c r="B203" s="9">
        <v>44209</v>
      </c>
      <c r="C203" s="9">
        <v>44212</v>
      </c>
      <c r="D203" s="8" t="s">
        <v>18</v>
      </c>
      <c r="E203" s="8" t="s">
        <v>364</v>
      </c>
      <c r="F203" s="10" t="s">
        <v>365</v>
      </c>
      <c r="G203" s="10" t="s">
        <v>42</v>
      </c>
      <c r="H203" s="10" t="s">
        <v>193</v>
      </c>
      <c r="I203" s="10" t="s">
        <v>194</v>
      </c>
      <c r="J203" s="10" t="s">
        <v>34</v>
      </c>
      <c r="K203" s="10" t="s">
        <v>45</v>
      </c>
      <c r="L203" s="10" t="s">
        <v>99</v>
      </c>
      <c r="M203" s="10" t="s">
        <v>715</v>
      </c>
      <c r="N203" s="11">
        <v>141.19</v>
      </c>
      <c r="O203" s="12">
        <v>7</v>
      </c>
      <c r="P203" s="13">
        <v>0</v>
      </c>
      <c r="Q203" s="11">
        <v>47.37</v>
      </c>
    </row>
    <row r="204" spans="1:17" x14ac:dyDescent="0.3">
      <c r="A204" s="2" t="s">
        <v>782</v>
      </c>
      <c r="B204" s="3">
        <v>45077</v>
      </c>
      <c r="C204" s="3">
        <v>45082</v>
      </c>
      <c r="D204" s="2" t="s">
        <v>73</v>
      </c>
      <c r="E204" s="2" t="s">
        <v>733</v>
      </c>
      <c r="F204" s="4" t="s">
        <v>734</v>
      </c>
      <c r="G204" s="4" t="s">
        <v>51</v>
      </c>
      <c r="H204" s="4" t="s">
        <v>324</v>
      </c>
      <c r="I204" s="4" t="s">
        <v>116</v>
      </c>
      <c r="J204" s="4" t="s">
        <v>54</v>
      </c>
      <c r="K204" s="4" t="s">
        <v>25</v>
      </c>
      <c r="L204" s="4" t="s">
        <v>124</v>
      </c>
      <c r="M204" s="4" t="s">
        <v>783</v>
      </c>
      <c r="N204" s="5">
        <v>10474.709999999999</v>
      </c>
      <c r="O204" s="6">
        <v>5</v>
      </c>
      <c r="P204" s="7">
        <v>0.4</v>
      </c>
      <c r="Q204" s="5">
        <v>-3762.69</v>
      </c>
    </row>
    <row r="205" spans="1:17" x14ac:dyDescent="0.3">
      <c r="A205" s="8" t="s">
        <v>784</v>
      </c>
      <c r="B205" s="9">
        <v>45273</v>
      </c>
      <c r="C205" s="9">
        <v>45279</v>
      </c>
      <c r="D205" s="8" t="s">
        <v>29</v>
      </c>
      <c r="E205" s="8" t="s">
        <v>785</v>
      </c>
      <c r="F205" s="10" t="s">
        <v>786</v>
      </c>
      <c r="G205" s="10" t="s">
        <v>51</v>
      </c>
      <c r="H205" s="10" t="s">
        <v>422</v>
      </c>
      <c r="I205" s="10" t="s">
        <v>423</v>
      </c>
      <c r="J205" s="10" t="s">
        <v>88</v>
      </c>
      <c r="K205" s="10" t="s">
        <v>45</v>
      </c>
      <c r="L205" s="10" t="s">
        <v>117</v>
      </c>
      <c r="M205" s="10" t="s">
        <v>787</v>
      </c>
      <c r="N205" s="11">
        <v>784.46</v>
      </c>
      <c r="O205" s="12">
        <v>4</v>
      </c>
      <c r="P205" s="13">
        <v>0.4</v>
      </c>
      <c r="Q205" s="11">
        <v>-180.62</v>
      </c>
    </row>
    <row r="206" spans="1:17" x14ac:dyDescent="0.3">
      <c r="A206" s="2" t="s">
        <v>788</v>
      </c>
      <c r="B206" s="3">
        <v>44903</v>
      </c>
      <c r="C206" s="3">
        <v>44910</v>
      </c>
      <c r="D206" s="2" t="s">
        <v>29</v>
      </c>
      <c r="E206" s="2" t="s">
        <v>789</v>
      </c>
      <c r="F206" s="4" t="s">
        <v>790</v>
      </c>
      <c r="G206" s="4" t="s">
        <v>51</v>
      </c>
      <c r="H206" s="4" t="s">
        <v>530</v>
      </c>
      <c r="I206" s="4" t="s">
        <v>373</v>
      </c>
      <c r="J206" s="4" t="s">
        <v>34</v>
      </c>
      <c r="K206" s="4" t="s">
        <v>35</v>
      </c>
      <c r="L206" s="4" t="s">
        <v>295</v>
      </c>
      <c r="M206" s="4" t="s">
        <v>791</v>
      </c>
      <c r="N206" s="5">
        <v>182.8</v>
      </c>
      <c r="O206" s="6">
        <v>8</v>
      </c>
      <c r="P206" s="7">
        <v>0</v>
      </c>
      <c r="Q206" s="5">
        <v>99.86</v>
      </c>
    </row>
    <row r="207" spans="1:17" x14ac:dyDescent="0.3">
      <c r="A207" s="8" t="s">
        <v>792</v>
      </c>
      <c r="B207" s="9">
        <v>44467</v>
      </c>
      <c r="C207" s="9">
        <v>44474</v>
      </c>
      <c r="D207" s="8" t="s">
        <v>29</v>
      </c>
      <c r="E207" s="8" t="s">
        <v>463</v>
      </c>
      <c r="F207" s="10" t="s">
        <v>464</v>
      </c>
      <c r="G207" s="10" t="s">
        <v>51</v>
      </c>
      <c r="H207" s="10" t="s">
        <v>465</v>
      </c>
      <c r="I207" s="10" t="s">
        <v>423</v>
      </c>
      <c r="J207" s="10" t="s">
        <v>88</v>
      </c>
      <c r="K207" s="10" t="s">
        <v>35</v>
      </c>
      <c r="L207" s="10" t="s">
        <v>166</v>
      </c>
      <c r="M207" s="10" t="s">
        <v>793</v>
      </c>
      <c r="N207" s="11">
        <v>305.04000000000002</v>
      </c>
      <c r="O207" s="12">
        <v>5</v>
      </c>
      <c r="P207" s="13">
        <v>0.2</v>
      </c>
      <c r="Q207" s="11">
        <v>27.68</v>
      </c>
    </row>
    <row r="208" spans="1:17" x14ac:dyDescent="0.3">
      <c r="A208" s="2" t="s">
        <v>794</v>
      </c>
      <c r="B208" s="3">
        <v>44792</v>
      </c>
      <c r="C208" s="3">
        <v>44795</v>
      </c>
      <c r="D208" s="2" t="s">
        <v>18</v>
      </c>
      <c r="E208" s="2" t="s">
        <v>197</v>
      </c>
      <c r="F208" s="4" t="s">
        <v>198</v>
      </c>
      <c r="G208" s="4" t="s">
        <v>21</v>
      </c>
      <c r="H208" s="4" t="s">
        <v>129</v>
      </c>
      <c r="I208" s="4" t="s">
        <v>33</v>
      </c>
      <c r="J208" s="4" t="s">
        <v>34</v>
      </c>
      <c r="K208" s="4" t="s">
        <v>45</v>
      </c>
      <c r="L208" s="4" t="s">
        <v>46</v>
      </c>
      <c r="M208" s="4" t="s">
        <v>795</v>
      </c>
      <c r="N208" s="5">
        <v>466.7</v>
      </c>
      <c r="O208" s="6">
        <v>2</v>
      </c>
      <c r="P208" s="7">
        <v>0.15</v>
      </c>
      <c r="Q208" s="5">
        <v>101.52</v>
      </c>
    </row>
    <row r="209" spans="1:17" x14ac:dyDescent="0.3">
      <c r="A209" s="8" t="s">
        <v>796</v>
      </c>
      <c r="B209" s="9">
        <v>45254</v>
      </c>
      <c r="C209" s="9">
        <v>45256</v>
      </c>
      <c r="D209" s="8" t="s">
        <v>39</v>
      </c>
      <c r="E209" s="8" t="s">
        <v>797</v>
      </c>
      <c r="F209" s="10" t="s">
        <v>798</v>
      </c>
      <c r="G209" s="10" t="s">
        <v>51</v>
      </c>
      <c r="H209" s="10" t="s">
        <v>59</v>
      </c>
      <c r="I209" s="10" t="s">
        <v>60</v>
      </c>
      <c r="J209" s="10" t="s">
        <v>54</v>
      </c>
      <c r="K209" s="10" t="s">
        <v>45</v>
      </c>
      <c r="L209" s="10" t="s">
        <v>117</v>
      </c>
      <c r="M209" s="10" t="s">
        <v>799</v>
      </c>
      <c r="N209" s="11">
        <v>2749.43</v>
      </c>
      <c r="O209" s="12">
        <v>7</v>
      </c>
      <c r="P209" s="13">
        <v>0.2</v>
      </c>
      <c r="Q209" s="11">
        <v>56.05</v>
      </c>
    </row>
    <row r="210" spans="1:17" x14ac:dyDescent="0.3">
      <c r="A210" s="2" t="s">
        <v>800</v>
      </c>
      <c r="B210" s="3">
        <v>44470</v>
      </c>
      <c r="C210" s="3">
        <v>44472</v>
      </c>
      <c r="D210" s="2" t="s">
        <v>39</v>
      </c>
      <c r="E210" s="2" t="s">
        <v>376</v>
      </c>
      <c r="F210" s="4" t="s">
        <v>377</v>
      </c>
      <c r="G210" s="4" t="s">
        <v>42</v>
      </c>
      <c r="H210" s="4" t="s">
        <v>122</v>
      </c>
      <c r="I210" s="4" t="s">
        <v>123</v>
      </c>
      <c r="J210" s="4" t="s">
        <v>24</v>
      </c>
      <c r="K210" s="4" t="s">
        <v>25</v>
      </c>
      <c r="L210" s="4" t="s">
        <v>74</v>
      </c>
      <c r="M210" s="4" t="s">
        <v>801</v>
      </c>
      <c r="N210" s="5">
        <v>2689.39</v>
      </c>
      <c r="O210" s="6">
        <v>6</v>
      </c>
      <c r="P210" s="7">
        <v>0.3</v>
      </c>
      <c r="Q210" s="5">
        <v>320.66000000000003</v>
      </c>
    </row>
    <row r="211" spans="1:17" x14ac:dyDescent="0.3">
      <c r="A211" s="8" t="s">
        <v>802</v>
      </c>
      <c r="B211" s="9">
        <v>45412</v>
      </c>
      <c r="C211" s="9">
        <v>45415</v>
      </c>
      <c r="D211" s="8" t="s">
        <v>73</v>
      </c>
      <c r="E211" s="8" t="s">
        <v>584</v>
      </c>
      <c r="F211" s="10" t="s">
        <v>585</v>
      </c>
      <c r="G211" s="10" t="s">
        <v>42</v>
      </c>
      <c r="H211" s="10" t="s">
        <v>250</v>
      </c>
      <c r="I211" s="10" t="s">
        <v>251</v>
      </c>
      <c r="J211" s="10" t="s">
        <v>88</v>
      </c>
      <c r="K211" s="10" t="s">
        <v>45</v>
      </c>
      <c r="L211" s="10" t="s">
        <v>46</v>
      </c>
      <c r="M211" s="10" t="s">
        <v>803</v>
      </c>
      <c r="N211" s="11">
        <v>1030.05</v>
      </c>
      <c r="O211" s="12">
        <v>7</v>
      </c>
      <c r="P211" s="13">
        <v>0</v>
      </c>
      <c r="Q211" s="11">
        <v>339.27</v>
      </c>
    </row>
    <row r="212" spans="1:17" x14ac:dyDescent="0.3">
      <c r="A212" s="2" t="s">
        <v>804</v>
      </c>
      <c r="B212" s="3">
        <v>45376</v>
      </c>
      <c r="C212" s="3">
        <v>45379</v>
      </c>
      <c r="D212" s="2" t="s">
        <v>18</v>
      </c>
      <c r="E212" s="2" t="s">
        <v>277</v>
      </c>
      <c r="F212" s="4" t="s">
        <v>278</v>
      </c>
      <c r="G212" s="4" t="s">
        <v>21</v>
      </c>
      <c r="H212" s="4" t="s">
        <v>104</v>
      </c>
      <c r="I212" s="4" t="s">
        <v>105</v>
      </c>
      <c r="J212" s="4" t="s">
        <v>88</v>
      </c>
      <c r="K212" s="4" t="s">
        <v>35</v>
      </c>
      <c r="L212" s="4" t="s">
        <v>36</v>
      </c>
      <c r="M212" s="4" t="s">
        <v>805</v>
      </c>
      <c r="N212" s="5">
        <v>1007.76</v>
      </c>
      <c r="O212" s="6">
        <v>8</v>
      </c>
      <c r="P212" s="7">
        <v>0</v>
      </c>
      <c r="Q212" s="5">
        <v>364.87</v>
      </c>
    </row>
    <row r="213" spans="1:17" x14ac:dyDescent="0.3">
      <c r="A213" s="8" t="s">
        <v>806</v>
      </c>
      <c r="B213" s="9">
        <v>44784</v>
      </c>
      <c r="C213" s="9">
        <v>44791</v>
      </c>
      <c r="D213" s="8" t="s">
        <v>29</v>
      </c>
      <c r="E213" s="8" t="s">
        <v>219</v>
      </c>
      <c r="F213" s="10" t="s">
        <v>220</v>
      </c>
      <c r="G213" s="10" t="s">
        <v>51</v>
      </c>
      <c r="H213" s="10" t="s">
        <v>171</v>
      </c>
      <c r="I213" s="10" t="s">
        <v>172</v>
      </c>
      <c r="J213" s="10" t="s">
        <v>24</v>
      </c>
      <c r="K213" s="10" t="s">
        <v>45</v>
      </c>
      <c r="L213" s="10" t="s">
        <v>61</v>
      </c>
      <c r="M213" s="10" t="s">
        <v>807</v>
      </c>
      <c r="N213" s="11">
        <v>886.79</v>
      </c>
      <c r="O213" s="12">
        <v>9</v>
      </c>
      <c r="P213" s="13">
        <v>0.1</v>
      </c>
      <c r="Q213" s="11">
        <v>-5.63</v>
      </c>
    </row>
    <row r="214" spans="1:17" x14ac:dyDescent="0.3">
      <c r="A214" s="2" t="s">
        <v>808</v>
      </c>
      <c r="B214" s="3">
        <v>44759</v>
      </c>
      <c r="C214" s="3">
        <v>44764</v>
      </c>
      <c r="D214" s="2" t="s">
        <v>29</v>
      </c>
      <c r="E214" s="2" t="s">
        <v>809</v>
      </c>
      <c r="F214" s="4" t="s">
        <v>810</v>
      </c>
      <c r="G214" s="4" t="s">
        <v>42</v>
      </c>
      <c r="H214" s="4" t="s">
        <v>352</v>
      </c>
      <c r="I214" s="4" t="s">
        <v>306</v>
      </c>
      <c r="J214" s="4" t="s">
        <v>34</v>
      </c>
      <c r="K214" s="4" t="s">
        <v>35</v>
      </c>
      <c r="L214" s="4" t="s">
        <v>36</v>
      </c>
      <c r="M214" s="4" t="s">
        <v>811</v>
      </c>
      <c r="N214" s="5">
        <v>569.70000000000005</v>
      </c>
      <c r="O214" s="6">
        <v>6</v>
      </c>
      <c r="P214" s="7">
        <v>0.5</v>
      </c>
      <c r="Q214" s="5">
        <v>-181.97</v>
      </c>
    </row>
    <row r="215" spans="1:17" x14ac:dyDescent="0.3">
      <c r="A215" s="8" t="s">
        <v>812</v>
      </c>
      <c r="B215" s="9">
        <v>44582</v>
      </c>
      <c r="C215" s="9">
        <v>44589</v>
      </c>
      <c r="D215" s="8" t="s">
        <v>29</v>
      </c>
      <c r="E215" s="8" t="s">
        <v>813</v>
      </c>
      <c r="F215" s="10" t="s">
        <v>814</v>
      </c>
      <c r="G215" s="10" t="s">
        <v>51</v>
      </c>
      <c r="H215" s="10" t="s">
        <v>134</v>
      </c>
      <c r="I215" s="10" t="s">
        <v>87</v>
      </c>
      <c r="J215" s="10" t="s">
        <v>88</v>
      </c>
      <c r="K215" s="10" t="s">
        <v>45</v>
      </c>
      <c r="L215" s="10" t="s">
        <v>99</v>
      </c>
      <c r="M215" s="10" t="s">
        <v>815</v>
      </c>
      <c r="N215" s="11">
        <v>45.32</v>
      </c>
      <c r="O215" s="12">
        <v>2</v>
      </c>
      <c r="P215" s="13">
        <v>0.15</v>
      </c>
      <c r="Q215" s="11">
        <v>7.01</v>
      </c>
    </row>
    <row r="216" spans="1:17" x14ac:dyDescent="0.3">
      <c r="A216" s="2" t="s">
        <v>816</v>
      </c>
      <c r="B216" s="3">
        <v>44933</v>
      </c>
      <c r="C216" s="3">
        <v>44935</v>
      </c>
      <c r="D216" s="2" t="s">
        <v>18</v>
      </c>
      <c r="E216" s="2" t="s">
        <v>817</v>
      </c>
      <c r="F216" s="4" t="s">
        <v>818</v>
      </c>
      <c r="G216" s="4" t="s">
        <v>42</v>
      </c>
      <c r="H216" s="4" t="s">
        <v>98</v>
      </c>
      <c r="I216" s="4" t="s">
        <v>80</v>
      </c>
      <c r="J216" s="4" t="s">
        <v>54</v>
      </c>
      <c r="K216" s="4" t="s">
        <v>35</v>
      </c>
      <c r="L216" s="4" t="s">
        <v>81</v>
      </c>
      <c r="M216" s="4" t="s">
        <v>819</v>
      </c>
      <c r="N216" s="5">
        <v>76.88</v>
      </c>
      <c r="O216" s="6">
        <v>8</v>
      </c>
      <c r="P216" s="7">
        <v>0</v>
      </c>
      <c r="Q216" s="5">
        <v>32.89</v>
      </c>
    </row>
    <row r="217" spans="1:17" x14ac:dyDescent="0.3">
      <c r="A217" s="8" t="s">
        <v>820</v>
      </c>
      <c r="B217" s="9">
        <v>44739</v>
      </c>
      <c r="C217" s="9">
        <v>44744</v>
      </c>
      <c r="D217" s="8" t="s">
        <v>29</v>
      </c>
      <c r="E217" s="8" t="s">
        <v>57</v>
      </c>
      <c r="F217" s="10" t="s">
        <v>58</v>
      </c>
      <c r="G217" s="10" t="s">
        <v>42</v>
      </c>
      <c r="H217" s="10" t="s">
        <v>59</v>
      </c>
      <c r="I217" s="10" t="s">
        <v>60</v>
      </c>
      <c r="J217" s="10" t="s">
        <v>54</v>
      </c>
      <c r="K217" s="10" t="s">
        <v>35</v>
      </c>
      <c r="L217" s="10" t="s">
        <v>216</v>
      </c>
      <c r="M217" s="10" t="s">
        <v>821</v>
      </c>
      <c r="N217" s="11">
        <v>93.94</v>
      </c>
      <c r="O217" s="12">
        <v>4</v>
      </c>
      <c r="P217" s="13">
        <v>0.3</v>
      </c>
      <c r="Q217" s="11">
        <v>24.25</v>
      </c>
    </row>
    <row r="218" spans="1:17" x14ac:dyDescent="0.3">
      <c r="A218" s="2" t="s">
        <v>822</v>
      </c>
      <c r="B218" s="3">
        <v>44865</v>
      </c>
      <c r="C218" s="3">
        <v>44872</v>
      </c>
      <c r="D218" s="2" t="s">
        <v>29</v>
      </c>
      <c r="E218" s="2" t="s">
        <v>415</v>
      </c>
      <c r="F218" s="4" t="s">
        <v>416</v>
      </c>
      <c r="G218" s="4" t="s">
        <v>42</v>
      </c>
      <c r="H218" s="4" t="s">
        <v>417</v>
      </c>
      <c r="I218" s="4" t="s">
        <v>123</v>
      </c>
      <c r="J218" s="4" t="s">
        <v>24</v>
      </c>
      <c r="K218" s="4" t="s">
        <v>45</v>
      </c>
      <c r="L218" s="4" t="s">
        <v>61</v>
      </c>
      <c r="M218" s="4" t="s">
        <v>823</v>
      </c>
      <c r="N218" s="5">
        <v>1663.26</v>
      </c>
      <c r="O218" s="6">
        <v>4</v>
      </c>
      <c r="P218" s="7">
        <v>0.3</v>
      </c>
      <c r="Q218" s="5">
        <v>-421</v>
      </c>
    </row>
    <row r="219" spans="1:17" x14ac:dyDescent="0.3">
      <c r="A219" s="8" t="s">
        <v>824</v>
      </c>
      <c r="B219" s="9">
        <v>44337</v>
      </c>
      <c r="C219" s="9">
        <v>44341</v>
      </c>
      <c r="D219" s="8" t="s">
        <v>73</v>
      </c>
      <c r="E219" s="8" t="s">
        <v>92</v>
      </c>
      <c r="F219" s="10" t="s">
        <v>93</v>
      </c>
      <c r="G219" s="10" t="s">
        <v>42</v>
      </c>
      <c r="H219" s="10" t="s">
        <v>43</v>
      </c>
      <c r="I219" s="10" t="s">
        <v>44</v>
      </c>
      <c r="J219" s="10" t="s">
        <v>24</v>
      </c>
      <c r="K219" s="10" t="s">
        <v>25</v>
      </c>
      <c r="L219" s="10" t="s">
        <v>26</v>
      </c>
      <c r="M219" s="10" t="s">
        <v>825</v>
      </c>
      <c r="N219" s="11">
        <v>1933.22</v>
      </c>
      <c r="O219" s="12">
        <v>6</v>
      </c>
      <c r="P219" s="13">
        <v>0.3</v>
      </c>
      <c r="Q219" s="11">
        <v>-318.83</v>
      </c>
    </row>
    <row r="220" spans="1:17" x14ac:dyDescent="0.3">
      <c r="A220" s="2" t="s">
        <v>826</v>
      </c>
      <c r="B220" s="3">
        <v>45319</v>
      </c>
      <c r="C220" s="3">
        <v>45321</v>
      </c>
      <c r="D220" s="2" t="s">
        <v>18</v>
      </c>
      <c r="E220" s="2" t="s">
        <v>827</v>
      </c>
      <c r="F220" s="4" t="s">
        <v>828</v>
      </c>
      <c r="G220" s="4" t="s">
        <v>51</v>
      </c>
      <c r="H220" s="4" t="s">
        <v>319</v>
      </c>
      <c r="I220" s="4" t="s">
        <v>194</v>
      </c>
      <c r="J220" s="4" t="s">
        <v>34</v>
      </c>
      <c r="K220" s="4" t="s">
        <v>45</v>
      </c>
      <c r="L220" s="4" t="s">
        <v>61</v>
      </c>
      <c r="M220" s="4" t="s">
        <v>829</v>
      </c>
      <c r="N220" s="5">
        <v>3409.6</v>
      </c>
      <c r="O220" s="6">
        <v>5</v>
      </c>
      <c r="P220" s="7">
        <v>0</v>
      </c>
      <c r="Q220" s="5">
        <v>73.069999999999993</v>
      </c>
    </row>
    <row r="221" spans="1:17" x14ac:dyDescent="0.3">
      <c r="A221" s="8" t="s">
        <v>830</v>
      </c>
      <c r="B221" s="9">
        <v>44480</v>
      </c>
      <c r="C221" s="9">
        <v>44482</v>
      </c>
      <c r="D221" s="8" t="s">
        <v>18</v>
      </c>
      <c r="E221" s="8" t="s">
        <v>707</v>
      </c>
      <c r="F221" s="10" t="s">
        <v>708</v>
      </c>
      <c r="G221" s="10" t="s">
        <v>51</v>
      </c>
      <c r="H221" s="10" t="s">
        <v>386</v>
      </c>
      <c r="I221" s="10" t="s">
        <v>347</v>
      </c>
      <c r="J221" s="10" t="s">
        <v>88</v>
      </c>
      <c r="K221" s="10" t="s">
        <v>35</v>
      </c>
      <c r="L221" s="10" t="s">
        <v>110</v>
      </c>
      <c r="M221" s="10" t="s">
        <v>831</v>
      </c>
      <c r="N221" s="11">
        <v>126.76</v>
      </c>
      <c r="O221" s="12">
        <v>8</v>
      </c>
      <c r="P221" s="13">
        <v>0.5</v>
      </c>
      <c r="Q221" s="11">
        <v>2.2200000000000002</v>
      </c>
    </row>
    <row r="222" spans="1:17" x14ac:dyDescent="0.3">
      <c r="A222" s="2" t="s">
        <v>832</v>
      </c>
      <c r="B222" s="3">
        <v>45437</v>
      </c>
      <c r="C222" s="3">
        <v>45441</v>
      </c>
      <c r="D222" s="2" t="s">
        <v>73</v>
      </c>
      <c r="E222" s="2" t="s">
        <v>553</v>
      </c>
      <c r="F222" s="4" t="s">
        <v>554</v>
      </c>
      <c r="G222" s="4" t="s">
        <v>42</v>
      </c>
      <c r="H222" s="4" t="s">
        <v>177</v>
      </c>
      <c r="I222" s="4" t="s">
        <v>178</v>
      </c>
      <c r="J222" s="4" t="s">
        <v>833</v>
      </c>
      <c r="K222" s="4" t="s">
        <v>25</v>
      </c>
      <c r="L222" s="4" t="s">
        <v>68</v>
      </c>
      <c r="M222" s="4" t="s">
        <v>834</v>
      </c>
      <c r="N222" s="5">
        <v>80.650000000000006</v>
      </c>
      <c r="O222" s="6">
        <v>2</v>
      </c>
      <c r="P222" s="7">
        <v>0.4</v>
      </c>
      <c r="Q222" s="5">
        <v>4.95</v>
      </c>
    </row>
    <row r="223" spans="1:17" x14ac:dyDescent="0.3">
      <c r="A223" s="8" t="s">
        <v>835</v>
      </c>
      <c r="B223" s="9">
        <v>45481</v>
      </c>
      <c r="C223" s="9">
        <v>45483</v>
      </c>
      <c r="D223" s="8" t="s">
        <v>39</v>
      </c>
      <c r="E223" s="8" t="s">
        <v>642</v>
      </c>
      <c r="F223" s="10" t="s">
        <v>643</v>
      </c>
      <c r="G223" s="10" t="s">
        <v>51</v>
      </c>
      <c r="H223" s="10" t="s">
        <v>171</v>
      </c>
      <c r="I223" s="10" t="s">
        <v>172</v>
      </c>
      <c r="J223" s="10" t="s">
        <v>24</v>
      </c>
      <c r="K223" s="10" t="s">
        <v>25</v>
      </c>
      <c r="L223" s="10" t="s">
        <v>74</v>
      </c>
      <c r="M223" s="10" t="s">
        <v>836</v>
      </c>
      <c r="N223" s="11">
        <v>2772.35</v>
      </c>
      <c r="O223" s="12">
        <v>10</v>
      </c>
      <c r="P223" s="13">
        <v>0.5</v>
      </c>
      <c r="Q223" s="11">
        <v>-508.52</v>
      </c>
    </row>
    <row r="224" spans="1:17" x14ac:dyDescent="0.3">
      <c r="A224" s="2" t="s">
        <v>837</v>
      </c>
      <c r="B224" s="3">
        <v>45290</v>
      </c>
      <c r="C224" s="3">
        <v>45293</v>
      </c>
      <c r="D224" s="2" t="s">
        <v>39</v>
      </c>
      <c r="E224" s="2" t="s">
        <v>838</v>
      </c>
      <c r="F224" s="4" t="s">
        <v>839</v>
      </c>
      <c r="G224" s="4" t="s">
        <v>51</v>
      </c>
      <c r="H224" s="4" t="s">
        <v>438</v>
      </c>
      <c r="I224" s="4" t="s">
        <v>157</v>
      </c>
      <c r="J224" s="4" t="s">
        <v>88</v>
      </c>
      <c r="K224" s="4" t="s">
        <v>35</v>
      </c>
      <c r="L224" s="4" t="s">
        <v>166</v>
      </c>
      <c r="M224" s="4" t="s">
        <v>840</v>
      </c>
      <c r="N224" s="5">
        <v>481.92</v>
      </c>
      <c r="O224" s="6">
        <v>10</v>
      </c>
      <c r="P224" s="7">
        <v>0.2</v>
      </c>
      <c r="Q224" s="5">
        <v>43.45</v>
      </c>
    </row>
    <row r="225" spans="1:17" x14ac:dyDescent="0.3">
      <c r="A225" s="8" t="s">
        <v>841</v>
      </c>
      <c r="B225" s="9">
        <v>44373</v>
      </c>
      <c r="C225" s="9">
        <v>44374</v>
      </c>
      <c r="D225" s="8" t="s">
        <v>18</v>
      </c>
      <c r="E225" s="8" t="s">
        <v>426</v>
      </c>
      <c r="F225" s="10" t="s">
        <v>427</v>
      </c>
      <c r="G225" s="10" t="s">
        <v>42</v>
      </c>
      <c r="H225" s="10" t="s">
        <v>412</v>
      </c>
      <c r="I225" s="10" t="s">
        <v>178</v>
      </c>
      <c r="J225" s="10" t="s">
        <v>24</v>
      </c>
      <c r="K225" s="10" t="s">
        <v>25</v>
      </c>
      <c r="L225" s="10" t="s">
        <v>68</v>
      </c>
      <c r="M225" s="10" t="s">
        <v>842</v>
      </c>
      <c r="N225" s="11">
        <v>458.38</v>
      </c>
      <c r="O225" s="12">
        <v>7</v>
      </c>
      <c r="P225" s="13">
        <v>0.05</v>
      </c>
      <c r="Q225" s="11">
        <v>203</v>
      </c>
    </row>
    <row r="226" spans="1:17" x14ac:dyDescent="0.3">
      <c r="A226" s="2" t="s">
        <v>843</v>
      </c>
      <c r="B226" s="3">
        <v>44988</v>
      </c>
      <c r="C226" s="3">
        <v>44993</v>
      </c>
      <c r="D226" s="2" t="s">
        <v>29</v>
      </c>
      <c r="E226" s="2" t="s">
        <v>344</v>
      </c>
      <c r="F226" s="4" t="s">
        <v>345</v>
      </c>
      <c r="G226" s="4" t="s">
        <v>51</v>
      </c>
      <c r="H226" s="4" t="s">
        <v>346</v>
      </c>
      <c r="I226" s="4" t="s">
        <v>347</v>
      </c>
      <c r="J226" s="4" t="s">
        <v>88</v>
      </c>
      <c r="K226" s="4" t="s">
        <v>25</v>
      </c>
      <c r="L226" s="4" t="s">
        <v>26</v>
      </c>
      <c r="M226" s="4" t="s">
        <v>844</v>
      </c>
      <c r="N226" s="5">
        <v>3934.3</v>
      </c>
      <c r="O226" s="6">
        <v>5</v>
      </c>
      <c r="P226" s="7">
        <v>0</v>
      </c>
      <c r="Q226" s="5">
        <v>922.16</v>
      </c>
    </row>
    <row r="227" spans="1:17" x14ac:dyDescent="0.3">
      <c r="A227" s="8" t="s">
        <v>845</v>
      </c>
      <c r="B227" s="9">
        <v>44555</v>
      </c>
      <c r="C227" s="9">
        <v>44561</v>
      </c>
      <c r="D227" s="8" t="s">
        <v>29</v>
      </c>
      <c r="E227" s="8" t="s">
        <v>265</v>
      </c>
      <c r="F227" s="10" t="s">
        <v>266</v>
      </c>
      <c r="G227" s="10" t="s">
        <v>21</v>
      </c>
      <c r="H227" s="10" t="s">
        <v>171</v>
      </c>
      <c r="I227" s="10" t="s">
        <v>172</v>
      </c>
      <c r="J227" s="10" t="s">
        <v>24</v>
      </c>
      <c r="K227" s="10" t="s">
        <v>35</v>
      </c>
      <c r="L227" s="10" t="s">
        <v>89</v>
      </c>
      <c r="M227" s="10" t="s">
        <v>846</v>
      </c>
      <c r="N227" s="11">
        <v>1194.1500000000001</v>
      </c>
      <c r="O227" s="12">
        <v>5</v>
      </c>
      <c r="P227" s="13">
        <v>0.05</v>
      </c>
      <c r="Q227" s="11">
        <v>372.05</v>
      </c>
    </row>
    <row r="228" spans="1:17" x14ac:dyDescent="0.3">
      <c r="A228" s="2" t="s">
        <v>847</v>
      </c>
      <c r="B228" s="3">
        <v>44932</v>
      </c>
      <c r="C228" s="3">
        <v>44935</v>
      </c>
      <c r="D228" s="2" t="s">
        <v>39</v>
      </c>
      <c r="E228" s="2" t="s">
        <v>303</v>
      </c>
      <c r="F228" s="4" t="s">
        <v>304</v>
      </c>
      <c r="G228" s="4" t="s">
        <v>42</v>
      </c>
      <c r="H228" s="4" t="s">
        <v>305</v>
      </c>
      <c r="I228" s="4" t="s">
        <v>306</v>
      </c>
      <c r="J228" s="4" t="s">
        <v>34</v>
      </c>
      <c r="K228" s="4" t="s">
        <v>45</v>
      </c>
      <c r="L228" s="4" t="s">
        <v>99</v>
      </c>
      <c r="M228" s="4" t="s">
        <v>848</v>
      </c>
      <c r="N228" s="5">
        <v>771.01</v>
      </c>
      <c r="O228" s="6">
        <v>7</v>
      </c>
      <c r="P228" s="7">
        <v>0.3</v>
      </c>
      <c r="Q228" s="5">
        <v>16.09</v>
      </c>
    </row>
    <row r="229" spans="1:17" x14ac:dyDescent="0.3">
      <c r="A229" s="8" t="s">
        <v>849</v>
      </c>
      <c r="B229" s="9">
        <v>44408</v>
      </c>
      <c r="C229" s="9">
        <v>44413</v>
      </c>
      <c r="D229" s="8" t="s">
        <v>29</v>
      </c>
      <c r="E229" s="8" t="s">
        <v>850</v>
      </c>
      <c r="F229" s="10" t="s">
        <v>851</v>
      </c>
      <c r="G229" s="10" t="s">
        <v>42</v>
      </c>
      <c r="H229" s="10" t="s">
        <v>183</v>
      </c>
      <c r="I229" s="10" t="s">
        <v>184</v>
      </c>
      <c r="J229" s="10" t="s">
        <v>54</v>
      </c>
      <c r="K229" s="10" t="s">
        <v>35</v>
      </c>
      <c r="L229" s="10" t="s">
        <v>81</v>
      </c>
      <c r="M229" s="10" t="s">
        <v>852</v>
      </c>
      <c r="N229" s="11">
        <v>26.87</v>
      </c>
      <c r="O229" s="12">
        <v>2</v>
      </c>
      <c r="P229" s="13">
        <v>0.3</v>
      </c>
      <c r="Q229" s="11">
        <v>6.36</v>
      </c>
    </row>
    <row r="230" spans="1:17" x14ac:dyDescent="0.3">
      <c r="A230" s="2" t="s">
        <v>853</v>
      </c>
      <c r="B230" s="3">
        <v>45368</v>
      </c>
      <c r="C230" s="3">
        <v>45372</v>
      </c>
      <c r="D230" s="2" t="s">
        <v>39</v>
      </c>
      <c r="E230" s="2" t="s">
        <v>370</v>
      </c>
      <c r="F230" s="4" t="s">
        <v>371</v>
      </c>
      <c r="G230" s="4" t="s">
        <v>51</v>
      </c>
      <c r="H230" s="4" t="s">
        <v>372</v>
      </c>
      <c r="I230" s="4" t="s">
        <v>373</v>
      </c>
      <c r="J230" s="4" t="s">
        <v>34</v>
      </c>
      <c r="K230" s="4" t="s">
        <v>25</v>
      </c>
      <c r="L230" s="4" t="s">
        <v>74</v>
      </c>
      <c r="M230" s="4" t="s">
        <v>854</v>
      </c>
      <c r="N230" s="5">
        <v>1193.3</v>
      </c>
      <c r="O230" s="6">
        <v>2</v>
      </c>
      <c r="P230" s="7">
        <v>0</v>
      </c>
      <c r="Q230" s="5">
        <v>413.89</v>
      </c>
    </row>
    <row r="231" spans="1:17" x14ac:dyDescent="0.3">
      <c r="A231" s="8" t="s">
        <v>855</v>
      </c>
      <c r="B231" s="9">
        <v>45585</v>
      </c>
      <c r="C231" s="9">
        <v>45587</v>
      </c>
      <c r="D231" s="8" t="s">
        <v>18</v>
      </c>
      <c r="E231" s="8" t="s">
        <v>293</v>
      </c>
      <c r="F231" s="10" t="s">
        <v>294</v>
      </c>
      <c r="G231" s="10" t="s">
        <v>21</v>
      </c>
      <c r="H231" s="10" t="s">
        <v>193</v>
      </c>
      <c r="I231" s="10" t="s">
        <v>194</v>
      </c>
      <c r="J231" s="10" t="s">
        <v>34</v>
      </c>
      <c r="K231" s="10" t="s">
        <v>45</v>
      </c>
      <c r="L231" s="10" t="s">
        <v>46</v>
      </c>
      <c r="M231" s="10" t="s">
        <v>856</v>
      </c>
      <c r="N231" s="11">
        <v>1420.58</v>
      </c>
      <c r="O231" s="12">
        <v>7</v>
      </c>
      <c r="P231" s="13">
        <v>0</v>
      </c>
      <c r="Q231" s="11">
        <v>532.39</v>
      </c>
    </row>
    <row r="232" spans="1:17" x14ac:dyDescent="0.3">
      <c r="A232" s="2" t="s">
        <v>857</v>
      </c>
      <c r="B232" s="3">
        <v>45072</v>
      </c>
      <c r="C232" s="3">
        <v>45074</v>
      </c>
      <c r="D232" s="2" t="s">
        <v>18</v>
      </c>
      <c r="E232" s="2" t="s">
        <v>858</v>
      </c>
      <c r="F232" s="4" t="s">
        <v>859</v>
      </c>
      <c r="G232" s="4" t="s">
        <v>51</v>
      </c>
      <c r="H232" s="4" t="s">
        <v>145</v>
      </c>
      <c r="I232" s="4" t="s">
        <v>140</v>
      </c>
      <c r="J232" s="4" t="s">
        <v>24</v>
      </c>
      <c r="K232" s="4" t="s">
        <v>45</v>
      </c>
      <c r="L232" s="4" t="s">
        <v>61</v>
      </c>
      <c r="M232" s="4" t="s">
        <v>860</v>
      </c>
      <c r="N232" s="5">
        <v>5013.12</v>
      </c>
      <c r="O232" s="6">
        <v>9</v>
      </c>
      <c r="P232" s="7">
        <v>0.15</v>
      </c>
      <c r="Q232" s="5">
        <v>-265.05</v>
      </c>
    </row>
    <row r="233" spans="1:17" x14ac:dyDescent="0.3">
      <c r="A233" s="8" t="s">
        <v>861</v>
      </c>
      <c r="B233" s="9">
        <v>44980</v>
      </c>
      <c r="C233" s="9">
        <v>44982</v>
      </c>
      <c r="D233" s="8" t="s">
        <v>18</v>
      </c>
      <c r="E233" s="8" t="s">
        <v>384</v>
      </c>
      <c r="F233" s="10" t="s">
        <v>385</v>
      </c>
      <c r="G233" s="10" t="s">
        <v>51</v>
      </c>
      <c r="H233" s="10" t="s">
        <v>386</v>
      </c>
      <c r="I233" s="10" t="s">
        <v>347</v>
      </c>
      <c r="J233" s="10" t="s">
        <v>88</v>
      </c>
      <c r="K233" s="10" t="s">
        <v>45</v>
      </c>
      <c r="L233" s="10" t="s">
        <v>117</v>
      </c>
      <c r="M233" s="10" t="s">
        <v>862</v>
      </c>
      <c r="N233" s="11">
        <v>2803.7</v>
      </c>
      <c r="O233" s="12">
        <v>7</v>
      </c>
      <c r="P233" s="13">
        <v>0.15</v>
      </c>
      <c r="Q233" s="11">
        <v>168.69</v>
      </c>
    </row>
    <row r="234" spans="1:17" x14ac:dyDescent="0.3">
      <c r="A234" s="2" t="s">
        <v>863</v>
      </c>
      <c r="B234" s="3">
        <v>44333</v>
      </c>
      <c r="C234" s="3">
        <v>44337</v>
      </c>
      <c r="D234" s="2" t="s">
        <v>39</v>
      </c>
      <c r="E234" s="2" t="s">
        <v>864</v>
      </c>
      <c r="F234" s="4" t="s">
        <v>865</v>
      </c>
      <c r="G234" s="4" t="s">
        <v>21</v>
      </c>
      <c r="H234" s="4" t="s">
        <v>177</v>
      </c>
      <c r="I234" s="4" t="s">
        <v>178</v>
      </c>
      <c r="J234" s="4" t="s">
        <v>24</v>
      </c>
      <c r="K234" s="4" t="s">
        <v>25</v>
      </c>
      <c r="L234" s="4" t="s">
        <v>124</v>
      </c>
      <c r="M234" s="4" t="s">
        <v>866</v>
      </c>
      <c r="N234" s="5">
        <v>1418.34</v>
      </c>
      <c r="O234" s="6">
        <v>5</v>
      </c>
      <c r="P234" s="7">
        <v>0.3</v>
      </c>
      <c r="Q234" s="5">
        <v>-261.57</v>
      </c>
    </row>
    <row r="235" spans="1:17" x14ac:dyDescent="0.3">
      <c r="A235" s="8" t="s">
        <v>867</v>
      </c>
      <c r="B235" s="9">
        <v>45116</v>
      </c>
      <c r="C235" s="9">
        <v>45119</v>
      </c>
      <c r="D235" s="8" t="s">
        <v>18</v>
      </c>
      <c r="E235" s="8" t="s">
        <v>504</v>
      </c>
      <c r="F235" s="10" t="s">
        <v>505</v>
      </c>
      <c r="G235" s="10" t="s">
        <v>42</v>
      </c>
      <c r="H235" s="10" t="s">
        <v>150</v>
      </c>
      <c r="I235" s="10" t="s">
        <v>151</v>
      </c>
      <c r="J235" s="10" t="s">
        <v>34</v>
      </c>
      <c r="K235" s="10" t="s">
        <v>35</v>
      </c>
      <c r="L235" s="10" t="s">
        <v>158</v>
      </c>
      <c r="M235" s="10" t="s">
        <v>868</v>
      </c>
      <c r="N235" s="11">
        <v>563.57000000000005</v>
      </c>
      <c r="O235" s="12">
        <v>7</v>
      </c>
      <c r="P235" s="13">
        <v>0</v>
      </c>
      <c r="Q235" s="11">
        <v>233.2</v>
      </c>
    </row>
    <row r="236" spans="1:17" x14ac:dyDescent="0.3">
      <c r="A236" s="2" t="s">
        <v>869</v>
      </c>
      <c r="B236" s="3">
        <v>45010</v>
      </c>
      <c r="C236" s="3">
        <v>45015</v>
      </c>
      <c r="D236" s="2" t="s">
        <v>29</v>
      </c>
      <c r="E236" s="2" t="s">
        <v>809</v>
      </c>
      <c r="F236" s="4" t="s">
        <v>810</v>
      </c>
      <c r="G236" s="4" t="s">
        <v>42</v>
      </c>
      <c r="H236" s="4" t="s">
        <v>352</v>
      </c>
      <c r="I236" s="4" t="s">
        <v>306</v>
      </c>
      <c r="J236" s="4" t="s">
        <v>34</v>
      </c>
      <c r="K236" s="4" t="s">
        <v>35</v>
      </c>
      <c r="L236" s="4" t="s">
        <v>229</v>
      </c>
      <c r="M236" s="4" t="s">
        <v>870</v>
      </c>
      <c r="N236" s="5">
        <v>15.45</v>
      </c>
      <c r="O236" s="6">
        <v>5</v>
      </c>
      <c r="P236" s="7">
        <v>0.4</v>
      </c>
      <c r="Q236" s="5">
        <v>0.72</v>
      </c>
    </row>
    <row r="237" spans="1:17" x14ac:dyDescent="0.3">
      <c r="A237" s="8" t="s">
        <v>871</v>
      </c>
      <c r="B237" s="9">
        <v>45426</v>
      </c>
      <c r="C237" s="9">
        <v>45427</v>
      </c>
      <c r="D237" s="8" t="s">
        <v>18</v>
      </c>
      <c r="E237" s="8" t="s">
        <v>453</v>
      </c>
      <c r="F237" s="10" t="s">
        <v>454</v>
      </c>
      <c r="G237" s="10" t="s">
        <v>21</v>
      </c>
      <c r="H237" s="10" t="s">
        <v>386</v>
      </c>
      <c r="I237" s="10" t="s">
        <v>347</v>
      </c>
      <c r="J237" s="10" t="s">
        <v>88</v>
      </c>
      <c r="K237" s="10" t="s">
        <v>25</v>
      </c>
      <c r="L237" s="10" t="s">
        <v>124</v>
      </c>
      <c r="M237" s="10" t="s">
        <v>872</v>
      </c>
      <c r="N237" s="11">
        <v>10346.89</v>
      </c>
      <c r="O237" s="12">
        <v>7</v>
      </c>
      <c r="P237" s="13">
        <v>0.3</v>
      </c>
      <c r="Q237" s="11">
        <v>-191.52</v>
      </c>
    </row>
    <row r="238" spans="1:17" x14ac:dyDescent="0.3">
      <c r="A238" s="2" t="s">
        <v>873</v>
      </c>
      <c r="B238" s="3">
        <v>44961</v>
      </c>
      <c r="C238" s="3">
        <v>44963</v>
      </c>
      <c r="D238" s="2" t="s">
        <v>18</v>
      </c>
      <c r="E238" s="2" t="s">
        <v>874</v>
      </c>
      <c r="F238" s="4" t="s">
        <v>875</v>
      </c>
      <c r="G238" s="4" t="s">
        <v>51</v>
      </c>
      <c r="H238" s="4" t="s">
        <v>59</v>
      </c>
      <c r="I238" s="4" t="s">
        <v>60</v>
      </c>
      <c r="J238" s="4" t="s">
        <v>54</v>
      </c>
      <c r="K238" s="4" t="s">
        <v>25</v>
      </c>
      <c r="L238" s="4" t="s">
        <v>26</v>
      </c>
      <c r="M238" s="4" t="s">
        <v>876</v>
      </c>
      <c r="N238" s="5">
        <v>5931.46</v>
      </c>
      <c r="O238" s="6">
        <v>7</v>
      </c>
      <c r="P238" s="7">
        <v>0.2</v>
      </c>
      <c r="Q238" s="5">
        <v>-558.15</v>
      </c>
    </row>
    <row r="239" spans="1:17" x14ac:dyDescent="0.3">
      <c r="A239" s="8" t="s">
        <v>877</v>
      </c>
      <c r="B239" s="9">
        <v>45254</v>
      </c>
      <c r="C239" s="9">
        <v>45258</v>
      </c>
      <c r="D239" s="8" t="s">
        <v>73</v>
      </c>
      <c r="E239" s="8" t="s">
        <v>40</v>
      </c>
      <c r="F239" s="10" t="s">
        <v>41</v>
      </c>
      <c r="G239" s="10" t="s">
        <v>42</v>
      </c>
      <c r="H239" s="10" t="s">
        <v>43</v>
      </c>
      <c r="I239" s="10" t="s">
        <v>44</v>
      </c>
      <c r="J239" s="10" t="s">
        <v>24</v>
      </c>
      <c r="K239" s="10" t="s">
        <v>25</v>
      </c>
      <c r="L239" s="10" t="s">
        <v>124</v>
      </c>
      <c r="M239" s="10" t="s">
        <v>878</v>
      </c>
      <c r="N239" s="11">
        <v>25163.5</v>
      </c>
      <c r="O239" s="12">
        <v>9</v>
      </c>
      <c r="P239" s="13">
        <v>0.05</v>
      </c>
      <c r="Q239" s="11">
        <v>6970.65</v>
      </c>
    </row>
    <row r="240" spans="1:17" x14ac:dyDescent="0.3">
      <c r="A240" s="2" t="s">
        <v>879</v>
      </c>
      <c r="B240" s="3">
        <v>44416</v>
      </c>
      <c r="C240" s="3">
        <v>44419</v>
      </c>
      <c r="D240" s="2" t="s">
        <v>39</v>
      </c>
      <c r="E240" s="2" t="s">
        <v>309</v>
      </c>
      <c r="F240" s="4" t="s">
        <v>310</v>
      </c>
      <c r="G240" s="4" t="s">
        <v>21</v>
      </c>
      <c r="H240" s="4" t="s">
        <v>115</v>
      </c>
      <c r="I240" s="4" t="s">
        <v>116</v>
      </c>
      <c r="J240" s="4" t="s">
        <v>54</v>
      </c>
      <c r="K240" s="4" t="s">
        <v>25</v>
      </c>
      <c r="L240" s="4" t="s">
        <v>26</v>
      </c>
      <c r="M240" s="4" t="s">
        <v>880</v>
      </c>
      <c r="N240" s="5">
        <v>1594.77</v>
      </c>
      <c r="O240" s="6">
        <v>-1</v>
      </c>
      <c r="P240" s="7">
        <v>0.1</v>
      </c>
      <c r="Q240" s="5">
        <v>157.93</v>
      </c>
    </row>
    <row r="241" spans="1:17" x14ac:dyDescent="0.3">
      <c r="A241" s="8" t="s">
        <v>881</v>
      </c>
      <c r="B241" s="9">
        <v>45649</v>
      </c>
      <c r="C241" s="9">
        <v>45652</v>
      </c>
      <c r="D241" s="8" t="s">
        <v>39</v>
      </c>
      <c r="E241" s="8" t="s">
        <v>30</v>
      </c>
      <c r="F241" s="10" t="s">
        <v>31</v>
      </c>
      <c r="G241" s="10" t="s">
        <v>21</v>
      </c>
      <c r="H241" s="10" t="s">
        <v>32</v>
      </c>
      <c r="I241" s="10" t="s">
        <v>33</v>
      </c>
      <c r="J241" s="10" t="s">
        <v>34</v>
      </c>
      <c r="K241" s="10" t="s">
        <v>45</v>
      </c>
      <c r="L241" s="10" t="s">
        <v>46</v>
      </c>
      <c r="M241" s="10" t="s">
        <v>882</v>
      </c>
      <c r="N241" s="11">
        <v>2169.9899999999998</v>
      </c>
      <c r="O241" s="12">
        <v>10</v>
      </c>
      <c r="P241" s="13">
        <v>0.1</v>
      </c>
      <c r="Q241" s="11">
        <v>520.70000000000005</v>
      </c>
    </row>
    <row r="242" spans="1:17" x14ac:dyDescent="0.3">
      <c r="A242" s="2" t="s">
        <v>883</v>
      </c>
      <c r="B242" s="3">
        <v>45182</v>
      </c>
      <c r="C242" s="3">
        <v>45184</v>
      </c>
      <c r="D242" s="2" t="s">
        <v>39</v>
      </c>
      <c r="E242" s="2" t="s">
        <v>584</v>
      </c>
      <c r="F242" s="4" t="s">
        <v>585</v>
      </c>
      <c r="G242" s="4" t="s">
        <v>42</v>
      </c>
      <c r="H242" s="4" t="s">
        <v>250</v>
      </c>
      <c r="I242" s="4" t="s">
        <v>251</v>
      </c>
      <c r="J242" s="4" t="s">
        <v>88</v>
      </c>
      <c r="K242" s="4" t="s">
        <v>45</v>
      </c>
      <c r="L242" s="4" t="s">
        <v>46</v>
      </c>
      <c r="M242" s="4" t="s">
        <v>884</v>
      </c>
      <c r="N242" s="5">
        <v>3327.48</v>
      </c>
      <c r="O242" s="6">
        <v>9</v>
      </c>
      <c r="P242" s="7">
        <v>0.4</v>
      </c>
      <c r="Q242" s="5">
        <v>57.99</v>
      </c>
    </row>
    <row r="243" spans="1:17" x14ac:dyDescent="0.3">
      <c r="A243" s="8" t="s">
        <v>885</v>
      </c>
      <c r="B243" s="9">
        <v>45275</v>
      </c>
      <c r="C243" s="9">
        <v>45280</v>
      </c>
      <c r="D243" s="8" t="s">
        <v>73</v>
      </c>
      <c r="E243" s="8" t="s">
        <v>745</v>
      </c>
      <c r="F243" s="10" t="s">
        <v>746</v>
      </c>
      <c r="G243" s="10" t="s">
        <v>51</v>
      </c>
      <c r="H243" s="10" t="s">
        <v>465</v>
      </c>
      <c r="I243" s="10" t="s">
        <v>423</v>
      </c>
      <c r="J243" s="10" t="s">
        <v>88</v>
      </c>
      <c r="K243" s="10" t="s">
        <v>45</v>
      </c>
      <c r="L243" s="10" t="s">
        <v>46</v>
      </c>
      <c r="M243" s="10" t="s">
        <v>886</v>
      </c>
      <c r="N243" s="11">
        <v>2476.8000000000002</v>
      </c>
      <c r="O243" s="12">
        <v>8</v>
      </c>
      <c r="P243" s="13">
        <v>0.2</v>
      </c>
      <c r="Q243" s="11">
        <v>662.43</v>
      </c>
    </row>
    <row r="244" spans="1:17" x14ac:dyDescent="0.3">
      <c r="A244" s="2" t="s">
        <v>887</v>
      </c>
      <c r="B244" s="3">
        <v>45582</v>
      </c>
      <c r="C244" s="3">
        <v>45583</v>
      </c>
      <c r="D244" s="2" t="s">
        <v>18</v>
      </c>
      <c r="E244" s="2" t="s">
        <v>864</v>
      </c>
      <c r="F244" s="4" t="s">
        <v>865</v>
      </c>
      <c r="G244" s="4" t="s">
        <v>21</v>
      </c>
      <c r="H244" s="4" t="s">
        <v>177</v>
      </c>
      <c r="I244" s="4" t="s">
        <v>178</v>
      </c>
      <c r="J244" s="4" t="s">
        <v>24</v>
      </c>
      <c r="K244" s="4" t="s">
        <v>25</v>
      </c>
      <c r="L244" s="4" t="s">
        <v>68</v>
      </c>
      <c r="M244" s="4" t="s">
        <v>888</v>
      </c>
      <c r="N244" s="5">
        <v>258.27</v>
      </c>
      <c r="O244" s="6">
        <v>4</v>
      </c>
      <c r="P244" s="7">
        <v>0.3</v>
      </c>
      <c r="Q244" s="5">
        <v>46</v>
      </c>
    </row>
    <row r="245" spans="1:17" x14ac:dyDescent="0.3">
      <c r="A245" s="8" t="s">
        <v>889</v>
      </c>
      <c r="B245" s="9">
        <v>45543</v>
      </c>
      <c r="C245" s="9">
        <v>45546</v>
      </c>
      <c r="D245" s="8" t="s">
        <v>73</v>
      </c>
      <c r="E245" s="8" t="s">
        <v>890</v>
      </c>
      <c r="F245" s="10" t="s">
        <v>891</v>
      </c>
      <c r="G245" s="10" t="s">
        <v>42</v>
      </c>
      <c r="H245" s="10" t="s">
        <v>22</v>
      </c>
      <c r="I245" s="10" t="s">
        <v>23</v>
      </c>
      <c r="J245" s="10" t="s">
        <v>24</v>
      </c>
      <c r="K245" s="10" t="s">
        <v>25</v>
      </c>
      <c r="L245" s="10" t="s">
        <v>68</v>
      </c>
      <c r="M245" s="10" t="s">
        <v>870</v>
      </c>
      <c r="N245" s="11">
        <v>92.15</v>
      </c>
      <c r="O245" s="12">
        <v>1</v>
      </c>
      <c r="P245" s="13">
        <v>0</v>
      </c>
      <c r="Q245" s="11">
        <v>42.14</v>
      </c>
    </row>
    <row r="246" spans="1:17" x14ac:dyDescent="0.3">
      <c r="A246" s="2" t="s">
        <v>892</v>
      </c>
      <c r="B246" s="3">
        <v>44222</v>
      </c>
      <c r="C246" s="3">
        <v>44223</v>
      </c>
      <c r="D246" s="2" t="s">
        <v>18</v>
      </c>
      <c r="E246" s="2" t="s">
        <v>426</v>
      </c>
      <c r="F246" s="4" t="s">
        <v>427</v>
      </c>
      <c r="G246" s="4" t="s">
        <v>42</v>
      </c>
      <c r="H246" s="4" t="s">
        <v>412</v>
      </c>
      <c r="I246" s="4" t="s">
        <v>178</v>
      </c>
      <c r="J246" s="4" t="s">
        <v>24</v>
      </c>
      <c r="K246" s="4" t="s">
        <v>35</v>
      </c>
      <c r="L246" s="4" t="s">
        <v>216</v>
      </c>
      <c r="M246" s="4" t="s">
        <v>893</v>
      </c>
      <c r="N246" s="5">
        <v>115.16</v>
      </c>
      <c r="O246" s="6">
        <v>4</v>
      </c>
      <c r="P246" s="7">
        <v>0</v>
      </c>
      <c r="Q246" s="5">
        <v>50.74</v>
      </c>
    </row>
    <row r="247" spans="1:17" x14ac:dyDescent="0.3">
      <c r="A247" s="8" t="s">
        <v>894</v>
      </c>
      <c r="B247" s="9">
        <v>45404</v>
      </c>
      <c r="C247" s="9">
        <v>45406</v>
      </c>
      <c r="D247" s="8" t="s">
        <v>39</v>
      </c>
      <c r="E247" s="8" t="s">
        <v>210</v>
      </c>
      <c r="F247" s="10" t="s">
        <v>211</v>
      </c>
      <c r="G247" s="10" t="s">
        <v>42</v>
      </c>
      <c r="H247" s="10" t="s">
        <v>86</v>
      </c>
      <c r="I247" s="10" t="s">
        <v>87</v>
      </c>
      <c r="J247" s="10" t="s">
        <v>88</v>
      </c>
      <c r="K247" s="10" t="s">
        <v>25</v>
      </c>
      <c r="L247" s="10" t="s">
        <v>74</v>
      </c>
      <c r="M247" s="10" t="s">
        <v>895</v>
      </c>
      <c r="N247" s="11">
        <v>1360.45</v>
      </c>
      <c r="O247" s="12">
        <v>3</v>
      </c>
      <c r="P247" s="13">
        <v>0.15</v>
      </c>
      <c r="Q247" s="11">
        <v>395.65</v>
      </c>
    </row>
    <row r="248" spans="1:17" x14ac:dyDescent="0.3">
      <c r="A248" s="2" t="s">
        <v>896</v>
      </c>
      <c r="B248" s="3">
        <v>45138</v>
      </c>
      <c r="C248" s="3">
        <v>45143</v>
      </c>
      <c r="D248" s="2" t="s">
        <v>29</v>
      </c>
      <c r="E248" s="2" t="s">
        <v>817</v>
      </c>
      <c r="F248" s="4" t="s">
        <v>818</v>
      </c>
      <c r="G248" s="4" t="s">
        <v>42</v>
      </c>
      <c r="H248" s="4" t="s">
        <v>98</v>
      </c>
      <c r="I248" s="4" t="s">
        <v>80</v>
      </c>
      <c r="J248" s="4" t="s">
        <v>54</v>
      </c>
      <c r="K248" s="4" t="s">
        <v>45</v>
      </c>
      <c r="L248" s="4" t="s">
        <v>61</v>
      </c>
      <c r="M248" s="4" t="s">
        <v>897</v>
      </c>
      <c r="N248" s="5">
        <v>730.64</v>
      </c>
      <c r="O248" s="6">
        <v>1</v>
      </c>
      <c r="P248" s="7">
        <v>0</v>
      </c>
      <c r="Q248" s="5">
        <v>119.87</v>
      </c>
    </row>
    <row r="249" spans="1:17" x14ac:dyDescent="0.3">
      <c r="A249" s="8" t="s">
        <v>898</v>
      </c>
      <c r="B249" s="9">
        <v>44728</v>
      </c>
      <c r="C249" s="9">
        <v>44733</v>
      </c>
      <c r="D249" s="8" t="s">
        <v>73</v>
      </c>
      <c r="E249" s="8" t="s">
        <v>899</v>
      </c>
      <c r="F249" s="10" t="s">
        <v>900</v>
      </c>
      <c r="G249" s="10" t="s">
        <v>51</v>
      </c>
      <c r="H249" s="10" t="s">
        <v>319</v>
      </c>
      <c r="I249" s="10" t="s">
        <v>194</v>
      </c>
      <c r="J249" s="10" t="s">
        <v>34</v>
      </c>
      <c r="K249" s="10" t="s">
        <v>25</v>
      </c>
      <c r="L249" s="10" t="s">
        <v>124</v>
      </c>
      <c r="M249" s="10" t="s">
        <v>901</v>
      </c>
      <c r="N249" s="11">
        <v>2896.6</v>
      </c>
      <c r="O249" s="12">
        <v>2</v>
      </c>
      <c r="P249" s="13">
        <v>0.15</v>
      </c>
      <c r="Q249" s="11">
        <v>416.24</v>
      </c>
    </row>
    <row r="250" spans="1:17" x14ac:dyDescent="0.3">
      <c r="A250" s="2" t="s">
        <v>902</v>
      </c>
      <c r="B250" s="3">
        <v>45643</v>
      </c>
      <c r="C250" s="3">
        <v>45646</v>
      </c>
      <c r="D250" s="2" t="s">
        <v>18</v>
      </c>
      <c r="E250" s="2" t="s">
        <v>512</v>
      </c>
      <c r="F250" s="4" t="s">
        <v>513</v>
      </c>
      <c r="G250" s="4" t="s">
        <v>21</v>
      </c>
      <c r="H250" s="4" t="s">
        <v>104</v>
      </c>
      <c r="I250" s="4" t="s">
        <v>105</v>
      </c>
      <c r="J250" s="4" t="s">
        <v>88</v>
      </c>
      <c r="K250" s="4" t="s">
        <v>45</v>
      </c>
      <c r="L250" s="4" t="s">
        <v>117</v>
      </c>
      <c r="M250" s="4" t="s">
        <v>903</v>
      </c>
      <c r="N250" s="5">
        <v>2109.8000000000002</v>
      </c>
      <c r="O250" s="6">
        <v>9</v>
      </c>
      <c r="P250" s="7">
        <v>0.05</v>
      </c>
      <c r="Q250" s="5">
        <v>564.51</v>
      </c>
    </row>
    <row r="251" spans="1:17" x14ac:dyDescent="0.3">
      <c r="A251" s="8" t="s">
        <v>904</v>
      </c>
      <c r="B251" s="9">
        <v>44424</v>
      </c>
      <c r="C251" s="9">
        <v>44427</v>
      </c>
      <c r="D251" s="8" t="s">
        <v>39</v>
      </c>
      <c r="E251" s="8" t="s">
        <v>905</v>
      </c>
      <c r="F251" s="10" t="s">
        <v>906</v>
      </c>
      <c r="G251" s="10" t="s">
        <v>51</v>
      </c>
      <c r="H251" s="10" t="s">
        <v>352</v>
      </c>
      <c r="I251" s="10" t="s">
        <v>306</v>
      </c>
      <c r="J251" s="10" t="s">
        <v>34</v>
      </c>
      <c r="K251" s="10" t="s">
        <v>25</v>
      </c>
      <c r="L251" s="10" t="s">
        <v>124</v>
      </c>
      <c r="M251" s="10" t="s">
        <v>907</v>
      </c>
      <c r="N251" s="11">
        <v>17571.900000000001</v>
      </c>
      <c r="O251" s="12">
        <v>5</v>
      </c>
      <c r="P251" s="13">
        <v>0</v>
      </c>
      <c r="Q251" s="11">
        <v>4833.62</v>
      </c>
    </row>
    <row r="252" spans="1:17" x14ac:dyDescent="0.3">
      <c r="A252" s="2" t="s">
        <v>908</v>
      </c>
      <c r="B252" s="3">
        <v>45508</v>
      </c>
      <c r="C252" s="3">
        <v>45513</v>
      </c>
      <c r="D252" s="2" t="s">
        <v>29</v>
      </c>
      <c r="E252" s="2" t="s">
        <v>618</v>
      </c>
      <c r="F252" s="4" t="s">
        <v>619</v>
      </c>
      <c r="G252" s="4" t="s">
        <v>42</v>
      </c>
      <c r="H252" s="4" t="s">
        <v>260</v>
      </c>
      <c r="I252" s="4" t="s">
        <v>151</v>
      </c>
      <c r="J252" s="4" t="s">
        <v>34</v>
      </c>
      <c r="K252" s="4" t="s">
        <v>25</v>
      </c>
      <c r="L252" s="4" t="s">
        <v>26</v>
      </c>
      <c r="M252" s="4" t="s">
        <v>909</v>
      </c>
      <c r="N252" s="5">
        <v>1111.52</v>
      </c>
      <c r="O252" s="6">
        <v>1</v>
      </c>
      <c r="P252" s="7">
        <v>0.3</v>
      </c>
      <c r="Q252" s="5">
        <v>-69.58</v>
      </c>
    </row>
    <row r="253" spans="1:17" x14ac:dyDescent="0.3">
      <c r="A253" s="8" t="s">
        <v>910</v>
      </c>
      <c r="B253" s="9">
        <v>44531</v>
      </c>
      <c r="C253" s="9">
        <v>44533</v>
      </c>
      <c r="D253" s="8" t="s">
        <v>18</v>
      </c>
      <c r="E253" s="8" t="s">
        <v>874</v>
      </c>
      <c r="F253" s="10" t="s">
        <v>875</v>
      </c>
      <c r="G253" s="10" t="s">
        <v>51</v>
      </c>
      <c r="H253" s="10" t="s">
        <v>59</v>
      </c>
      <c r="I253" s="10" t="s">
        <v>60</v>
      </c>
      <c r="J253" s="10" t="s">
        <v>54</v>
      </c>
      <c r="K253" s="10" t="s">
        <v>25</v>
      </c>
      <c r="L253" s="10" t="s">
        <v>74</v>
      </c>
      <c r="M253" s="10" t="s">
        <v>911</v>
      </c>
      <c r="N253" s="11">
        <v>392.67</v>
      </c>
      <c r="O253" s="12">
        <v>5</v>
      </c>
      <c r="P253" s="13">
        <v>0.1</v>
      </c>
      <c r="Q253" s="11">
        <v>130.41999999999999</v>
      </c>
    </row>
    <row r="254" spans="1:17" x14ac:dyDescent="0.3">
      <c r="A254" s="2" t="s">
        <v>912</v>
      </c>
      <c r="B254" s="3">
        <v>44585</v>
      </c>
      <c r="C254" s="3">
        <v>44590</v>
      </c>
      <c r="D254" s="2" t="s">
        <v>29</v>
      </c>
      <c r="E254" s="2" t="s">
        <v>169</v>
      </c>
      <c r="F254" s="4" t="s">
        <v>170</v>
      </c>
      <c r="G254" s="4" t="s">
        <v>21</v>
      </c>
      <c r="H254" s="4" t="s">
        <v>171</v>
      </c>
      <c r="I254" s="4" t="s">
        <v>172</v>
      </c>
      <c r="J254" s="4" t="s">
        <v>24</v>
      </c>
      <c r="K254" s="4" t="s">
        <v>25</v>
      </c>
      <c r="L254" s="4" t="s">
        <v>74</v>
      </c>
      <c r="M254" s="4" t="s">
        <v>913</v>
      </c>
      <c r="N254" s="5">
        <v>179.32</v>
      </c>
      <c r="O254" s="6">
        <v>3</v>
      </c>
      <c r="P254" s="7">
        <v>0.3</v>
      </c>
      <c r="Q254" s="5">
        <v>32.97</v>
      </c>
    </row>
    <row r="255" spans="1:17" x14ac:dyDescent="0.3">
      <c r="A255" s="8" t="s">
        <v>914</v>
      </c>
      <c r="B255" s="9">
        <v>45357</v>
      </c>
      <c r="C255" s="9">
        <v>45360</v>
      </c>
      <c r="D255" s="8" t="s">
        <v>39</v>
      </c>
      <c r="E255" s="8" t="s">
        <v>273</v>
      </c>
      <c r="F255" s="10" t="s">
        <v>274</v>
      </c>
      <c r="G255" s="10" t="s">
        <v>42</v>
      </c>
      <c r="H255" s="10" t="s">
        <v>171</v>
      </c>
      <c r="I255" s="10" t="s">
        <v>172</v>
      </c>
      <c r="J255" s="10" t="s">
        <v>24</v>
      </c>
      <c r="K255" s="10" t="s">
        <v>25</v>
      </c>
      <c r="L255" s="10" t="s">
        <v>26</v>
      </c>
      <c r="M255" s="10" t="s">
        <v>747</v>
      </c>
      <c r="N255" s="11">
        <v>2709.15</v>
      </c>
      <c r="O255" s="12">
        <v>2</v>
      </c>
      <c r="P255" s="13">
        <v>0.2</v>
      </c>
      <c r="Q255" s="11">
        <v>-160.02000000000001</v>
      </c>
    </row>
    <row r="256" spans="1:17" x14ac:dyDescent="0.3">
      <c r="A256" s="2" t="s">
        <v>915</v>
      </c>
      <c r="B256" s="3">
        <v>45155</v>
      </c>
      <c r="C256" s="3">
        <v>45156</v>
      </c>
      <c r="D256" s="2" t="s">
        <v>18</v>
      </c>
      <c r="E256" s="2" t="s">
        <v>30</v>
      </c>
      <c r="F256" s="4" t="s">
        <v>31</v>
      </c>
      <c r="G256" s="4" t="s">
        <v>21</v>
      </c>
      <c r="H256" s="4" t="s">
        <v>32</v>
      </c>
      <c r="I256" s="4" t="s">
        <v>33</v>
      </c>
      <c r="J256" s="4" t="s">
        <v>34</v>
      </c>
      <c r="K256" s="4" t="s">
        <v>25</v>
      </c>
      <c r="L256" s="4" t="s">
        <v>124</v>
      </c>
      <c r="M256" s="4" t="s">
        <v>916</v>
      </c>
      <c r="N256" s="5">
        <v>20214.740000000002</v>
      </c>
      <c r="O256" s="6">
        <v>9</v>
      </c>
      <c r="P256" s="7">
        <v>0.4</v>
      </c>
      <c r="Q256" s="5">
        <v>-2811.03</v>
      </c>
    </row>
    <row r="257" spans="1:17" x14ac:dyDescent="0.3">
      <c r="A257" s="8" t="s">
        <v>917</v>
      </c>
      <c r="B257" s="9">
        <v>44894</v>
      </c>
      <c r="C257" s="9">
        <v>44899</v>
      </c>
      <c r="D257" s="8" t="s">
        <v>73</v>
      </c>
      <c r="E257" s="8" t="s">
        <v>688</v>
      </c>
      <c r="F257" s="10" t="s">
        <v>689</v>
      </c>
      <c r="G257" s="10" t="s">
        <v>42</v>
      </c>
      <c r="H257" s="10" t="s">
        <v>438</v>
      </c>
      <c r="I257" s="10" t="s">
        <v>157</v>
      </c>
      <c r="J257" s="10" t="s">
        <v>88</v>
      </c>
      <c r="K257" s="10" t="s">
        <v>45</v>
      </c>
      <c r="L257" s="10" t="s">
        <v>99</v>
      </c>
      <c r="M257" s="10" t="s">
        <v>918</v>
      </c>
      <c r="N257" s="11">
        <v>942.78</v>
      </c>
      <c r="O257" s="12">
        <v>10</v>
      </c>
      <c r="P257" s="13">
        <v>0.4</v>
      </c>
      <c r="Q257" s="11">
        <v>-217.34</v>
      </c>
    </row>
    <row r="258" spans="1:17" x14ac:dyDescent="0.3">
      <c r="A258" s="2" t="s">
        <v>919</v>
      </c>
      <c r="B258" s="3">
        <v>45621</v>
      </c>
      <c r="C258" s="3">
        <v>45625</v>
      </c>
      <c r="D258" s="2" t="s">
        <v>73</v>
      </c>
      <c r="E258" s="2" t="s">
        <v>293</v>
      </c>
      <c r="F258" s="4" t="s">
        <v>294</v>
      </c>
      <c r="G258" s="4" t="s">
        <v>21</v>
      </c>
      <c r="H258" s="4" t="s">
        <v>193</v>
      </c>
      <c r="I258" s="4" t="s">
        <v>194</v>
      </c>
      <c r="J258" s="4" t="s">
        <v>34</v>
      </c>
      <c r="K258" s="4" t="s">
        <v>35</v>
      </c>
      <c r="L258" s="4" t="s">
        <v>36</v>
      </c>
      <c r="M258" s="4" t="s">
        <v>920</v>
      </c>
      <c r="N258" s="5">
        <v>121.24</v>
      </c>
      <c r="O258" s="6">
        <v>1</v>
      </c>
      <c r="P258" s="7">
        <v>0.2</v>
      </c>
      <c r="Q258" s="5">
        <v>26.9</v>
      </c>
    </row>
    <row r="259" spans="1:17" x14ac:dyDescent="0.3">
      <c r="A259" s="8" t="s">
        <v>921</v>
      </c>
      <c r="B259" s="9">
        <v>44560</v>
      </c>
      <c r="C259" s="9">
        <v>44563</v>
      </c>
      <c r="D259" s="8" t="s">
        <v>18</v>
      </c>
      <c r="E259" s="8" t="s">
        <v>380</v>
      </c>
      <c r="F259" s="10" t="s">
        <v>381</v>
      </c>
      <c r="G259" s="10" t="s">
        <v>51</v>
      </c>
      <c r="H259" s="10" t="s">
        <v>156</v>
      </c>
      <c r="I259" s="10" t="s">
        <v>157</v>
      </c>
      <c r="J259" s="10" t="s">
        <v>88</v>
      </c>
      <c r="K259" s="10" t="s">
        <v>35</v>
      </c>
      <c r="L259" s="10" t="s">
        <v>158</v>
      </c>
      <c r="M259" s="10" t="s">
        <v>922</v>
      </c>
      <c r="N259" s="11">
        <v>88.06</v>
      </c>
      <c r="O259" s="12">
        <v>1</v>
      </c>
      <c r="P259" s="13">
        <v>0.1</v>
      </c>
      <c r="Q259" s="11">
        <v>32.68</v>
      </c>
    </row>
    <row r="260" spans="1:17" x14ac:dyDescent="0.3">
      <c r="A260" s="2" t="s">
        <v>923</v>
      </c>
      <c r="B260" s="3">
        <v>45038</v>
      </c>
      <c r="C260" s="3">
        <v>45043</v>
      </c>
      <c r="D260" s="2" t="s">
        <v>73</v>
      </c>
      <c r="E260" s="2" t="s">
        <v>924</v>
      </c>
      <c r="F260" s="4" t="s">
        <v>925</v>
      </c>
      <c r="G260" s="4" t="s">
        <v>42</v>
      </c>
      <c r="H260" s="4" t="s">
        <v>79</v>
      </c>
      <c r="I260" s="4" t="s">
        <v>80</v>
      </c>
      <c r="J260" s="4" t="s">
        <v>54</v>
      </c>
      <c r="K260" s="4" t="s">
        <v>45</v>
      </c>
      <c r="L260" s="4" t="s">
        <v>61</v>
      </c>
      <c r="M260" s="4" t="s">
        <v>926</v>
      </c>
      <c r="N260" s="5">
        <v>3277.23</v>
      </c>
      <c r="O260" s="6">
        <v>8</v>
      </c>
      <c r="P260" s="7">
        <v>0.3</v>
      </c>
      <c r="Q260" s="5">
        <v>-689.58</v>
      </c>
    </row>
    <row r="261" spans="1:17" x14ac:dyDescent="0.3">
      <c r="A261" s="8" t="s">
        <v>927</v>
      </c>
      <c r="B261" s="9">
        <v>44763</v>
      </c>
      <c r="C261" s="9">
        <v>44766</v>
      </c>
      <c r="D261" s="8" t="s">
        <v>18</v>
      </c>
      <c r="E261" s="8" t="s">
        <v>614</v>
      </c>
      <c r="F261" s="10" t="s">
        <v>615</v>
      </c>
      <c r="G261" s="10" t="s">
        <v>21</v>
      </c>
      <c r="H261" s="10" t="s">
        <v>139</v>
      </c>
      <c r="I261" s="10" t="s">
        <v>140</v>
      </c>
      <c r="J261" s="10" t="s">
        <v>24</v>
      </c>
      <c r="K261" s="10" t="s">
        <v>25</v>
      </c>
      <c r="L261" s="10" t="s">
        <v>124</v>
      </c>
      <c r="M261" s="10" t="s">
        <v>928</v>
      </c>
      <c r="N261" s="11">
        <v>9898.7199999999993</v>
      </c>
      <c r="O261" s="12">
        <v>8</v>
      </c>
      <c r="P261" s="13">
        <v>0</v>
      </c>
      <c r="Q261" s="11">
        <v>2254.88</v>
      </c>
    </row>
    <row r="262" spans="1:17" x14ac:dyDescent="0.3">
      <c r="A262" s="2" t="s">
        <v>929</v>
      </c>
      <c r="B262" s="3">
        <v>44418</v>
      </c>
      <c r="C262" s="3">
        <v>44420</v>
      </c>
      <c r="D262" s="2" t="s">
        <v>18</v>
      </c>
      <c r="E262" s="2" t="s">
        <v>809</v>
      </c>
      <c r="F262" s="4" t="s">
        <v>810</v>
      </c>
      <c r="G262" s="4" t="s">
        <v>42</v>
      </c>
      <c r="H262" s="4" t="s">
        <v>352</v>
      </c>
      <c r="I262" s="4" t="s">
        <v>306</v>
      </c>
      <c r="J262" s="4" t="s">
        <v>34</v>
      </c>
      <c r="K262" s="4" t="s">
        <v>35</v>
      </c>
      <c r="L262" s="4" t="s">
        <v>89</v>
      </c>
      <c r="M262" s="4" t="s">
        <v>930</v>
      </c>
      <c r="N262" s="5">
        <v>1584.88</v>
      </c>
      <c r="O262" s="6">
        <v>8</v>
      </c>
      <c r="P262" s="7">
        <v>0</v>
      </c>
      <c r="Q262" s="5">
        <v>659.74</v>
      </c>
    </row>
    <row r="263" spans="1:17" x14ac:dyDescent="0.3">
      <c r="A263" s="8" t="s">
        <v>931</v>
      </c>
      <c r="B263" s="9">
        <v>45260</v>
      </c>
      <c r="C263" s="9">
        <v>45261</v>
      </c>
      <c r="D263" s="8" t="s">
        <v>18</v>
      </c>
      <c r="E263" s="8" t="s">
        <v>566</v>
      </c>
      <c r="F263" s="10" t="s">
        <v>567</v>
      </c>
      <c r="G263" s="10" t="s">
        <v>21</v>
      </c>
      <c r="H263" s="10" t="s">
        <v>156</v>
      </c>
      <c r="I263" s="10" t="s">
        <v>157</v>
      </c>
      <c r="J263" s="10" t="s">
        <v>88</v>
      </c>
      <c r="K263" s="10" t="s">
        <v>25</v>
      </c>
      <c r="L263" s="10" t="s">
        <v>68</v>
      </c>
      <c r="M263" s="10" t="s">
        <v>932</v>
      </c>
      <c r="N263" s="11">
        <v>47.46</v>
      </c>
      <c r="O263" s="12">
        <v>3</v>
      </c>
      <c r="P263" s="13">
        <v>0.15</v>
      </c>
      <c r="Q263" s="11">
        <v>11.25</v>
      </c>
    </row>
    <row r="264" spans="1:17" x14ac:dyDescent="0.3">
      <c r="A264" s="2" t="s">
        <v>933</v>
      </c>
      <c r="B264" s="3">
        <v>45246</v>
      </c>
      <c r="C264" s="3">
        <v>45249</v>
      </c>
      <c r="D264" s="2" t="s">
        <v>39</v>
      </c>
      <c r="E264" s="2" t="s">
        <v>273</v>
      </c>
      <c r="F264" s="4" t="s">
        <v>274</v>
      </c>
      <c r="G264" s="4" t="s">
        <v>42</v>
      </c>
      <c r="H264" s="4" t="s">
        <v>171</v>
      </c>
      <c r="I264" s="4" t="s">
        <v>172</v>
      </c>
      <c r="J264" s="4" t="s">
        <v>24</v>
      </c>
      <c r="K264" s="4" t="s">
        <v>35</v>
      </c>
      <c r="L264" s="4" t="s">
        <v>229</v>
      </c>
      <c r="M264" s="4" t="s">
        <v>934</v>
      </c>
      <c r="N264" s="5">
        <v>86.2</v>
      </c>
      <c r="O264" s="6">
        <v>10</v>
      </c>
      <c r="P264" s="7">
        <v>0</v>
      </c>
      <c r="Q264" s="5">
        <v>42.19</v>
      </c>
    </row>
    <row r="265" spans="1:17" x14ac:dyDescent="0.3">
      <c r="A265" s="8" t="s">
        <v>935</v>
      </c>
      <c r="B265" s="9">
        <v>45104</v>
      </c>
      <c r="C265" s="9">
        <v>45107</v>
      </c>
      <c r="D265" s="8" t="s">
        <v>39</v>
      </c>
      <c r="E265" s="8" t="s">
        <v>441</v>
      </c>
      <c r="F265" s="10" t="s">
        <v>442</v>
      </c>
      <c r="G265" s="10" t="s">
        <v>21</v>
      </c>
      <c r="H265" s="10" t="s">
        <v>98</v>
      </c>
      <c r="I265" s="10" t="s">
        <v>80</v>
      </c>
      <c r="J265" s="10" t="s">
        <v>54</v>
      </c>
      <c r="K265" s="10" t="s">
        <v>25</v>
      </c>
      <c r="L265" s="10" t="s">
        <v>74</v>
      </c>
      <c r="M265" s="10" t="s">
        <v>936</v>
      </c>
      <c r="N265" s="11">
        <v>753.5</v>
      </c>
      <c r="O265" s="12">
        <v>3</v>
      </c>
      <c r="P265" s="13">
        <v>0.4</v>
      </c>
      <c r="Q265" s="11">
        <v>-125.27</v>
      </c>
    </row>
    <row r="266" spans="1:17" x14ac:dyDescent="0.3">
      <c r="A266" s="2" t="s">
        <v>937</v>
      </c>
      <c r="B266" s="3">
        <v>44912</v>
      </c>
      <c r="C266" s="3">
        <v>44916</v>
      </c>
      <c r="D266" s="2" t="s">
        <v>39</v>
      </c>
      <c r="E266" s="2" t="s">
        <v>214</v>
      </c>
      <c r="F266" s="4" t="s">
        <v>215</v>
      </c>
      <c r="G266" s="4" t="s">
        <v>21</v>
      </c>
      <c r="H266" s="4" t="s">
        <v>52</v>
      </c>
      <c r="I266" s="4" t="s">
        <v>53</v>
      </c>
      <c r="J266" s="4" t="s">
        <v>54</v>
      </c>
      <c r="K266" s="4" t="s">
        <v>35</v>
      </c>
      <c r="L266" s="4" t="s">
        <v>158</v>
      </c>
      <c r="M266" s="4" t="s">
        <v>938</v>
      </c>
      <c r="N266" s="5">
        <v>15.96</v>
      </c>
      <c r="O266" s="6">
        <v>2</v>
      </c>
      <c r="P266" s="7">
        <v>0.4</v>
      </c>
      <c r="Q266" s="5">
        <v>-0.56999999999999995</v>
      </c>
    </row>
    <row r="267" spans="1:17" x14ac:dyDescent="0.3">
      <c r="A267" s="8" t="s">
        <v>939</v>
      </c>
      <c r="B267" s="9">
        <v>45017</v>
      </c>
      <c r="C267" s="9">
        <v>45021</v>
      </c>
      <c r="D267" s="8" t="s">
        <v>39</v>
      </c>
      <c r="E267" s="8" t="s">
        <v>785</v>
      </c>
      <c r="F267" s="10" t="s">
        <v>786</v>
      </c>
      <c r="G267" s="10" t="s">
        <v>51</v>
      </c>
      <c r="H267" s="10" t="s">
        <v>422</v>
      </c>
      <c r="I267" s="10" t="s">
        <v>423</v>
      </c>
      <c r="J267" s="10" t="s">
        <v>88</v>
      </c>
      <c r="K267" s="10" t="s">
        <v>45</v>
      </c>
      <c r="L267" s="10" t="s">
        <v>46</v>
      </c>
      <c r="M267" s="10" t="s">
        <v>940</v>
      </c>
      <c r="N267" s="11">
        <v>354.44</v>
      </c>
      <c r="O267" s="12">
        <v>4</v>
      </c>
      <c r="P267" s="13">
        <v>0</v>
      </c>
      <c r="Q267" s="11">
        <v>141.16999999999999</v>
      </c>
    </row>
    <row r="268" spans="1:17" x14ac:dyDescent="0.3">
      <c r="A268" s="2" t="s">
        <v>941</v>
      </c>
      <c r="B268" s="3">
        <v>45407</v>
      </c>
      <c r="C268" s="3">
        <v>45412</v>
      </c>
      <c r="D268" s="2" t="s">
        <v>29</v>
      </c>
      <c r="E268" s="2" t="s">
        <v>64</v>
      </c>
      <c r="F268" s="4" t="s">
        <v>65</v>
      </c>
      <c r="G268" s="4" t="s">
        <v>51</v>
      </c>
      <c r="H268" s="4" t="s">
        <v>66</v>
      </c>
      <c r="I268" s="4" t="s">
        <v>67</v>
      </c>
      <c r="J268" s="4" t="s">
        <v>34</v>
      </c>
      <c r="K268" s="4" t="s">
        <v>45</v>
      </c>
      <c r="L268" s="4" t="s">
        <v>99</v>
      </c>
      <c r="M268" s="4" t="s">
        <v>942</v>
      </c>
      <c r="N268" s="5">
        <v>232.32</v>
      </c>
      <c r="O268" s="6">
        <v>2</v>
      </c>
      <c r="P268" s="7">
        <v>0.3</v>
      </c>
      <c r="Q268" s="5">
        <v>0.74</v>
      </c>
    </row>
    <row r="269" spans="1:17" x14ac:dyDescent="0.3">
      <c r="A269" s="8" t="s">
        <v>943</v>
      </c>
      <c r="B269" s="9">
        <v>45229</v>
      </c>
      <c r="C269" s="9">
        <v>45235</v>
      </c>
      <c r="D269" s="8" t="s">
        <v>29</v>
      </c>
      <c r="E269" s="8" t="s">
        <v>618</v>
      </c>
      <c r="F269" s="10" t="s">
        <v>619</v>
      </c>
      <c r="G269" s="10" t="s">
        <v>42</v>
      </c>
      <c r="H269" s="10" t="s">
        <v>260</v>
      </c>
      <c r="I269" s="10" t="s">
        <v>151</v>
      </c>
      <c r="J269" s="10" t="s">
        <v>34</v>
      </c>
      <c r="K269" s="10" t="s">
        <v>45</v>
      </c>
      <c r="L269" s="10" t="s">
        <v>61</v>
      </c>
      <c r="M269" s="10" t="s">
        <v>944</v>
      </c>
      <c r="N269" s="11">
        <v>618.9</v>
      </c>
      <c r="O269" s="12">
        <v>1</v>
      </c>
      <c r="P269" s="13">
        <v>0.3</v>
      </c>
      <c r="Q269" s="11">
        <v>-209.86</v>
      </c>
    </row>
    <row r="270" spans="1:17" x14ac:dyDescent="0.3">
      <c r="A270" s="2" t="s">
        <v>945</v>
      </c>
      <c r="B270" s="3">
        <v>44988</v>
      </c>
      <c r="C270" s="3">
        <v>44992</v>
      </c>
      <c r="D270" s="2" t="s">
        <v>73</v>
      </c>
      <c r="E270" s="2" t="s">
        <v>946</v>
      </c>
      <c r="F270" s="4" t="s">
        <v>947</v>
      </c>
      <c r="G270" s="4" t="s">
        <v>21</v>
      </c>
      <c r="H270" s="4" t="s">
        <v>156</v>
      </c>
      <c r="I270" s="4" t="s">
        <v>157</v>
      </c>
      <c r="J270" s="4" t="s">
        <v>88</v>
      </c>
      <c r="K270" s="4" t="s">
        <v>25</v>
      </c>
      <c r="L270" s="4" t="s">
        <v>74</v>
      </c>
      <c r="M270" s="4" t="s">
        <v>948</v>
      </c>
      <c r="N270" s="5">
        <v>2511.14</v>
      </c>
      <c r="O270" s="6">
        <v>4</v>
      </c>
      <c r="P270" s="7">
        <v>0.2</v>
      </c>
      <c r="Q270" s="5">
        <v>784.13</v>
      </c>
    </row>
    <row r="271" spans="1:17" x14ac:dyDescent="0.3">
      <c r="A271" s="8" t="s">
        <v>949</v>
      </c>
      <c r="B271" s="9">
        <v>44207</v>
      </c>
      <c r="C271" s="9">
        <v>44211</v>
      </c>
      <c r="D271" s="8" t="s">
        <v>39</v>
      </c>
      <c r="E271" s="8" t="s">
        <v>654</v>
      </c>
      <c r="F271" s="10" t="s">
        <v>655</v>
      </c>
      <c r="G271" s="10" t="s">
        <v>21</v>
      </c>
      <c r="H271" s="10" t="s">
        <v>66</v>
      </c>
      <c r="I271" s="10" t="s">
        <v>67</v>
      </c>
      <c r="J271" s="10" t="s">
        <v>34</v>
      </c>
      <c r="K271" s="10" t="s">
        <v>35</v>
      </c>
      <c r="L271" s="10" t="s">
        <v>36</v>
      </c>
      <c r="M271" s="10" t="s">
        <v>950</v>
      </c>
      <c r="N271" s="11">
        <v>893.27</v>
      </c>
      <c r="O271" s="12">
        <v>6</v>
      </c>
      <c r="P271" s="13">
        <v>0.1</v>
      </c>
      <c r="Q271" s="11">
        <v>340.81</v>
      </c>
    </row>
    <row r="272" spans="1:17" x14ac:dyDescent="0.3">
      <c r="A272" s="2" t="s">
        <v>951</v>
      </c>
      <c r="B272" s="3">
        <v>45291</v>
      </c>
      <c r="C272" s="3">
        <v>45292</v>
      </c>
      <c r="D272" s="2" t="s">
        <v>18</v>
      </c>
      <c r="E272" s="2" t="s">
        <v>457</v>
      </c>
      <c r="F272" s="4" t="s">
        <v>458</v>
      </c>
      <c r="G272" s="4" t="s">
        <v>51</v>
      </c>
      <c r="H272" s="4" t="s">
        <v>459</v>
      </c>
      <c r="I272" s="4" t="s">
        <v>460</v>
      </c>
      <c r="J272" s="4"/>
      <c r="K272" s="4" t="s">
        <v>35</v>
      </c>
      <c r="L272" s="4" t="s">
        <v>81</v>
      </c>
      <c r="M272" s="4" t="s">
        <v>952</v>
      </c>
      <c r="N272" s="5">
        <v>177.12</v>
      </c>
      <c r="O272" s="6">
        <v>8</v>
      </c>
      <c r="P272" s="7">
        <v>0</v>
      </c>
      <c r="Q272" s="5">
        <v>83.87</v>
      </c>
    </row>
    <row r="273" spans="1:17" x14ac:dyDescent="0.3">
      <c r="A273" s="8" t="s">
        <v>953</v>
      </c>
      <c r="B273" s="9">
        <v>44418</v>
      </c>
      <c r="C273" s="9">
        <v>44419</v>
      </c>
      <c r="D273" s="8" t="s">
        <v>18</v>
      </c>
      <c r="E273" s="8" t="s">
        <v>954</v>
      </c>
      <c r="F273" s="10" t="s">
        <v>955</v>
      </c>
      <c r="G273" s="10" t="s">
        <v>51</v>
      </c>
      <c r="H273" s="10" t="s">
        <v>386</v>
      </c>
      <c r="I273" s="10" t="s">
        <v>347</v>
      </c>
      <c r="J273" s="10" t="s">
        <v>88</v>
      </c>
      <c r="K273" s="10" t="s">
        <v>35</v>
      </c>
      <c r="L273" s="10" t="s">
        <v>166</v>
      </c>
      <c r="M273" s="10" t="s">
        <v>956</v>
      </c>
      <c r="N273" s="11">
        <v>714.96</v>
      </c>
      <c r="O273" s="12">
        <v>10</v>
      </c>
      <c r="P273" s="13">
        <v>0.1</v>
      </c>
      <c r="Q273" s="11">
        <v>184.49</v>
      </c>
    </row>
    <row r="274" spans="1:17" x14ac:dyDescent="0.3">
      <c r="A274" s="2" t="s">
        <v>957</v>
      </c>
      <c r="B274" s="3">
        <v>45449</v>
      </c>
      <c r="C274" s="3">
        <v>45450</v>
      </c>
      <c r="D274" s="2" t="s">
        <v>18</v>
      </c>
      <c r="E274" s="2" t="s">
        <v>537</v>
      </c>
      <c r="F274" s="4" t="s">
        <v>538</v>
      </c>
      <c r="G274" s="4" t="s">
        <v>42</v>
      </c>
      <c r="H274" s="4" t="s">
        <v>115</v>
      </c>
      <c r="I274" s="4" t="s">
        <v>116</v>
      </c>
      <c r="J274" s="4" t="s">
        <v>54</v>
      </c>
      <c r="K274" s="4" t="s">
        <v>25</v>
      </c>
      <c r="L274" s="4" t="s">
        <v>26</v>
      </c>
      <c r="M274" s="4" t="s">
        <v>774</v>
      </c>
      <c r="N274" s="5">
        <v>1070.55</v>
      </c>
      <c r="O274" s="6">
        <v>7</v>
      </c>
      <c r="P274" s="7">
        <v>0.3</v>
      </c>
      <c r="Q274" s="5">
        <v>-156.21</v>
      </c>
    </row>
    <row r="275" spans="1:17" x14ac:dyDescent="0.3">
      <c r="A275" s="8" t="s">
        <v>958</v>
      </c>
      <c r="B275" s="9">
        <v>44763</v>
      </c>
      <c r="C275" s="9">
        <v>44765</v>
      </c>
      <c r="D275" s="8" t="s">
        <v>39</v>
      </c>
      <c r="E275" s="8" t="s">
        <v>670</v>
      </c>
      <c r="F275" s="10" t="s">
        <v>671</v>
      </c>
      <c r="G275" s="10" t="s">
        <v>21</v>
      </c>
      <c r="H275" s="10" t="s">
        <v>465</v>
      </c>
      <c r="I275" s="10" t="s">
        <v>423</v>
      </c>
      <c r="J275" s="10" t="s">
        <v>88</v>
      </c>
      <c r="K275" s="10" t="s">
        <v>35</v>
      </c>
      <c r="L275" s="10" t="s">
        <v>166</v>
      </c>
      <c r="M275" s="10" t="s">
        <v>959</v>
      </c>
      <c r="N275" s="11">
        <v>15.03</v>
      </c>
      <c r="O275" s="12">
        <v>1</v>
      </c>
      <c r="P275" s="13">
        <v>0.5</v>
      </c>
      <c r="Q275" s="11">
        <v>-8.11</v>
      </c>
    </row>
    <row r="276" spans="1:17" x14ac:dyDescent="0.3">
      <c r="A276" s="2" t="s">
        <v>960</v>
      </c>
      <c r="B276" s="3">
        <v>45548</v>
      </c>
      <c r="C276" s="3">
        <v>45554</v>
      </c>
      <c r="D276" s="2" t="s">
        <v>29</v>
      </c>
      <c r="E276" s="2" t="s">
        <v>143</v>
      </c>
      <c r="F276" s="4" t="s">
        <v>144</v>
      </c>
      <c r="G276" s="4" t="s">
        <v>21</v>
      </c>
      <c r="H276" s="4" t="s">
        <v>145</v>
      </c>
      <c r="I276" s="4" t="s">
        <v>140</v>
      </c>
      <c r="J276" s="4" t="s">
        <v>24</v>
      </c>
      <c r="K276" s="4" t="s">
        <v>35</v>
      </c>
      <c r="L276" s="4" t="s">
        <v>295</v>
      </c>
      <c r="M276" s="4" t="s">
        <v>961</v>
      </c>
      <c r="N276" s="5">
        <v>81.06</v>
      </c>
      <c r="O276" s="6">
        <v>7</v>
      </c>
      <c r="P276" s="7">
        <v>0.05</v>
      </c>
      <c r="Q276" s="5">
        <v>33.42</v>
      </c>
    </row>
    <row r="277" spans="1:17" x14ac:dyDescent="0.3">
      <c r="A277" s="8" t="s">
        <v>962</v>
      </c>
      <c r="B277" s="9">
        <v>44320</v>
      </c>
      <c r="C277" s="9">
        <v>44323</v>
      </c>
      <c r="D277" s="8" t="s">
        <v>39</v>
      </c>
      <c r="E277" s="8" t="s">
        <v>432</v>
      </c>
      <c r="F277" s="10" t="s">
        <v>433</v>
      </c>
      <c r="G277" s="10" t="s">
        <v>51</v>
      </c>
      <c r="H277" s="10" t="s">
        <v>171</v>
      </c>
      <c r="I277" s="10" t="s">
        <v>172</v>
      </c>
      <c r="J277" s="10" t="s">
        <v>24</v>
      </c>
      <c r="K277" s="10" t="s">
        <v>45</v>
      </c>
      <c r="L277" s="10" t="s">
        <v>46</v>
      </c>
      <c r="M277" s="10" t="s">
        <v>963</v>
      </c>
      <c r="N277" s="11">
        <v>223.72</v>
      </c>
      <c r="O277" s="12">
        <v>1</v>
      </c>
      <c r="P277" s="13">
        <v>0.2</v>
      </c>
      <c r="Q277" s="11">
        <v>46.93</v>
      </c>
    </row>
    <row r="278" spans="1:17" x14ac:dyDescent="0.3">
      <c r="A278" s="2" t="s">
        <v>964</v>
      </c>
      <c r="B278" s="3">
        <v>45351</v>
      </c>
      <c r="C278" s="3">
        <v>45358</v>
      </c>
      <c r="D278" s="2" t="s">
        <v>29</v>
      </c>
      <c r="E278" s="2" t="s">
        <v>654</v>
      </c>
      <c r="F278" s="4" t="s">
        <v>655</v>
      </c>
      <c r="G278" s="4" t="s">
        <v>21</v>
      </c>
      <c r="H278" s="4" t="s">
        <v>66</v>
      </c>
      <c r="I278" s="4" t="s">
        <v>67</v>
      </c>
      <c r="J278" s="4" t="s">
        <v>34</v>
      </c>
      <c r="K278" s="4" t="s">
        <v>45</v>
      </c>
      <c r="L278" s="4" t="s">
        <v>99</v>
      </c>
      <c r="M278" s="4" t="s">
        <v>965</v>
      </c>
      <c r="N278" s="5">
        <v>1333.87</v>
      </c>
      <c r="O278" s="6">
        <v>9</v>
      </c>
      <c r="P278" s="7">
        <v>0.2</v>
      </c>
      <c r="Q278" s="5">
        <v>173.57</v>
      </c>
    </row>
    <row r="279" spans="1:17" x14ac:dyDescent="0.3">
      <c r="A279" s="8" t="s">
        <v>966</v>
      </c>
      <c r="B279" s="9">
        <v>45390</v>
      </c>
      <c r="C279" s="9">
        <v>45394</v>
      </c>
      <c r="D279" s="8" t="s">
        <v>73</v>
      </c>
      <c r="E279" s="8" t="s">
        <v>858</v>
      </c>
      <c r="F279" s="10" t="s">
        <v>859</v>
      </c>
      <c r="G279" s="10" t="s">
        <v>51</v>
      </c>
      <c r="H279" s="10" t="s">
        <v>145</v>
      </c>
      <c r="I279" s="10" t="s">
        <v>140</v>
      </c>
      <c r="J279" s="10" t="s">
        <v>24</v>
      </c>
      <c r="K279" s="10" t="s">
        <v>25</v>
      </c>
      <c r="L279" s="10" t="s">
        <v>74</v>
      </c>
      <c r="M279" s="10" t="s">
        <v>967</v>
      </c>
      <c r="N279" s="11">
        <v>2487.9</v>
      </c>
      <c r="O279" s="12">
        <v>10</v>
      </c>
      <c r="P279" s="13">
        <v>0</v>
      </c>
      <c r="Q279" s="11">
        <v>1011.73</v>
      </c>
    </row>
    <row r="280" spans="1:17" x14ac:dyDescent="0.3">
      <c r="A280" s="2" t="s">
        <v>968</v>
      </c>
      <c r="B280" s="3">
        <v>45594</v>
      </c>
      <c r="C280" s="3">
        <v>45595</v>
      </c>
      <c r="D280" s="2" t="s">
        <v>18</v>
      </c>
      <c r="E280" s="2" t="s">
        <v>969</v>
      </c>
      <c r="F280" s="4" t="s">
        <v>970</v>
      </c>
      <c r="G280" s="4" t="s">
        <v>42</v>
      </c>
      <c r="H280" s="4" t="s">
        <v>79</v>
      </c>
      <c r="I280" s="4" t="s">
        <v>80</v>
      </c>
      <c r="J280" s="4" t="s">
        <v>54</v>
      </c>
      <c r="K280" s="4" t="s">
        <v>25</v>
      </c>
      <c r="L280" s="4" t="s">
        <v>74</v>
      </c>
      <c r="M280" s="4" t="s">
        <v>971</v>
      </c>
      <c r="N280" s="5">
        <v>357.53</v>
      </c>
      <c r="O280" s="6">
        <v>1</v>
      </c>
      <c r="P280" s="7">
        <v>0.1</v>
      </c>
      <c r="Q280" s="5">
        <v>132.77000000000001</v>
      </c>
    </row>
    <row r="281" spans="1:17" x14ac:dyDescent="0.3">
      <c r="A281" s="8" t="s">
        <v>972</v>
      </c>
      <c r="B281" s="9">
        <v>44656</v>
      </c>
      <c r="C281" s="9">
        <v>44659</v>
      </c>
      <c r="D281" s="8" t="s">
        <v>73</v>
      </c>
      <c r="E281" s="8" t="s">
        <v>533</v>
      </c>
      <c r="F281" s="10" t="s">
        <v>534</v>
      </c>
      <c r="G281" s="10" t="s">
        <v>42</v>
      </c>
      <c r="H281" s="10" t="s">
        <v>145</v>
      </c>
      <c r="I281" s="10" t="s">
        <v>140</v>
      </c>
      <c r="J281" s="10" t="s">
        <v>24</v>
      </c>
      <c r="K281" s="10" t="s">
        <v>35</v>
      </c>
      <c r="L281" s="10" t="s">
        <v>110</v>
      </c>
      <c r="M281" s="10" t="s">
        <v>973</v>
      </c>
      <c r="N281" s="11">
        <v>73.2</v>
      </c>
      <c r="O281" s="12">
        <v>3</v>
      </c>
      <c r="P281" s="13">
        <v>0.2</v>
      </c>
      <c r="Q281" s="11">
        <v>29.92</v>
      </c>
    </row>
    <row r="282" spans="1:17" x14ac:dyDescent="0.3">
      <c r="A282" s="2" t="s">
        <v>974</v>
      </c>
      <c r="B282" s="3">
        <v>45402</v>
      </c>
      <c r="C282" s="3">
        <v>45404</v>
      </c>
      <c r="D282" s="2" t="s">
        <v>18</v>
      </c>
      <c r="E282" s="2" t="s">
        <v>975</v>
      </c>
      <c r="F282" s="4" t="s">
        <v>976</v>
      </c>
      <c r="G282" s="4" t="s">
        <v>51</v>
      </c>
      <c r="H282" s="4" t="s">
        <v>459</v>
      </c>
      <c r="I282" s="4" t="s">
        <v>460</v>
      </c>
      <c r="J282" s="4" t="s">
        <v>54</v>
      </c>
      <c r="K282" s="4" t="s">
        <v>25</v>
      </c>
      <c r="L282" s="4" t="s">
        <v>124</v>
      </c>
      <c r="M282" s="4" t="s">
        <v>977</v>
      </c>
      <c r="N282" s="5">
        <v>9278.06</v>
      </c>
      <c r="O282" s="6">
        <v>5</v>
      </c>
      <c r="P282" s="7">
        <v>0.1</v>
      </c>
      <c r="Q282" s="5">
        <v>1270.01</v>
      </c>
    </row>
    <row r="283" spans="1:17" x14ac:dyDescent="0.3">
      <c r="A283" s="8" t="s">
        <v>978</v>
      </c>
      <c r="B283" s="9">
        <v>44421</v>
      </c>
      <c r="C283" s="9">
        <v>44424</v>
      </c>
      <c r="D283" s="8" t="s">
        <v>18</v>
      </c>
      <c r="E283" s="8" t="s">
        <v>313</v>
      </c>
      <c r="F283" s="10" t="s">
        <v>314</v>
      </c>
      <c r="G283" s="10" t="s">
        <v>42</v>
      </c>
      <c r="H283" s="10" t="s">
        <v>193</v>
      </c>
      <c r="I283" s="10" t="s">
        <v>194</v>
      </c>
      <c r="J283" s="10" t="s">
        <v>34</v>
      </c>
      <c r="K283" s="10" t="s">
        <v>45</v>
      </c>
      <c r="L283" s="10" t="s">
        <v>61</v>
      </c>
      <c r="M283" s="10" t="s">
        <v>979</v>
      </c>
      <c r="N283" s="11">
        <v>1778.16</v>
      </c>
      <c r="O283" s="12">
        <v>5</v>
      </c>
      <c r="P283" s="13">
        <v>0.2</v>
      </c>
      <c r="Q283" s="11">
        <v>-217.81</v>
      </c>
    </row>
    <row r="284" spans="1:17" x14ac:dyDescent="0.3">
      <c r="A284" s="2" t="s">
        <v>980</v>
      </c>
      <c r="B284" s="3">
        <v>45143</v>
      </c>
      <c r="C284" s="3">
        <v>45147</v>
      </c>
      <c r="D284" s="2" t="s">
        <v>73</v>
      </c>
      <c r="E284" s="2" t="s">
        <v>975</v>
      </c>
      <c r="F284" s="4" t="s">
        <v>976</v>
      </c>
      <c r="G284" s="4" t="s">
        <v>51</v>
      </c>
      <c r="H284" s="4" t="s">
        <v>459</v>
      </c>
      <c r="I284" s="4" t="s">
        <v>460</v>
      </c>
      <c r="J284" s="4" t="s">
        <v>54</v>
      </c>
      <c r="K284" s="4" t="s">
        <v>45</v>
      </c>
      <c r="L284" s="4" t="s">
        <v>117</v>
      </c>
      <c r="M284" s="4" t="s">
        <v>981</v>
      </c>
      <c r="N284" s="5">
        <v>1272.78</v>
      </c>
      <c r="O284" s="6">
        <v>6</v>
      </c>
      <c r="P284" s="7">
        <v>0.4</v>
      </c>
      <c r="Q284" s="5">
        <v>-229.57</v>
      </c>
    </row>
    <row r="285" spans="1:17" x14ac:dyDescent="0.3">
      <c r="A285" s="8" t="s">
        <v>982</v>
      </c>
      <c r="B285" s="9">
        <v>44896</v>
      </c>
      <c r="C285" s="9">
        <v>44899</v>
      </c>
      <c r="D285" s="8" t="s">
        <v>18</v>
      </c>
      <c r="E285" s="8" t="s">
        <v>453</v>
      </c>
      <c r="F285" s="10" t="s">
        <v>454</v>
      </c>
      <c r="G285" s="10" t="s">
        <v>21</v>
      </c>
      <c r="H285" s="10" t="s">
        <v>386</v>
      </c>
      <c r="I285" s="10" t="s">
        <v>347</v>
      </c>
      <c r="J285" s="10" t="s">
        <v>88</v>
      </c>
      <c r="K285" s="10" t="s">
        <v>25</v>
      </c>
      <c r="L285" s="10" t="s">
        <v>124</v>
      </c>
      <c r="M285" s="10" t="s">
        <v>983</v>
      </c>
      <c r="N285" s="11">
        <v>13343.33</v>
      </c>
      <c r="O285" s="12">
        <v>7</v>
      </c>
      <c r="P285" s="13">
        <v>0</v>
      </c>
      <c r="Q285" s="11">
        <v>4316.97</v>
      </c>
    </row>
    <row r="286" spans="1:17" x14ac:dyDescent="0.3">
      <c r="A286" s="2" t="s">
        <v>984</v>
      </c>
      <c r="B286" s="3">
        <v>45099</v>
      </c>
      <c r="C286" s="3">
        <v>45104</v>
      </c>
      <c r="D286" s="2" t="s">
        <v>29</v>
      </c>
      <c r="E286" s="2" t="s">
        <v>248</v>
      </c>
      <c r="F286" s="4" t="s">
        <v>249</v>
      </c>
      <c r="G286" s="4" t="s">
        <v>51</v>
      </c>
      <c r="H286" s="4" t="s">
        <v>250</v>
      </c>
      <c r="I286" s="4" t="s">
        <v>251</v>
      </c>
      <c r="J286" s="4" t="s">
        <v>88</v>
      </c>
      <c r="K286" s="4" t="s">
        <v>25</v>
      </c>
      <c r="L286" s="4" t="s">
        <v>124</v>
      </c>
      <c r="M286" s="4" t="s">
        <v>985</v>
      </c>
      <c r="N286" s="5">
        <v>16699.12</v>
      </c>
      <c r="O286" s="6">
        <v>8</v>
      </c>
      <c r="P286" s="7">
        <v>0</v>
      </c>
      <c r="Q286" s="5">
        <v>3139.18</v>
      </c>
    </row>
    <row r="287" spans="1:17" x14ac:dyDescent="0.3">
      <c r="A287" s="8" t="s">
        <v>986</v>
      </c>
      <c r="B287" s="9">
        <v>45178</v>
      </c>
      <c r="C287" s="9">
        <v>45185</v>
      </c>
      <c r="D287" s="8" t="s">
        <v>29</v>
      </c>
      <c r="E287" s="8" t="s">
        <v>281</v>
      </c>
      <c r="F287" s="10" t="s">
        <v>282</v>
      </c>
      <c r="G287" s="10" t="s">
        <v>21</v>
      </c>
      <c r="H287" s="10" t="s">
        <v>250</v>
      </c>
      <c r="I287" s="10" t="s">
        <v>251</v>
      </c>
      <c r="J287" s="10" t="s">
        <v>88</v>
      </c>
      <c r="K287" s="10" t="s">
        <v>35</v>
      </c>
      <c r="L287" s="10" t="s">
        <v>166</v>
      </c>
      <c r="M287" s="10" t="s">
        <v>987</v>
      </c>
      <c r="N287" s="11">
        <v>152.91</v>
      </c>
      <c r="O287" s="12">
        <v>4</v>
      </c>
      <c r="P287" s="13">
        <v>0.05</v>
      </c>
      <c r="Q287" s="11">
        <v>44.46</v>
      </c>
    </row>
    <row r="288" spans="1:17" x14ac:dyDescent="0.3">
      <c r="A288" s="2" t="s">
        <v>988</v>
      </c>
      <c r="B288" s="3">
        <v>44736</v>
      </c>
      <c r="C288" s="3">
        <v>44739</v>
      </c>
      <c r="D288" s="2" t="s">
        <v>18</v>
      </c>
      <c r="E288" s="2" t="s">
        <v>618</v>
      </c>
      <c r="F288" s="4" t="s">
        <v>619</v>
      </c>
      <c r="G288" s="4" t="s">
        <v>42</v>
      </c>
      <c r="H288" s="4" t="s">
        <v>260</v>
      </c>
      <c r="I288" s="4" t="s">
        <v>151</v>
      </c>
      <c r="J288" s="4" t="s">
        <v>34</v>
      </c>
      <c r="K288" s="4" t="s">
        <v>35</v>
      </c>
      <c r="L288" s="4" t="s">
        <v>89</v>
      </c>
      <c r="M288" s="4" t="s">
        <v>989</v>
      </c>
      <c r="N288" s="5">
        <v>315.43</v>
      </c>
      <c r="O288" s="6">
        <v>3</v>
      </c>
      <c r="P288" s="7">
        <v>0.4</v>
      </c>
      <c r="Q288" s="5">
        <v>11.08</v>
      </c>
    </row>
    <row r="289" spans="1:17" x14ac:dyDescent="0.3">
      <c r="A289" s="8" t="s">
        <v>990</v>
      </c>
      <c r="B289" s="9">
        <v>44307</v>
      </c>
      <c r="C289" s="9">
        <v>44310</v>
      </c>
      <c r="D289" s="8" t="s">
        <v>39</v>
      </c>
      <c r="E289" s="8" t="s">
        <v>991</v>
      </c>
      <c r="F289" s="10" t="s">
        <v>992</v>
      </c>
      <c r="G289" s="10" t="s">
        <v>42</v>
      </c>
      <c r="H289" s="10" t="s">
        <v>43</v>
      </c>
      <c r="I289" s="10" t="s">
        <v>44</v>
      </c>
      <c r="J289" s="10" t="s">
        <v>24</v>
      </c>
      <c r="K289" s="10" t="s">
        <v>25</v>
      </c>
      <c r="L289" s="10" t="s">
        <v>74</v>
      </c>
      <c r="M289" s="10" t="s">
        <v>993</v>
      </c>
      <c r="N289" s="11">
        <v>314.82</v>
      </c>
      <c r="O289" s="12">
        <v>6</v>
      </c>
      <c r="P289" s="13">
        <v>0.5</v>
      </c>
      <c r="Q289" s="11">
        <v>-112.41</v>
      </c>
    </row>
    <row r="290" spans="1:17" x14ac:dyDescent="0.3">
      <c r="A290" s="2" t="s">
        <v>994</v>
      </c>
      <c r="B290" s="3">
        <v>44225</v>
      </c>
      <c r="C290" s="3">
        <v>44227</v>
      </c>
      <c r="D290" s="2" t="s">
        <v>39</v>
      </c>
      <c r="E290" s="2" t="s">
        <v>662</v>
      </c>
      <c r="F290" s="4" t="s">
        <v>663</v>
      </c>
      <c r="G290" s="4" t="s">
        <v>21</v>
      </c>
      <c r="H290" s="4" t="s">
        <v>104</v>
      </c>
      <c r="I290" s="4" t="s">
        <v>105</v>
      </c>
      <c r="J290" s="4" t="s">
        <v>88</v>
      </c>
      <c r="K290" s="4" t="s">
        <v>25</v>
      </c>
      <c r="L290" s="4" t="s">
        <v>124</v>
      </c>
      <c r="M290" s="4" t="s">
        <v>995</v>
      </c>
      <c r="N290" s="5">
        <v>6244.18</v>
      </c>
      <c r="O290" s="6">
        <v>2</v>
      </c>
      <c r="P290" s="7">
        <v>0</v>
      </c>
      <c r="Q290" s="5">
        <v>1473.76</v>
      </c>
    </row>
    <row r="291" spans="1:17" x14ac:dyDescent="0.3">
      <c r="A291" s="8" t="s">
        <v>996</v>
      </c>
      <c r="B291" s="9">
        <v>44467</v>
      </c>
      <c r="C291" s="9">
        <v>44469</v>
      </c>
      <c r="D291" s="8" t="s">
        <v>39</v>
      </c>
      <c r="E291" s="8" t="s">
        <v>997</v>
      </c>
      <c r="F291" s="10" t="s">
        <v>998</v>
      </c>
      <c r="G291" s="10" t="s">
        <v>21</v>
      </c>
      <c r="H291" s="10" t="s">
        <v>357</v>
      </c>
      <c r="I291" s="10" t="s">
        <v>251</v>
      </c>
      <c r="J291" s="10" t="s">
        <v>88</v>
      </c>
      <c r="K291" s="10" t="s">
        <v>35</v>
      </c>
      <c r="L291" s="10" t="s">
        <v>36</v>
      </c>
      <c r="M291" s="10" t="s">
        <v>999</v>
      </c>
      <c r="N291" s="11">
        <v>1650.53</v>
      </c>
      <c r="O291" s="12">
        <v>7</v>
      </c>
      <c r="P291" s="13">
        <v>0.05</v>
      </c>
      <c r="Q291" s="11">
        <v>505.04</v>
      </c>
    </row>
    <row r="292" spans="1:17" x14ac:dyDescent="0.3">
      <c r="A292" s="2" t="s">
        <v>1000</v>
      </c>
      <c r="B292" s="3">
        <v>45324</v>
      </c>
      <c r="C292" s="3">
        <v>45330</v>
      </c>
      <c r="D292" s="2" t="s">
        <v>29</v>
      </c>
      <c r="E292" s="2" t="s">
        <v>1001</v>
      </c>
      <c r="F292" s="4" t="s">
        <v>1002</v>
      </c>
      <c r="G292" s="4" t="s">
        <v>21</v>
      </c>
      <c r="H292" s="4" t="s">
        <v>59</v>
      </c>
      <c r="I292" s="4" t="s">
        <v>60</v>
      </c>
      <c r="J292" s="4" t="s">
        <v>54</v>
      </c>
      <c r="K292" s="4" t="s">
        <v>45</v>
      </c>
      <c r="L292" s="4" t="s">
        <v>99</v>
      </c>
      <c r="M292" s="4" t="s">
        <v>1003</v>
      </c>
      <c r="N292" s="5">
        <v>499.38</v>
      </c>
      <c r="O292" s="6">
        <v>7</v>
      </c>
      <c r="P292" s="7">
        <v>0</v>
      </c>
      <c r="Q292" s="5">
        <v>139.15</v>
      </c>
    </row>
    <row r="293" spans="1:17" x14ac:dyDescent="0.3">
      <c r="A293" s="8" t="s">
        <v>1004</v>
      </c>
      <c r="B293" s="9">
        <v>45481</v>
      </c>
      <c r="C293" s="9">
        <v>45485</v>
      </c>
      <c r="D293" s="8" t="s">
        <v>39</v>
      </c>
      <c r="E293" s="8" t="s">
        <v>588</v>
      </c>
      <c r="F293" s="10" t="s">
        <v>589</v>
      </c>
      <c r="G293" s="10" t="s">
        <v>42</v>
      </c>
      <c r="H293" s="10" t="s">
        <v>397</v>
      </c>
      <c r="I293" s="10" t="s">
        <v>33</v>
      </c>
      <c r="J293" s="10" t="s">
        <v>34</v>
      </c>
      <c r="K293" s="10" t="s">
        <v>25</v>
      </c>
      <c r="L293" s="10" t="s">
        <v>124</v>
      </c>
      <c r="M293" s="10" t="s">
        <v>1005</v>
      </c>
      <c r="N293" s="11">
        <v>17326</v>
      </c>
      <c r="O293" s="12">
        <v>10</v>
      </c>
      <c r="P293" s="13">
        <v>0.2</v>
      </c>
      <c r="Q293" s="11">
        <v>-105.8</v>
      </c>
    </row>
    <row r="294" spans="1:17" x14ac:dyDescent="0.3">
      <c r="A294" s="2" t="s">
        <v>1006</v>
      </c>
      <c r="B294" s="3">
        <v>44405</v>
      </c>
      <c r="C294" s="3">
        <v>44409</v>
      </c>
      <c r="D294" s="2" t="s">
        <v>73</v>
      </c>
      <c r="E294" s="2" t="s">
        <v>370</v>
      </c>
      <c r="F294" s="4" t="s">
        <v>371</v>
      </c>
      <c r="G294" s="4" t="s">
        <v>51</v>
      </c>
      <c r="H294" s="4" t="s">
        <v>372</v>
      </c>
      <c r="I294" s="4" t="s">
        <v>373</v>
      </c>
      <c r="J294" s="4" t="s">
        <v>34</v>
      </c>
      <c r="K294" s="4" t="s">
        <v>45</v>
      </c>
      <c r="L294" s="4" t="s">
        <v>117</v>
      </c>
      <c r="M294" s="4" t="s">
        <v>1007</v>
      </c>
      <c r="N294" s="5">
        <v>1932.7</v>
      </c>
      <c r="O294" s="6">
        <v>10</v>
      </c>
      <c r="P294" s="7">
        <v>0.3</v>
      </c>
      <c r="Q294" s="5">
        <v>-268.64</v>
      </c>
    </row>
    <row r="295" spans="1:17" x14ac:dyDescent="0.3">
      <c r="A295" s="8" t="s">
        <v>1008</v>
      </c>
      <c r="B295" s="9">
        <v>45039</v>
      </c>
      <c r="C295" s="9">
        <v>45045</v>
      </c>
      <c r="D295" s="8" t="s">
        <v>29</v>
      </c>
      <c r="E295" s="8" t="s">
        <v>512</v>
      </c>
      <c r="F295" s="10" t="s">
        <v>513</v>
      </c>
      <c r="G295" s="10" t="s">
        <v>21</v>
      </c>
      <c r="H295" s="10" t="s">
        <v>104</v>
      </c>
      <c r="I295" s="10" t="s">
        <v>105</v>
      </c>
      <c r="J295" s="10" t="s">
        <v>88</v>
      </c>
      <c r="K295" s="10" t="s">
        <v>25</v>
      </c>
      <c r="L295" s="10" t="s">
        <v>26</v>
      </c>
      <c r="M295" s="10" t="s">
        <v>1009</v>
      </c>
      <c r="N295" s="11">
        <v>2628.31</v>
      </c>
      <c r="O295" s="12">
        <v>2</v>
      </c>
      <c r="P295" s="13">
        <v>0.05</v>
      </c>
      <c r="Q295" s="11">
        <v>234.07</v>
      </c>
    </row>
    <row r="296" spans="1:17" x14ac:dyDescent="0.3">
      <c r="A296" s="2" t="s">
        <v>1010</v>
      </c>
      <c r="B296" s="3">
        <v>45447</v>
      </c>
      <c r="C296" s="3">
        <v>45452</v>
      </c>
      <c r="D296" s="2" t="s">
        <v>73</v>
      </c>
      <c r="E296" s="2" t="s">
        <v>1011</v>
      </c>
      <c r="F296" s="4" t="s">
        <v>1012</v>
      </c>
      <c r="G296" s="4" t="s">
        <v>21</v>
      </c>
      <c r="H296" s="4" t="s">
        <v>59</v>
      </c>
      <c r="I296" s="4" t="s">
        <v>60</v>
      </c>
      <c r="J296" s="4" t="s">
        <v>54</v>
      </c>
      <c r="K296" s="4" t="s">
        <v>25</v>
      </c>
      <c r="L296" s="4" t="s">
        <v>26</v>
      </c>
      <c r="M296" s="4" t="s">
        <v>1013</v>
      </c>
      <c r="N296" s="5">
        <v>1648.87</v>
      </c>
      <c r="O296" s="6">
        <v>1</v>
      </c>
      <c r="P296" s="7">
        <v>0.1</v>
      </c>
      <c r="Q296" s="5">
        <v>65.89</v>
      </c>
    </row>
    <row r="297" spans="1:17" x14ac:dyDescent="0.3">
      <c r="A297" s="8" t="s">
        <v>1014</v>
      </c>
      <c r="B297" s="9">
        <v>45571</v>
      </c>
      <c r="C297" s="9">
        <v>45574</v>
      </c>
      <c r="D297" s="8" t="s">
        <v>18</v>
      </c>
      <c r="E297" s="8" t="s">
        <v>1015</v>
      </c>
      <c r="F297" s="10" t="s">
        <v>1016</v>
      </c>
      <c r="G297" s="10" t="s">
        <v>42</v>
      </c>
      <c r="H297" s="10" t="s">
        <v>134</v>
      </c>
      <c r="I297" s="10" t="s">
        <v>87</v>
      </c>
      <c r="J297" s="10" t="s">
        <v>88</v>
      </c>
      <c r="K297" s="10" t="s">
        <v>25</v>
      </c>
      <c r="L297" s="10" t="s">
        <v>74</v>
      </c>
      <c r="M297" s="10" t="s">
        <v>1017</v>
      </c>
      <c r="N297" s="11">
        <v>389.31</v>
      </c>
      <c r="O297" s="12">
        <v>1</v>
      </c>
      <c r="P297" s="13">
        <v>0.15</v>
      </c>
      <c r="Q297" s="11">
        <v>72.98</v>
      </c>
    </row>
    <row r="298" spans="1:17" x14ac:dyDescent="0.3">
      <c r="A298" s="2" t="s">
        <v>1018</v>
      </c>
      <c r="B298" s="3">
        <v>45215</v>
      </c>
      <c r="C298" s="3">
        <v>45218</v>
      </c>
      <c r="D298" s="2" t="s">
        <v>39</v>
      </c>
      <c r="E298" s="2" t="s">
        <v>92</v>
      </c>
      <c r="F298" s="4" t="s">
        <v>93</v>
      </c>
      <c r="G298" s="4" t="s">
        <v>42</v>
      </c>
      <c r="H298" s="4" t="s">
        <v>43</v>
      </c>
      <c r="I298" s="4" t="s">
        <v>44</v>
      </c>
      <c r="J298" s="4" t="s">
        <v>24</v>
      </c>
      <c r="K298" s="4" t="s">
        <v>35</v>
      </c>
      <c r="L298" s="4" t="s">
        <v>295</v>
      </c>
      <c r="M298" s="4" t="s">
        <v>1019</v>
      </c>
      <c r="N298" s="5">
        <v>217.5</v>
      </c>
      <c r="O298" s="6">
        <v>7</v>
      </c>
      <c r="P298" s="7">
        <v>0.2</v>
      </c>
      <c r="Q298" s="5">
        <v>87.32</v>
      </c>
    </row>
    <row r="299" spans="1:17" x14ac:dyDescent="0.3">
      <c r="A299" s="8" t="s">
        <v>1020</v>
      </c>
      <c r="B299" s="9">
        <v>44310</v>
      </c>
      <c r="C299" s="9">
        <v>44317</v>
      </c>
      <c r="D299" s="8" t="s">
        <v>29</v>
      </c>
      <c r="E299" s="8" t="s">
        <v>289</v>
      </c>
      <c r="F299" s="10" t="s">
        <v>290</v>
      </c>
      <c r="G299" s="10" t="s">
        <v>51</v>
      </c>
      <c r="H299" s="10" t="s">
        <v>115</v>
      </c>
      <c r="I299" s="10" t="s">
        <v>116</v>
      </c>
      <c r="J299" s="10" t="s">
        <v>54</v>
      </c>
      <c r="K299" s="10" t="s">
        <v>25</v>
      </c>
      <c r="L299" s="10" t="s">
        <v>124</v>
      </c>
      <c r="M299" s="10" t="s">
        <v>1021</v>
      </c>
      <c r="N299" s="11">
        <v>973.85</v>
      </c>
      <c r="O299" s="12">
        <v>1</v>
      </c>
      <c r="P299" s="13">
        <v>0.1</v>
      </c>
      <c r="Q299" s="11">
        <v>192.92</v>
      </c>
    </row>
    <row r="300" spans="1:17" x14ac:dyDescent="0.3">
      <c r="A300" s="2" t="s">
        <v>1022</v>
      </c>
      <c r="B300" s="3">
        <v>44589</v>
      </c>
      <c r="C300" s="3">
        <v>44592</v>
      </c>
      <c r="D300" s="2" t="s">
        <v>39</v>
      </c>
      <c r="E300" s="2" t="s">
        <v>614</v>
      </c>
      <c r="F300" s="4" t="s">
        <v>615</v>
      </c>
      <c r="G300" s="4" t="s">
        <v>21</v>
      </c>
      <c r="H300" s="4" t="s">
        <v>139</v>
      </c>
      <c r="I300" s="4" t="s">
        <v>140</v>
      </c>
      <c r="J300" s="4" t="s">
        <v>24</v>
      </c>
      <c r="K300" s="4" t="s">
        <v>35</v>
      </c>
      <c r="L300" s="4" t="s">
        <v>81</v>
      </c>
      <c r="M300" s="4" t="s">
        <v>1023</v>
      </c>
      <c r="N300" s="5">
        <v>7.2</v>
      </c>
      <c r="O300" s="6">
        <v>1</v>
      </c>
      <c r="P300" s="7">
        <v>0</v>
      </c>
      <c r="Q300" s="5">
        <v>3.24</v>
      </c>
    </row>
    <row r="301" spans="1:17" x14ac:dyDescent="0.3">
      <c r="A301" s="8" t="s">
        <v>1024</v>
      </c>
      <c r="B301" s="9">
        <v>45419</v>
      </c>
      <c r="C301" s="9">
        <v>45422</v>
      </c>
      <c r="D301" s="8" t="s">
        <v>73</v>
      </c>
      <c r="E301" s="8" t="s">
        <v>1025</v>
      </c>
      <c r="F301" s="10" t="s">
        <v>1026</v>
      </c>
      <c r="G301" s="10" t="s">
        <v>21</v>
      </c>
      <c r="H301" s="10" t="s">
        <v>412</v>
      </c>
      <c r="I301" s="10" t="s">
        <v>178</v>
      </c>
      <c r="J301" s="10" t="s">
        <v>24</v>
      </c>
      <c r="K301" s="10" t="s">
        <v>35</v>
      </c>
      <c r="L301" s="10" t="s">
        <v>166</v>
      </c>
      <c r="M301" s="10" t="s">
        <v>1027</v>
      </c>
      <c r="N301" s="11">
        <v>209.9</v>
      </c>
      <c r="O301" s="12">
        <v>5</v>
      </c>
      <c r="P301" s="13">
        <v>0</v>
      </c>
      <c r="Q301" s="11">
        <v>78.89</v>
      </c>
    </row>
    <row r="302" spans="1:17" x14ac:dyDescent="0.3">
      <c r="A302" s="2" t="s">
        <v>1028</v>
      </c>
      <c r="B302" s="3">
        <v>45618</v>
      </c>
      <c r="C302" s="3">
        <v>45623</v>
      </c>
      <c r="D302" s="2" t="s">
        <v>73</v>
      </c>
      <c r="E302" s="2" t="s">
        <v>1029</v>
      </c>
      <c r="F302" s="4" t="s">
        <v>1030</v>
      </c>
      <c r="G302" s="4" t="s">
        <v>21</v>
      </c>
      <c r="H302" s="4" t="s">
        <v>438</v>
      </c>
      <c r="I302" s="4" t="s">
        <v>157</v>
      </c>
      <c r="J302" s="4" t="s">
        <v>88</v>
      </c>
      <c r="K302" s="4" t="s">
        <v>35</v>
      </c>
      <c r="L302" s="4" t="s">
        <v>158</v>
      </c>
      <c r="M302" s="4" t="s">
        <v>1031</v>
      </c>
      <c r="N302" s="5">
        <v>107.06</v>
      </c>
      <c r="O302" s="6">
        <v>1</v>
      </c>
      <c r="P302" s="7">
        <v>0</v>
      </c>
      <c r="Q302" s="5">
        <v>45.44</v>
      </c>
    </row>
    <row r="303" spans="1:17" x14ac:dyDescent="0.3">
      <c r="A303" s="8" t="s">
        <v>1032</v>
      </c>
      <c r="B303" s="9">
        <v>44285</v>
      </c>
      <c r="C303" s="9">
        <v>44286</v>
      </c>
      <c r="D303" s="8" t="s">
        <v>18</v>
      </c>
      <c r="E303" s="8" t="s">
        <v>1033</v>
      </c>
      <c r="F303" s="10" t="s">
        <v>1034</v>
      </c>
      <c r="G303" s="10" t="s">
        <v>42</v>
      </c>
      <c r="H303" s="10" t="s">
        <v>86</v>
      </c>
      <c r="I303" s="10" t="s">
        <v>87</v>
      </c>
      <c r="J303" s="10" t="s">
        <v>88</v>
      </c>
      <c r="K303" s="10" t="s">
        <v>25</v>
      </c>
      <c r="L303" s="10" t="s">
        <v>68</v>
      </c>
      <c r="M303" s="10" t="s">
        <v>1035</v>
      </c>
      <c r="N303" s="11">
        <v>757.76</v>
      </c>
      <c r="O303" s="12">
        <v>7</v>
      </c>
      <c r="P303" s="13">
        <v>0.4</v>
      </c>
      <c r="Q303" s="11">
        <v>16.02</v>
      </c>
    </row>
    <row r="304" spans="1:17" x14ac:dyDescent="0.3">
      <c r="A304" s="2" t="s">
        <v>1036</v>
      </c>
      <c r="B304" s="3">
        <v>44573</v>
      </c>
      <c r="C304" s="3">
        <v>44576</v>
      </c>
      <c r="D304" s="2" t="s">
        <v>18</v>
      </c>
      <c r="E304" s="2" t="s">
        <v>1033</v>
      </c>
      <c r="F304" s="4" t="s">
        <v>1034</v>
      </c>
      <c r="G304" s="4" t="s">
        <v>42</v>
      </c>
      <c r="H304" s="4" t="s">
        <v>86</v>
      </c>
      <c r="I304" s="4" t="s">
        <v>87</v>
      </c>
      <c r="J304" s="4" t="s">
        <v>88</v>
      </c>
      <c r="K304" s="4" t="s">
        <v>25</v>
      </c>
      <c r="L304" s="4" t="s">
        <v>26</v>
      </c>
      <c r="M304" s="4" t="s">
        <v>1037</v>
      </c>
      <c r="N304" s="5">
        <v>988.53</v>
      </c>
      <c r="O304" s="6">
        <v>1</v>
      </c>
      <c r="P304" s="7">
        <v>0</v>
      </c>
      <c r="Q304" s="5">
        <v>175.35</v>
      </c>
    </row>
    <row r="305" spans="1:17" x14ac:dyDescent="0.3">
      <c r="A305" s="8" t="s">
        <v>1038</v>
      </c>
      <c r="B305" s="9">
        <v>44899</v>
      </c>
      <c r="C305" s="9">
        <v>44900</v>
      </c>
      <c r="D305" s="8" t="s">
        <v>18</v>
      </c>
      <c r="E305" s="8" t="s">
        <v>223</v>
      </c>
      <c r="F305" s="10" t="s">
        <v>224</v>
      </c>
      <c r="G305" s="10" t="s">
        <v>21</v>
      </c>
      <c r="H305" s="10" t="s">
        <v>59</v>
      </c>
      <c r="I305" s="10" t="s">
        <v>60</v>
      </c>
      <c r="J305" s="10" t="s">
        <v>54</v>
      </c>
      <c r="K305" s="10" t="s">
        <v>45</v>
      </c>
      <c r="L305" s="10" t="s">
        <v>46</v>
      </c>
      <c r="M305" s="10" t="s">
        <v>1039</v>
      </c>
      <c r="N305" s="11">
        <v>3360.3</v>
      </c>
      <c r="O305" s="12">
        <v>10</v>
      </c>
      <c r="P305" s="13">
        <v>0.15</v>
      </c>
      <c r="Q305" s="11">
        <v>884.4</v>
      </c>
    </row>
    <row r="306" spans="1:17" x14ac:dyDescent="0.3">
      <c r="A306" s="2" t="s">
        <v>1040</v>
      </c>
      <c r="B306" s="3">
        <v>45367</v>
      </c>
      <c r="C306" s="3">
        <v>45369</v>
      </c>
      <c r="D306" s="2" t="s">
        <v>39</v>
      </c>
      <c r="E306" s="2" t="s">
        <v>175</v>
      </c>
      <c r="F306" s="4" t="s">
        <v>176</v>
      </c>
      <c r="G306" s="4" t="s">
        <v>51</v>
      </c>
      <c r="H306" s="4" t="s">
        <v>177</v>
      </c>
      <c r="I306" s="4" t="s">
        <v>178</v>
      </c>
      <c r="J306" s="4" t="s">
        <v>24</v>
      </c>
      <c r="K306" s="4" t="s">
        <v>35</v>
      </c>
      <c r="L306" s="4" t="s">
        <v>81</v>
      </c>
      <c r="M306" s="4" t="s">
        <v>1041</v>
      </c>
      <c r="N306" s="5">
        <v>73.760000000000005</v>
      </c>
      <c r="O306" s="6">
        <v>6</v>
      </c>
      <c r="P306" s="7">
        <v>0.1</v>
      </c>
      <c r="Q306" s="5">
        <v>28.51</v>
      </c>
    </row>
    <row r="307" spans="1:17" x14ac:dyDescent="0.3">
      <c r="A307" s="8" t="s">
        <v>1042</v>
      </c>
      <c r="B307" s="9">
        <v>45558</v>
      </c>
      <c r="C307" s="9">
        <v>45561</v>
      </c>
      <c r="D307" s="8" t="s">
        <v>73</v>
      </c>
      <c r="E307" s="8" t="s">
        <v>19</v>
      </c>
      <c r="F307" s="10" t="s">
        <v>20</v>
      </c>
      <c r="G307" s="10" t="s">
        <v>21</v>
      </c>
      <c r="H307" s="10" t="s">
        <v>22</v>
      </c>
      <c r="I307" s="10" t="s">
        <v>23</v>
      </c>
      <c r="J307" s="10" t="s">
        <v>24</v>
      </c>
      <c r="K307" s="10" t="s">
        <v>25</v>
      </c>
      <c r="L307" s="10" t="s">
        <v>124</v>
      </c>
      <c r="M307" s="10" t="s">
        <v>1043</v>
      </c>
      <c r="N307" s="11">
        <v>2953.78</v>
      </c>
      <c r="O307" s="12">
        <v>6</v>
      </c>
      <c r="P307" s="13">
        <v>0.2</v>
      </c>
      <c r="Q307" s="11">
        <v>266.94</v>
      </c>
    </row>
    <row r="308" spans="1:17" x14ac:dyDescent="0.3">
      <c r="A308" s="2" t="s">
        <v>1044</v>
      </c>
      <c r="B308" s="3">
        <v>44820</v>
      </c>
      <c r="C308" s="3">
        <v>44826</v>
      </c>
      <c r="D308" s="2" t="s">
        <v>29</v>
      </c>
      <c r="E308" s="2" t="s">
        <v>864</v>
      </c>
      <c r="F308" s="4" t="s">
        <v>865</v>
      </c>
      <c r="G308" s="4" t="s">
        <v>21</v>
      </c>
      <c r="H308" s="4" t="s">
        <v>177</v>
      </c>
      <c r="I308" s="4" t="s">
        <v>178</v>
      </c>
      <c r="J308" s="4" t="s">
        <v>24</v>
      </c>
      <c r="K308" s="4" t="s">
        <v>45</v>
      </c>
      <c r="L308" s="4" t="s">
        <v>99</v>
      </c>
      <c r="M308" s="4" t="s">
        <v>1045</v>
      </c>
      <c r="N308" s="5">
        <v>177.83</v>
      </c>
      <c r="O308" s="6">
        <v>1</v>
      </c>
      <c r="P308" s="7">
        <v>0</v>
      </c>
      <c r="Q308" s="5">
        <v>69.77</v>
      </c>
    </row>
    <row r="309" spans="1:17" x14ac:dyDescent="0.3">
      <c r="A309" s="8" t="s">
        <v>1046</v>
      </c>
      <c r="B309" s="9">
        <v>44548</v>
      </c>
      <c r="C309" s="9">
        <v>44551</v>
      </c>
      <c r="D309" s="8" t="s">
        <v>18</v>
      </c>
      <c r="E309" s="8" t="s">
        <v>1047</v>
      </c>
      <c r="F309" s="10" t="s">
        <v>1048</v>
      </c>
      <c r="G309" s="10" t="s">
        <v>42</v>
      </c>
      <c r="H309" s="10" t="s">
        <v>79</v>
      </c>
      <c r="I309" s="10" t="s">
        <v>80</v>
      </c>
      <c r="J309" s="10" t="s">
        <v>54</v>
      </c>
      <c r="K309" s="10" t="s">
        <v>25</v>
      </c>
      <c r="L309" s="10" t="s">
        <v>74</v>
      </c>
      <c r="M309" s="10" t="s">
        <v>1049</v>
      </c>
      <c r="N309" s="11">
        <v>1770.51</v>
      </c>
      <c r="O309" s="12">
        <v>7</v>
      </c>
      <c r="P309" s="13">
        <v>0</v>
      </c>
      <c r="Q309" s="11">
        <v>540.73</v>
      </c>
    </row>
    <row r="310" spans="1:17" x14ac:dyDescent="0.3">
      <c r="A310" s="2" t="s">
        <v>1050</v>
      </c>
      <c r="B310" s="3">
        <v>45097</v>
      </c>
      <c r="C310" s="3">
        <v>45103</v>
      </c>
      <c r="D310" s="2" t="s">
        <v>29</v>
      </c>
      <c r="E310" s="2" t="s">
        <v>380</v>
      </c>
      <c r="F310" s="4" t="s">
        <v>381</v>
      </c>
      <c r="G310" s="4" t="s">
        <v>51</v>
      </c>
      <c r="H310" s="4" t="s">
        <v>156</v>
      </c>
      <c r="I310" s="4" t="s">
        <v>157</v>
      </c>
      <c r="J310" s="4" t="s">
        <v>88</v>
      </c>
      <c r="K310" s="4" t="s">
        <v>25</v>
      </c>
      <c r="L310" s="4" t="s">
        <v>26</v>
      </c>
      <c r="M310" s="4" t="s">
        <v>447</v>
      </c>
      <c r="N310" s="5">
        <v>3562.86</v>
      </c>
      <c r="O310" s="6">
        <v>3</v>
      </c>
      <c r="P310" s="7">
        <v>0.3</v>
      </c>
      <c r="Q310" s="5">
        <v>-478.62</v>
      </c>
    </row>
    <row r="311" spans="1:17" x14ac:dyDescent="0.3">
      <c r="A311" s="8" t="s">
        <v>1051</v>
      </c>
      <c r="B311" s="9">
        <v>44338</v>
      </c>
      <c r="C311" s="9">
        <v>44340</v>
      </c>
      <c r="D311" s="8" t="s">
        <v>18</v>
      </c>
      <c r="E311" s="8" t="s">
        <v>1052</v>
      </c>
      <c r="F311" s="10" t="s">
        <v>1053</v>
      </c>
      <c r="G311" s="10" t="s">
        <v>42</v>
      </c>
      <c r="H311" s="10" t="s">
        <v>694</v>
      </c>
      <c r="I311" s="10" t="s">
        <v>67</v>
      </c>
      <c r="J311" s="10" t="s">
        <v>34</v>
      </c>
      <c r="K311" s="10" t="s">
        <v>45</v>
      </c>
      <c r="L311" s="10" t="s">
        <v>117</v>
      </c>
      <c r="M311" s="10" t="s">
        <v>1054</v>
      </c>
      <c r="N311" s="11">
        <v>1554.75</v>
      </c>
      <c r="O311" s="12">
        <v>9</v>
      </c>
      <c r="P311" s="13">
        <v>0</v>
      </c>
      <c r="Q311" s="11">
        <v>322.37</v>
      </c>
    </row>
    <row r="312" spans="1:17" x14ac:dyDescent="0.3">
      <c r="A312" s="2" t="s">
        <v>1055</v>
      </c>
      <c r="B312" s="3">
        <v>45081</v>
      </c>
      <c r="C312" s="3">
        <v>45084</v>
      </c>
      <c r="D312" s="2" t="s">
        <v>39</v>
      </c>
      <c r="E312" s="2" t="s">
        <v>701</v>
      </c>
      <c r="F312" s="4" t="s">
        <v>702</v>
      </c>
      <c r="G312" s="4" t="s">
        <v>21</v>
      </c>
      <c r="H312" s="4" t="s">
        <v>43</v>
      </c>
      <c r="I312" s="4" t="s">
        <v>44</v>
      </c>
      <c r="J312" s="4" t="s">
        <v>24</v>
      </c>
      <c r="K312" s="4" t="s">
        <v>25</v>
      </c>
      <c r="L312" s="4" t="s">
        <v>68</v>
      </c>
      <c r="M312" s="4" t="s">
        <v>1056</v>
      </c>
      <c r="N312" s="5">
        <v>218.03</v>
      </c>
      <c r="O312" s="6">
        <v>9</v>
      </c>
      <c r="P312" s="7">
        <v>0.15</v>
      </c>
      <c r="Q312" s="5">
        <v>45.41</v>
      </c>
    </row>
    <row r="313" spans="1:17" x14ac:dyDescent="0.3">
      <c r="A313" s="8" t="s">
        <v>1057</v>
      </c>
      <c r="B313" s="9">
        <v>44230</v>
      </c>
      <c r="C313" s="9">
        <v>44236</v>
      </c>
      <c r="D313" s="8" t="s">
        <v>29</v>
      </c>
      <c r="E313" s="8" t="s">
        <v>355</v>
      </c>
      <c r="F313" s="10" t="s">
        <v>356</v>
      </c>
      <c r="G313" s="10" t="s">
        <v>21</v>
      </c>
      <c r="H313" s="10" t="s">
        <v>357</v>
      </c>
      <c r="I313" s="10" t="s">
        <v>251</v>
      </c>
      <c r="J313" s="10" t="s">
        <v>88</v>
      </c>
      <c r="K313" s="10" t="s">
        <v>35</v>
      </c>
      <c r="L313" s="10" t="s">
        <v>36</v>
      </c>
      <c r="M313" s="10" t="s">
        <v>1058</v>
      </c>
      <c r="N313" s="11">
        <v>2043.72</v>
      </c>
      <c r="O313" s="12">
        <v>9</v>
      </c>
      <c r="P313" s="13">
        <v>0</v>
      </c>
      <c r="Q313" s="11">
        <v>911.54</v>
      </c>
    </row>
    <row r="314" spans="1:17" x14ac:dyDescent="0.3">
      <c r="A314" s="2" t="s">
        <v>1059</v>
      </c>
      <c r="B314" s="3">
        <v>44524</v>
      </c>
      <c r="C314" s="3">
        <v>44528</v>
      </c>
      <c r="D314" s="2" t="s">
        <v>39</v>
      </c>
      <c r="E314" s="2" t="s">
        <v>858</v>
      </c>
      <c r="F314" s="4" t="s">
        <v>859</v>
      </c>
      <c r="G314" s="4" t="s">
        <v>51</v>
      </c>
      <c r="H314" s="4" t="s">
        <v>145</v>
      </c>
      <c r="I314" s="4" t="s">
        <v>140</v>
      </c>
      <c r="J314" s="4" t="s">
        <v>24</v>
      </c>
      <c r="K314" s="4" t="s">
        <v>45</v>
      </c>
      <c r="L314" s="4" t="s">
        <v>99</v>
      </c>
      <c r="M314" s="4" t="s">
        <v>1060</v>
      </c>
      <c r="N314" s="5">
        <v>1516.96</v>
      </c>
      <c r="O314" s="6">
        <v>10</v>
      </c>
      <c r="P314" s="7">
        <v>0.2</v>
      </c>
      <c r="Q314" s="5">
        <v>303.92</v>
      </c>
    </row>
    <row r="315" spans="1:17" x14ac:dyDescent="0.3">
      <c r="A315" s="8" t="s">
        <v>1061</v>
      </c>
      <c r="B315" s="9">
        <v>44440</v>
      </c>
      <c r="C315" s="9">
        <v>44444</v>
      </c>
      <c r="D315" s="8" t="s">
        <v>73</v>
      </c>
      <c r="E315" s="8" t="s">
        <v>197</v>
      </c>
      <c r="F315" s="10" t="s">
        <v>198</v>
      </c>
      <c r="G315" s="10" t="s">
        <v>21</v>
      </c>
      <c r="H315" s="10" t="s">
        <v>129</v>
      </c>
      <c r="I315" s="10" t="s">
        <v>33</v>
      </c>
      <c r="J315" s="10" t="s">
        <v>34</v>
      </c>
      <c r="K315" s="10" t="s">
        <v>45</v>
      </c>
      <c r="L315" s="10" t="s">
        <v>99</v>
      </c>
      <c r="M315" s="10" t="s">
        <v>1062</v>
      </c>
      <c r="N315" s="11">
        <v>294.58</v>
      </c>
      <c r="O315" s="12">
        <v>3</v>
      </c>
      <c r="P315" s="13">
        <v>0.2</v>
      </c>
      <c r="Q315" s="11">
        <v>59.21</v>
      </c>
    </row>
    <row r="316" spans="1:17" x14ac:dyDescent="0.3">
      <c r="A316" s="2" t="s">
        <v>1063</v>
      </c>
      <c r="B316" s="3">
        <v>45406</v>
      </c>
      <c r="C316" s="3">
        <v>45411</v>
      </c>
      <c r="D316" s="2" t="s">
        <v>29</v>
      </c>
      <c r="E316" s="2" t="s">
        <v>1064</v>
      </c>
      <c r="F316" s="4" t="s">
        <v>1065</v>
      </c>
      <c r="G316" s="4" t="s">
        <v>51</v>
      </c>
      <c r="H316" s="4" t="s">
        <v>122</v>
      </c>
      <c r="I316" s="4" t="s">
        <v>123</v>
      </c>
      <c r="J316" s="4" t="s">
        <v>24</v>
      </c>
      <c r="K316" s="4" t="s">
        <v>25</v>
      </c>
      <c r="L316" s="4" t="s">
        <v>26</v>
      </c>
      <c r="M316" s="4" t="s">
        <v>1066</v>
      </c>
      <c r="N316" s="5">
        <v>6663.87</v>
      </c>
      <c r="O316" s="6">
        <v>5</v>
      </c>
      <c r="P316" s="7">
        <v>0.15</v>
      </c>
      <c r="Q316" s="5">
        <v>942.13</v>
      </c>
    </row>
    <row r="317" spans="1:17" x14ac:dyDescent="0.3">
      <c r="A317" s="8" t="s">
        <v>1067</v>
      </c>
      <c r="B317" s="9">
        <v>45642</v>
      </c>
      <c r="C317" s="9">
        <v>45643</v>
      </c>
      <c r="D317" s="8" t="s">
        <v>18</v>
      </c>
      <c r="E317" s="8" t="s">
        <v>219</v>
      </c>
      <c r="F317" s="10" t="s">
        <v>220</v>
      </c>
      <c r="G317" s="10" t="s">
        <v>51</v>
      </c>
      <c r="H317" s="10" t="s">
        <v>171</v>
      </c>
      <c r="I317" s="10" t="s">
        <v>172</v>
      </c>
      <c r="J317" s="10" t="s">
        <v>24</v>
      </c>
      <c r="K317" s="10" t="s">
        <v>45</v>
      </c>
      <c r="L317" s="10" t="s">
        <v>117</v>
      </c>
      <c r="M317" s="10" t="s">
        <v>1068</v>
      </c>
      <c r="N317" s="11">
        <v>2751.72</v>
      </c>
      <c r="O317" s="12">
        <v>5</v>
      </c>
      <c r="P317" s="13">
        <v>0.05</v>
      </c>
      <c r="Q317" s="11">
        <v>784.25</v>
      </c>
    </row>
    <row r="318" spans="1:17" x14ac:dyDescent="0.3">
      <c r="A318" s="2" t="s">
        <v>1069</v>
      </c>
      <c r="B318" s="3">
        <v>45367</v>
      </c>
      <c r="C318" s="3">
        <v>45371</v>
      </c>
      <c r="D318" s="2" t="s">
        <v>73</v>
      </c>
      <c r="E318" s="2" t="s">
        <v>1070</v>
      </c>
      <c r="F318" s="4" t="s">
        <v>1071</v>
      </c>
      <c r="G318" s="4" t="s">
        <v>51</v>
      </c>
      <c r="H318" s="4" t="s">
        <v>177</v>
      </c>
      <c r="I318" s="4" t="s">
        <v>178</v>
      </c>
      <c r="J318" s="4" t="s">
        <v>24</v>
      </c>
      <c r="K318" s="4" t="s">
        <v>35</v>
      </c>
      <c r="L318" s="4" t="s">
        <v>81</v>
      </c>
      <c r="M318" s="4" t="s">
        <v>1072</v>
      </c>
      <c r="N318" s="5">
        <v>52.36</v>
      </c>
      <c r="O318" s="6">
        <v>5</v>
      </c>
      <c r="P318" s="7">
        <v>0.2</v>
      </c>
      <c r="Q318" s="5">
        <v>15.56</v>
      </c>
    </row>
    <row r="319" spans="1:17" x14ac:dyDescent="0.3">
      <c r="A319" s="8" t="s">
        <v>1073</v>
      </c>
      <c r="B319" s="9">
        <v>45203</v>
      </c>
      <c r="C319" s="9">
        <v>45208</v>
      </c>
      <c r="D319" s="8" t="s">
        <v>29</v>
      </c>
      <c r="E319" s="8" t="s">
        <v>528</v>
      </c>
      <c r="F319" s="10" t="s">
        <v>529</v>
      </c>
      <c r="G319" s="10" t="s">
        <v>51</v>
      </c>
      <c r="H319" s="10" t="s">
        <v>530</v>
      </c>
      <c r="I319" s="10" t="s">
        <v>373</v>
      </c>
      <c r="J319" s="10" t="s">
        <v>34</v>
      </c>
      <c r="K319" s="10" t="s">
        <v>35</v>
      </c>
      <c r="L319" s="10" t="s">
        <v>36</v>
      </c>
      <c r="M319" s="10" t="s">
        <v>1074</v>
      </c>
      <c r="N319" s="11">
        <v>469.49</v>
      </c>
      <c r="O319" s="12">
        <v>5</v>
      </c>
      <c r="P319" s="13">
        <v>0.1</v>
      </c>
      <c r="Q319" s="11">
        <v>185.27</v>
      </c>
    </row>
    <row r="320" spans="1:17" x14ac:dyDescent="0.3">
      <c r="A320" s="2" t="s">
        <v>1075</v>
      </c>
      <c r="B320" s="3">
        <v>45242</v>
      </c>
      <c r="C320" s="3">
        <v>45243</v>
      </c>
      <c r="D320" s="2" t="s">
        <v>18</v>
      </c>
      <c r="E320" s="2" t="s">
        <v>84</v>
      </c>
      <c r="F320" s="4"/>
      <c r="G320" s="4" t="s">
        <v>21</v>
      </c>
      <c r="H320" s="4" t="s">
        <v>86</v>
      </c>
      <c r="I320" s="4" t="s">
        <v>87</v>
      </c>
      <c r="J320" s="4" t="s">
        <v>88</v>
      </c>
      <c r="K320" s="4" t="s">
        <v>25</v>
      </c>
      <c r="L320" s="4" t="s">
        <v>26</v>
      </c>
      <c r="M320" s="4" t="s">
        <v>1076</v>
      </c>
      <c r="N320" s="5">
        <v>19820.400000000001</v>
      </c>
      <c r="O320" s="6">
        <v>10</v>
      </c>
      <c r="P320" s="7">
        <v>0</v>
      </c>
      <c r="Q320" s="5">
        <v>3610.51</v>
      </c>
    </row>
    <row r="321" spans="1:17" x14ac:dyDescent="0.3">
      <c r="A321" s="8" t="s">
        <v>1077</v>
      </c>
      <c r="B321" s="9">
        <v>45000</v>
      </c>
      <c r="C321" s="9">
        <v>45006</v>
      </c>
      <c r="D321" s="8" t="s">
        <v>29</v>
      </c>
      <c r="E321" s="8" t="s">
        <v>1078</v>
      </c>
      <c r="F321" s="10" t="s">
        <v>1079</v>
      </c>
      <c r="G321" s="10" t="s">
        <v>42</v>
      </c>
      <c r="H321" s="10" t="s">
        <v>115</v>
      </c>
      <c r="I321" s="10" t="s">
        <v>116</v>
      </c>
      <c r="J321" s="10" t="s">
        <v>54</v>
      </c>
      <c r="K321" s="10" t="s">
        <v>35</v>
      </c>
      <c r="L321" s="10" t="s">
        <v>166</v>
      </c>
      <c r="M321" s="10" t="s">
        <v>1080</v>
      </c>
      <c r="N321" s="11">
        <v>348.24</v>
      </c>
      <c r="O321" s="12">
        <v>6</v>
      </c>
      <c r="P321" s="13">
        <v>0.5</v>
      </c>
      <c r="Q321" s="11">
        <v>-126.89</v>
      </c>
    </row>
    <row r="322" spans="1:17" x14ac:dyDescent="0.3">
      <c r="A322" s="2" t="s">
        <v>1081</v>
      </c>
      <c r="B322" s="3">
        <v>45268</v>
      </c>
      <c r="C322" s="3">
        <v>45270</v>
      </c>
      <c r="D322" s="2" t="s">
        <v>18</v>
      </c>
      <c r="E322" s="2" t="s">
        <v>547</v>
      </c>
      <c r="F322" s="4" t="s">
        <v>548</v>
      </c>
      <c r="G322" s="4" t="s">
        <v>51</v>
      </c>
      <c r="H322" s="4" t="s">
        <v>156</v>
      </c>
      <c r="I322" s="4" t="s">
        <v>157</v>
      </c>
      <c r="J322" s="4" t="s">
        <v>88</v>
      </c>
      <c r="K322" s="4" t="s">
        <v>25</v>
      </c>
      <c r="L322" s="4" t="s">
        <v>74</v>
      </c>
      <c r="M322" s="4" t="s">
        <v>1082</v>
      </c>
      <c r="N322" s="5">
        <v>2252.48</v>
      </c>
      <c r="O322" s="6">
        <v>4</v>
      </c>
      <c r="P322" s="7">
        <v>0</v>
      </c>
      <c r="Q322" s="5">
        <v>805.55</v>
      </c>
    </row>
    <row r="323" spans="1:17" x14ac:dyDescent="0.3">
      <c r="A323" s="8" t="s">
        <v>1083</v>
      </c>
      <c r="B323" s="9">
        <v>45599</v>
      </c>
      <c r="C323" s="9">
        <v>45602</v>
      </c>
      <c r="D323" s="8" t="s">
        <v>39</v>
      </c>
      <c r="E323" s="8" t="s">
        <v>946</v>
      </c>
      <c r="F323" s="10" t="s">
        <v>947</v>
      </c>
      <c r="G323" s="10" t="s">
        <v>21</v>
      </c>
      <c r="H323" s="10" t="s">
        <v>156</v>
      </c>
      <c r="I323" s="10" t="s">
        <v>157</v>
      </c>
      <c r="J323" s="10" t="s">
        <v>88</v>
      </c>
      <c r="K323" s="10" t="s">
        <v>45</v>
      </c>
      <c r="L323" s="10" t="s">
        <v>61</v>
      </c>
      <c r="M323" s="10" t="s">
        <v>1062</v>
      </c>
      <c r="N323" s="11">
        <v>1556.32</v>
      </c>
      <c r="O323" s="12">
        <v>4</v>
      </c>
      <c r="P323" s="13">
        <v>0.3</v>
      </c>
      <c r="Q323" s="11">
        <v>-462.68</v>
      </c>
    </row>
    <row r="324" spans="1:17" x14ac:dyDescent="0.3">
      <c r="A324" s="2" t="s">
        <v>1084</v>
      </c>
      <c r="B324" s="3">
        <v>44339</v>
      </c>
      <c r="C324" s="3">
        <v>44342</v>
      </c>
      <c r="D324" s="2" t="s">
        <v>73</v>
      </c>
      <c r="E324" s="2" t="s">
        <v>858</v>
      </c>
      <c r="F324" s="4" t="s">
        <v>859</v>
      </c>
      <c r="G324" s="4" t="s">
        <v>51</v>
      </c>
      <c r="H324" s="4" t="s">
        <v>145</v>
      </c>
      <c r="I324" s="4" t="s">
        <v>140</v>
      </c>
      <c r="J324" s="4" t="s">
        <v>24</v>
      </c>
      <c r="K324" s="4" t="s">
        <v>45</v>
      </c>
      <c r="L324" s="4" t="s">
        <v>61</v>
      </c>
      <c r="M324" s="4" t="s">
        <v>1085</v>
      </c>
      <c r="N324" s="5">
        <v>2765.08</v>
      </c>
      <c r="O324" s="6">
        <v>4</v>
      </c>
      <c r="P324" s="7">
        <v>0</v>
      </c>
      <c r="Q324" s="5">
        <v>358.3</v>
      </c>
    </row>
    <row r="325" spans="1:17" x14ac:dyDescent="0.3">
      <c r="A325" s="8" t="s">
        <v>1086</v>
      </c>
      <c r="B325" s="9">
        <v>44653</v>
      </c>
      <c r="C325" s="9">
        <v>44655</v>
      </c>
      <c r="D325" s="8" t="s">
        <v>18</v>
      </c>
      <c r="E325" s="8" t="s">
        <v>227</v>
      </c>
      <c r="F325" s="10" t="s">
        <v>228</v>
      </c>
      <c r="G325" s="10" t="s">
        <v>51</v>
      </c>
      <c r="H325" s="10" t="s">
        <v>98</v>
      </c>
      <c r="I325" s="10" t="s">
        <v>80</v>
      </c>
      <c r="J325" s="10" t="s">
        <v>54</v>
      </c>
      <c r="K325" s="10" t="s">
        <v>45</v>
      </c>
      <c r="L325" s="10" t="s">
        <v>99</v>
      </c>
      <c r="M325" s="10" t="s">
        <v>1087</v>
      </c>
      <c r="N325" s="11">
        <v>651.28</v>
      </c>
      <c r="O325" s="12">
        <v>10</v>
      </c>
      <c r="P325" s="13">
        <v>0.2</v>
      </c>
      <c r="Q325" s="11">
        <v>51.6</v>
      </c>
    </row>
    <row r="326" spans="1:17" x14ac:dyDescent="0.3">
      <c r="A326" s="2" t="s">
        <v>1088</v>
      </c>
      <c r="B326" s="3">
        <v>44314</v>
      </c>
      <c r="C326" s="3">
        <v>44317</v>
      </c>
      <c r="D326" s="2" t="s">
        <v>39</v>
      </c>
      <c r="E326" s="2" t="s">
        <v>1089</v>
      </c>
      <c r="F326" s="4" t="s">
        <v>1090</v>
      </c>
      <c r="G326" s="4" t="s">
        <v>51</v>
      </c>
      <c r="H326" s="4" t="s">
        <v>1091</v>
      </c>
      <c r="I326" s="4" t="s">
        <v>23</v>
      </c>
      <c r="J326" s="4" t="s">
        <v>24</v>
      </c>
      <c r="K326" s="4" t="s">
        <v>35</v>
      </c>
      <c r="L326" s="4" t="s">
        <v>110</v>
      </c>
      <c r="M326" s="4" t="s">
        <v>1092</v>
      </c>
      <c r="N326" s="5">
        <v>158.59</v>
      </c>
      <c r="O326" s="6">
        <v>6</v>
      </c>
      <c r="P326" s="7">
        <v>0.2</v>
      </c>
      <c r="Q326" s="5">
        <v>53.41</v>
      </c>
    </row>
    <row r="327" spans="1:17" x14ac:dyDescent="0.3">
      <c r="A327" s="8" t="s">
        <v>1093</v>
      </c>
      <c r="B327" s="9">
        <v>45508</v>
      </c>
      <c r="C327" s="9">
        <v>45513</v>
      </c>
      <c r="D327" s="8" t="s">
        <v>73</v>
      </c>
      <c r="E327" s="8" t="s">
        <v>745</v>
      </c>
      <c r="F327" s="10" t="s">
        <v>746</v>
      </c>
      <c r="G327" s="10" t="s">
        <v>51</v>
      </c>
      <c r="H327" s="10" t="s">
        <v>465</v>
      </c>
      <c r="I327" s="10" t="s">
        <v>423</v>
      </c>
      <c r="J327" s="10" t="s">
        <v>88</v>
      </c>
      <c r="K327" s="10" t="s">
        <v>35</v>
      </c>
      <c r="L327" s="10" t="s">
        <v>36</v>
      </c>
      <c r="M327" s="10" t="s">
        <v>311</v>
      </c>
      <c r="N327" s="11">
        <v>1147.1600000000001</v>
      </c>
      <c r="O327" s="12">
        <v>10</v>
      </c>
      <c r="P327" s="13">
        <v>0.3</v>
      </c>
      <c r="Q327" s="11">
        <v>227.5</v>
      </c>
    </row>
    <row r="328" spans="1:17" x14ac:dyDescent="0.3">
      <c r="A328" s="2" t="s">
        <v>1094</v>
      </c>
      <c r="B328" s="3">
        <v>44400</v>
      </c>
      <c r="C328" s="3">
        <v>44405</v>
      </c>
      <c r="D328" s="2" t="s">
        <v>73</v>
      </c>
      <c r="E328" s="2" t="s">
        <v>553</v>
      </c>
      <c r="F328" s="4" t="s">
        <v>554</v>
      </c>
      <c r="G328" s="4" t="s">
        <v>42</v>
      </c>
      <c r="H328" s="4" t="s">
        <v>177</v>
      </c>
      <c r="I328" s="4" t="s">
        <v>178</v>
      </c>
      <c r="J328" s="4" t="s">
        <v>24</v>
      </c>
      <c r="K328" s="4" t="s">
        <v>35</v>
      </c>
      <c r="L328" s="4" t="s">
        <v>158</v>
      </c>
      <c r="M328" s="4" t="s">
        <v>1095</v>
      </c>
      <c r="N328" s="5">
        <v>527.04</v>
      </c>
      <c r="O328" s="6">
        <v>8</v>
      </c>
      <c r="P328" s="7">
        <v>0.4</v>
      </c>
      <c r="Q328" s="5">
        <v>-17.34</v>
      </c>
    </row>
    <row r="329" spans="1:17" x14ac:dyDescent="0.3">
      <c r="A329" s="8" t="s">
        <v>1096</v>
      </c>
      <c r="B329" s="9">
        <v>44483</v>
      </c>
      <c r="C329" s="9">
        <v>44487</v>
      </c>
      <c r="D329" s="8" t="s">
        <v>39</v>
      </c>
      <c r="E329" s="8" t="s">
        <v>1097</v>
      </c>
      <c r="F329" s="10" t="s">
        <v>1098</v>
      </c>
      <c r="G329" s="10" t="s">
        <v>42</v>
      </c>
      <c r="H329" s="10" t="s">
        <v>417</v>
      </c>
      <c r="I329" s="10" t="s">
        <v>123</v>
      </c>
      <c r="J329" s="10" t="s">
        <v>24</v>
      </c>
      <c r="K329" s="10" t="s">
        <v>25</v>
      </c>
      <c r="L329" s="10" t="s">
        <v>124</v>
      </c>
      <c r="M329" s="10" t="s">
        <v>1099</v>
      </c>
      <c r="N329" s="11">
        <v>13616.24</v>
      </c>
      <c r="O329" s="12">
        <v>10</v>
      </c>
      <c r="P329" s="13">
        <v>0.15</v>
      </c>
      <c r="Q329" s="11">
        <v>1705.77</v>
      </c>
    </row>
    <row r="330" spans="1:17" x14ac:dyDescent="0.3">
      <c r="A330" s="2" t="s">
        <v>1100</v>
      </c>
      <c r="B330" s="3">
        <v>44826</v>
      </c>
      <c r="C330" s="3">
        <v>44831</v>
      </c>
      <c r="D330" s="2" t="s">
        <v>29</v>
      </c>
      <c r="E330" s="2" t="s">
        <v>1101</v>
      </c>
      <c r="F330" s="4" t="s">
        <v>1102</v>
      </c>
      <c r="G330" s="4" t="s">
        <v>42</v>
      </c>
      <c r="H330" s="4" t="s">
        <v>1103</v>
      </c>
      <c r="I330" s="4" t="s">
        <v>172</v>
      </c>
      <c r="J330" s="4" t="s">
        <v>24</v>
      </c>
      <c r="K330" s="4" t="s">
        <v>25</v>
      </c>
      <c r="L330" s="4" t="s">
        <v>68</v>
      </c>
      <c r="M330" s="4" t="s">
        <v>1104</v>
      </c>
      <c r="N330" s="5">
        <v>152.55000000000001</v>
      </c>
      <c r="O330" s="6">
        <v>1</v>
      </c>
      <c r="P330" s="7">
        <v>0.2</v>
      </c>
      <c r="Q330" s="5">
        <v>27.49</v>
      </c>
    </row>
    <row r="331" spans="1:17" x14ac:dyDescent="0.3">
      <c r="A331" s="8" t="s">
        <v>1105</v>
      </c>
      <c r="B331" s="9">
        <v>44272</v>
      </c>
      <c r="C331" s="9">
        <v>44275</v>
      </c>
      <c r="D331" s="8" t="s">
        <v>73</v>
      </c>
      <c r="E331" s="8" t="s">
        <v>436</v>
      </c>
      <c r="F331" s="10" t="s">
        <v>437</v>
      </c>
      <c r="G331" s="10" t="s">
        <v>51</v>
      </c>
      <c r="H331" s="10" t="s">
        <v>438</v>
      </c>
      <c r="I331" s="10" t="s">
        <v>157</v>
      </c>
      <c r="J331" s="10" t="s">
        <v>88</v>
      </c>
      <c r="K331" s="10" t="s">
        <v>25</v>
      </c>
      <c r="L331" s="10" t="s">
        <v>124</v>
      </c>
      <c r="M331" s="10" t="s">
        <v>1106</v>
      </c>
      <c r="N331" s="11">
        <v>1443</v>
      </c>
      <c r="O331" s="12">
        <v>3</v>
      </c>
      <c r="P331" s="13">
        <v>0</v>
      </c>
      <c r="Q331" s="11">
        <v>325.36</v>
      </c>
    </row>
    <row r="332" spans="1:17" x14ac:dyDescent="0.3">
      <c r="A332" s="2" t="s">
        <v>1107</v>
      </c>
      <c r="B332" s="3">
        <v>44992</v>
      </c>
      <c r="C332" s="3">
        <v>44994</v>
      </c>
      <c r="D332" s="2" t="s">
        <v>39</v>
      </c>
      <c r="E332" s="2" t="s">
        <v>528</v>
      </c>
      <c r="F332" s="4" t="s">
        <v>529</v>
      </c>
      <c r="G332" s="4" t="s">
        <v>51</v>
      </c>
      <c r="H332" s="4" t="s">
        <v>530</v>
      </c>
      <c r="I332" s="4" t="s">
        <v>373</v>
      </c>
      <c r="J332" s="4" t="s">
        <v>34</v>
      </c>
      <c r="K332" s="4" t="s">
        <v>25</v>
      </c>
      <c r="L332" s="4" t="s">
        <v>68</v>
      </c>
      <c r="M332" s="4" t="s">
        <v>1108</v>
      </c>
      <c r="N332" s="5">
        <v>310.33999999999997</v>
      </c>
      <c r="O332" s="6">
        <v>4</v>
      </c>
      <c r="P332" s="7">
        <v>0.5</v>
      </c>
      <c r="Q332" s="5">
        <v>-96.48</v>
      </c>
    </row>
    <row r="333" spans="1:17" x14ac:dyDescent="0.3">
      <c r="A333" s="8" t="s">
        <v>1109</v>
      </c>
      <c r="B333" s="9">
        <v>44769</v>
      </c>
      <c r="C333" s="9">
        <v>44770</v>
      </c>
      <c r="D333" s="8" t="s">
        <v>18</v>
      </c>
      <c r="E333" s="8" t="s">
        <v>30</v>
      </c>
      <c r="F333" s="10" t="s">
        <v>31</v>
      </c>
      <c r="G333" s="10" t="s">
        <v>21</v>
      </c>
      <c r="H333" s="10" t="s">
        <v>32</v>
      </c>
      <c r="I333" s="10" t="s">
        <v>33</v>
      </c>
      <c r="J333" s="10" t="s">
        <v>34</v>
      </c>
      <c r="K333" s="10" t="s">
        <v>35</v>
      </c>
      <c r="L333" s="10" t="s">
        <v>89</v>
      </c>
      <c r="M333" s="10" t="s">
        <v>1110</v>
      </c>
      <c r="N333" s="11">
        <v>834.25</v>
      </c>
      <c r="O333" s="12">
        <v>9</v>
      </c>
      <c r="P333" s="13">
        <v>0.3</v>
      </c>
      <c r="Q333" s="11">
        <v>143.31</v>
      </c>
    </row>
    <row r="334" spans="1:17" x14ac:dyDescent="0.3">
      <c r="A334" s="2" t="s">
        <v>1111</v>
      </c>
      <c r="B334" s="3">
        <v>44962</v>
      </c>
      <c r="C334" s="3">
        <v>44965</v>
      </c>
      <c r="D334" s="2" t="s">
        <v>18</v>
      </c>
      <c r="E334" s="2" t="s">
        <v>592</v>
      </c>
      <c r="F334" s="4" t="s">
        <v>593</v>
      </c>
      <c r="G334" s="4" t="s">
        <v>21</v>
      </c>
      <c r="H334" s="4" t="s">
        <v>207</v>
      </c>
      <c r="I334" s="4" t="s">
        <v>60</v>
      </c>
      <c r="J334" s="4" t="s">
        <v>54</v>
      </c>
      <c r="K334" s="4" t="s">
        <v>45</v>
      </c>
      <c r="L334" s="4" t="s">
        <v>117</v>
      </c>
      <c r="M334" s="4" t="s">
        <v>1112</v>
      </c>
      <c r="N334" s="5">
        <v>3640.63</v>
      </c>
      <c r="O334" s="6">
        <v>9</v>
      </c>
      <c r="P334" s="7">
        <v>0.15</v>
      </c>
      <c r="Q334" s="5">
        <v>241.18</v>
      </c>
    </row>
    <row r="335" spans="1:17" x14ac:dyDescent="0.3">
      <c r="A335" s="8" t="s">
        <v>1113</v>
      </c>
      <c r="B335" s="9">
        <v>44923</v>
      </c>
      <c r="C335" s="9">
        <v>44925</v>
      </c>
      <c r="D335" s="8" t="s">
        <v>39</v>
      </c>
      <c r="E335" s="8" t="s">
        <v>817</v>
      </c>
      <c r="F335" s="10" t="s">
        <v>818</v>
      </c>
      <c r="G335" s="10" t="s">
        <v>42</v>
      </c>
      <c r="H335" s="10" t="s">
        <v>98</v>
      </c>
      <c r="I335" s="10" t="s">
        <v>80</v>
      </c>
      <c r="J335" s="10" t="s">
        <v>54</v>
      </c>
      <c r="K335" s="10" t="s">
        <v>45</v>
      </c>
      <c r="L335" s="10" t="s">
        <v>99</v>
      </c>
      <c r="M335" s="10" t="s">
        <v>1114</v>
      </c>
      <c r="N335" s="11">
        <v>132.47</v>
      </c>
      <c r="O335" s="12">
        <v>1</v>
      </c>
      <c r="P335" s="13">
        <v>0.3</v>
      </c>
      <c r="Q335" s="11">
        <v>-5.61</v>
      </c>
    </row>
    <row r="336" spans="1:17" x14ac:dyDescent="0.3">
      <c r="A336" s="2" t="s">
        <v>1115</v>
      </c>
      <c r="B336" s="3">
        <v>45310</v>
      </c>
      <c r="C336" s="3">
        <v>45314</v>
      </c>
      <c r="D336" s="2" t="s">
        <v>73</v>
      </c>
      <c r="E336" s="2" t="s">
        <v>293</v>
      </c>
      <c r="F336" s="4" t="s">
        <v>294</v>
      </c>
      <c r="G336" s="4" t="s">
        <v>21</v>
      </c>
      <c r="H336" s="4" t="s">
        <v>193</v>
      </c>
      <c r="I336" s="4" t="s">
        <v>194</v>
      </c>
      <c r="J336" s="4" t="s">
        <v>34</v>
      </c>
      <c r="K336" s="4" t="s">
        <v>35</v>
      </c>
      <c r="L336" s="4" t="s">
        <v>89</v>
      </c>
      <c r="M336" s="4" t="s">
        <v>1116</v>
      </c>
      <c r="N336" s="5">
        <v>404.82</v>
      </c>
      <c r="O336" s="6">
        <v>2</v>
      </c>
      <c r="P336" s="7">
        <v>0</v>
      </c>
      <c r="Q336" s="5">
        <v>157.87</v>
      </c>
    </row>
    <row r="337" spans="1:17" x14ac:dyDescent="0.3">
      <c r="A337" s="8" t="s">
        <v>1117</v>
      </c>
      <c r="B337" s="9">
        <v>45265</v>
      </c>
      <c r="C337" s="9">
        <v>45268</v>
      </c>
      <c r="D337" s="8" t="s">
        <v>39</v>
      </c>
      <c r="E337" s="8" t="s">
        <v>303</v>
      </c>
      <c r="F337" s="10" t="s">
        <v>304</v>
      </c>
      <c r="G337" s="10" t="s">
        <v>42</v>
      </c>
      <c r="H337" s="10" t="s">
        <v>305</v>
      </c>
      <c r="I337" s="10" t="s">
        <v>306</v>
      </c>
      <c r="J337" s="10" t="s">
        <v>34</v>
      </c>
      <c r="K337" s="10" t="s">
        <v>25</v>
      </c>
      <c r="L337" s="10" t="s">
        <v>124</v>
      </c>
      <c r="M337" s="10" t="s">
        <v>1118</v>
      </c>
      <c r="N337" s="11">
        <v>7040.1</v>
      </c>
      <c r="O337" s="12">
        <v>10</v>
      </c>
      <c r="P337" s="13">
        <v>0.4</v>
      </c>
      <c r="Q337" s="11">
        <v>-2572.8000000000002</v>
      </c>
    </row>
    <row r="338" spans="1:17" x14ac:dyDescent="0.3">
      <c r="A338" s="2" t="s">
        <v>1119</v>
      </c>
      <c r="B338" s="3">
        <v>44568</v>
      </c>
      <c r="C338" s="3">
        <v>44570</v>
      </c>
      <c r="D338" s="2" t="s">
        <v>18</v>
      </c>
      <c r="E338" s="2" t="s">
        <v>610</v>
      </c>
      <c r="F338" s="4" t="s">
        <v>611</v>
      </c>
      <c r="G338" s="4" t="s">
        <v>51</v>
      </c>
      <c r="H338" s="4" t="s">
        <v>346</v>
      </c>
      <c r="I338" s="4" t="s">
        <v>347</v>
      </c>
      <c r="J338" s="4" t="s">
        <v>88</v>
      </c>
      <c r="K338" s="4" t="s">
        <v>45</v>
      </c>
      <c r="L338" s="4" t="s">
        <v>61</v>
      </c>
      <c r="M338" s="4" t="s">
        <v>1120</v>
      </c>
      <c r="N338" s="5">
        <v>3315.92</v>
      </c>
      <c r="O338" s="6">
        <v>8</v>
      </c>
      <c r="P338" s="7">
        <v>0.5</v>
      </c>
      <c r="Q338" s="5">
        <v>-2842.03</v>
      </c>
    </row>
    <row r="339" spans="1:17" x14ac:dyDescent="0.3">
      <c r="A339" s="8" t="s">
        <v>1121</v>
      </c>
      <c r="B339" s="9">
        <v>45553</v>
      </c>
      <c r="C339" s="9">
        <v>45560</v>
      </c>
      <c r="D339" s="8" t="s">
        <v>29</v>
      </c>
      <c r="E339" s="8" t="s">
        <v>666</v>
      </c>
      <c r="F339" s="10" t="s">
        <v>667</v>
      </c>
      <c r="G339" s="10" t="s">
        <v>21</v>
      </c>
      <c r="H339" s="10" t="s">
        <v>372</v>
      </c>
      <c r="I339" s="10" t="s">
        <v>373</v>
      </c>
      <c r="J339" s="10" t="s">
        <v>34</v>
      </c>
      <c r="K339" s="10" t="s">
        <v>35</v>
      </c>
      <c r="L339" s="10" t="s">
        <v>229</v>
      </c>
      <c r="M339" s="10" t="s">
        <v>1122</v>
      </c>
      <c r="N339" s="11">
        <v>14</v>
      </c>
      <c r="O339" s="12">
        <v>10</v>
      </c>
      <c r="P339" s="13">
        <v>0</v>
      </c>
      <c r="Q339" s="11">
        <v>5.96</v>
      </c>
    </row>
    <row r="340" spans="1:17" x14ac:dyDescent="0.3">
      <c r="A340" s="2" t="s">
        <v>1123</v>
      </c>
      <c r="B340" s="3">
        <v>44467</v>
      </c>
      <c r="C340" s="3">
        <v>44470</v>
      </c>
      <c r="D340" s="2" t="s">
        <v>18</v>
      </c>
      <c r="E340" s="2" t="s">
        <v>561</v>
      </c>
      <c r="F340" s="4" t="s">
        <v>562</v>
      </c>
      <c r="G340" s="4" t="s">
        <v>42</v>
      </c>
      <c r="H340" s="4" t="s">
        <v>563</v>
      </c>
      <c r="I340" s="4" t="s">
        <v>460</v>
      </c>
      <c r="J340" s="4" t="s">
        <v>54</v>
      </c>
      <c r="K340" s="4" t="s">
        <v>35</v>
      </c>
      <c r="L340" s="4" t="s">
        <v>216</v>
      </c>
      <c r="M340" s="4" t="s">
        <v>1124</v>
      </c>
      <c r="N340" s="5">
        <v>28.14</v>
      </c>
      <c r="O340" s="6">
        <v>1</v>
      </c>
      <c r="P340" s="7">
        <v>0.15</v>
      </c>
      <c r="Q340" s="5">
        <v>7.63</v>
      </c>
    </row>
    <row r="341" spans="1:17" x14ac:dyDescent="0.3">
      <c r="A341" s="8" t="s">
        <v>1125</v>
      </c>
      <c r="B341" s="9">
        <v>44921</v>
      </c>
      <c r="C341" s="9">
        <v>44922</v>
      </c>
      <c r="D341" s="8" t="s">
        <v>18</v>
      </c>
      <c r="E341" s="8" t="s">
        <v>441</v>
      </c>
      <c r="F341" s="10" t="s">
        <v>442</v>
      </c>
      <c r="G341" s="10" t="s">
        <v>21</v>
      </c>
      <c r="H341" s="10" t="s">
        <v>98</v>
      </c>
      <c r="I341" s="10" t="s">
        <v>80</v>
      </c>
      <c r="J341" s="10" t="s">
        <v>54</v>
      </c>
      <c r="K341" s="10" t="s">
        <v>25</v>
      </c>
      <c r="L341" s="10" t="s">
        <v>26</v>
      </c>
      <c r="M341" s="10" t="s">
        <v>1126</v>
      </c>
      <c r="N341" s="11">
        <v>1966.1</v>
      </c>
      <c r="O341" s="12">
        <v>8</v>
      </c>
      <c r="P341" s="13">
        <v>0.3</v>
      </c>
      <c r="Q341" s="11">
        <v>-128.91</v>
      </c>
    </row>
    <row r="342" spans="1:17" x14ac:dyDescent="0.3">
      <c r="A342" s="2" t="s">
        <v>863</v>
      </c>
      <c r="B342" s="3">
        <v>44333</v>
      </c>
      <c r="C342" s="3">
        <v>44337</v>
      </c>
      <c r="D342" s="2" t="s">
        <v>39</v>
      </c>
      <c r="E342" s="2" t="s">
        <v>864</v>
      </c>
      <c r="F342" s="4" t="s">
        <v>865</v>
      </c>
      <c r="G342" s="4" t="s">
        <v>21</v>
      </c>
      <c r="H342" s="4" t="s">
        <v>177</v>
      </c>
      <c r="I342" s="4" t="s">
        <v>178</v>
      </c>
      <c r="J342" s="4" t="s">
        <v>24</v>
      </c>
      <c r="K342" s="4" t="s">
        <v>25</v>
      </c>
      <c r="L342" s="4" t="s">
        <v>124</v>
      </c>
      <c r="M342" s="4" t="s">
        <v>866</v>
      </c>
      <c r="N342" s="5">
        <v>1418.34</v>
      </c>
      <c r="O342" s="6">
        <v>5</v>
      </c>
      <c r="P342" s="7">
        <v>0.3</v>
      </c>
      <c r="Q342" s="5">
        <v>-261.57</v>
      </c>
    </row>
    <row r="343" spans="1:17" x14ac:dyDescent="0.3">
      <c r="A343" s="8" t="s">
        <v>1127</v>
      </c>
      <c r="B343" s="9">
        <v>45156</v>
      </c>
      <c r="C343" s="9">
        <v>45159</v>
      </c>
      <c r="D343" s="8" t="s">
        <v>39</v>
      </c>
      <c r="E343" s="8" t="s">
        <v>1047</v>
      </c>
      <c r="F343" s="10" t="s">
        <v>1048</v>
      </c>
      <c r="G343" s="10" t="s">
        <v>42</v>
      </c>
      <c r="H343" s="10" t="s">
        <v>79</v>
      </c>
      <c r="I343" s="10" t="s">
        <v>80</v>
      </c>
      <c r="J343" s="10" t="s">
        <v>54</v>
      </c>
      <c r="K343" s="10" t="s">
        <v>45</v>
      </c>
      <c r="L343" s="10" t="s">
        <v>61</v>
      </c>
      <c r="M343" s="10" t="s">
        <v>1128</v>
      </c>
      <c r="N343" s="11">
        <v>1397.4</v>
      </c>
      <c r="O343" s="12">
        <v>3</v>
      </c>
      <c r="P343" s="13">
        <v>0.3</v>
      </c>
      <c r="Q343" s="11">
        <v>-554.57000000000005</v>
      </c>
    </row>
    <row r="344" spans="1:17" x14ac:dyDescent="0.3">
      <c r="A344" s="2" t="s">
        <v>1129</v>
      </c>
      <c r="B344" s="3">
        <v>44678</v>
      </c>
      <c r="C344" s="3">
        <v>44684</v>
      </c>
      <c r="D344" s="2" t="s">
        <v>29</v>
      </c>
      <c r="E344" s="2" t="s">
        <v>946</v>
      </c>
      <c r="F344" s="4" t="s">
        <v>947</v>
      </c>
      <c r="G344" s="4" t="s">
        <v>21</v>
      </c>
      <c r="H344" s="4" t="s">
        <v>156</v>
      </c>
      <c r="I344" s="4" t="s">
        <v>157</v>
      </c>
      <c r="J344" s="4" t="s">
        <v>88</v>
      </c>
      <c r="K344" s="4" t="s">
        <v>35</v>
      </c>
      <c r="L344" s="4" t="s">
        <v>36</v>
      </c>
      <c r="M344" s="4" t="s">
        <v>1130</v>
      </c>
      <c r="N344" s="5">
        <v>1018.94</v>
      </c>
      <c r="O344" s="6">
        <v>9</v>
      </c>
      <c r="P344" s="7">
        <v>0.2</v>
      </c>
      <c r="Q344" s="5">
        <v>299.92</v>
      </c>
    </row>
    <row r="345" spans="1:17" x14ac:dyDescent="0.3">
      <c r="A345" s="8" t="s">
        <v>1131</v>
      </c>
      <c r="B345" s="9">
        <v>45485</v>
      </c>
      <c r="C345" s="9">
        <v>45486</v>
      </c>
      <c r="D345" s="8" t="s">
        <v>18</v>
      </c>
      <c r="E345" s="8" t="s">
        <v>580</v>
      </c>
      <c r="F345" s="10" t="s">
        <v>581</v>
      </c>
      <c r="G345" s="10" t="s">
        <v>51</v>
      </c>
      <c r="H345" s="10" t="s">
        <v>156</v>
      </c>
      <c r="I345" s="10" t="s">
        <v>157</v>
      </c>
      <c r="J345" s="10" t="s">
        <v>88</v>
      </c>
      <c r="K345" s="10" t="s">
        <v>25</v>
      </c>
      <c r="L345" s="10" t="s">
        <v>124</v>
      </c>
      <c r="M345" s="10" t="s">
        <v>1132</v>
      </c>
      <c r="N345" s="11">
        <v>20784.259999999998</v>
      </c>
      <c r="O345" s="12">
        <v>10</v>
      </c>
      <c r="P345" s="13">
        <v>0.3</v>
      </c>
      <c r="Q345" s="11">
        <v>80.7</v>
      </c>
    </row>
    <row r="346" spans="1:17" x14ac:dyDescent="0.3">
      <c r="A346" s="2" t="s">
        <v>1133</v>
      </c>
      <c r="B346" s="3">
        <v>45248</v>
      </c>
      <c r="C346" s="3">
        <v>45253</v>
      </c>
      <c r="D346" s="2" t="s">
        <v>29</v>
      </c>
      <c r="E346" s="2" t="s">
        <v>707</v>
      </c>
      <c r="F346" s="4" t="s">
        <v>708</v>
      </c>
      <c r="G346" s="4" t="s">
        <v>51</v>
      </c>
      <c r="H346" s="4" t="s">
        <v>386</v>
      </c>
      <c r="I346" s="4" t="s">
        <v>347</v>
      </c>
      <c r="J346" s="4" t="s">
        <v>88</v>
      </c>
      <c r="K346" s="4" t="s">
        <v>45</v>
      </c>
      <c r="L346" s="4" t="s">
        <v>117</v>
      </c>
      <c r="M346" s="4" t="s">
        <v>1134</v>
      </c>
      <c r="N346" s="5">
        <v>2241.21</v>
      </c>
      <c r="O346" s="6">
        <v>7</v>
      </c>
      <c r="P346" s="7">
        <v>0.3</v>
      </c>
      <c r="Q346" s="5">
        <v>-158.65</v>
      </c>
    </row>
    <row r="347" spans="1:17" x14ac:dyDescent="0.3">
      <c r="A347" s="8" t="s">
        <v>1135</v>
      </c>
      <c r="B347" s="9">
        <v>45472</v>
      </c>
      <c r="C347" s="9">
        <v>45477</v>
      </c>
      <c r="D347" s="8" t="s">
        <v>29</v>
      </c>
      <c r="E347" s="8" t="s">
        <v>1136</v>
      </c>
      <c r="F347" s="10" t="s">
        <v>1137</v>
      </c>
      <c r="G347" s="10" t="s">
        <v>51</v>
      </c>
      <c r="H347" s="10" t="s">
        <v>386</v>
      </c>
      <c r="I347" s="10" t="s">
        <v>347</v>
      </c>
      <c r="J347" s="10" t="s">
        <v>88</v>
      </c>
      <c r="K347" s="10" t="s">
        <v>35</v>
      </c>
      <c r="L347" s="10" t="s">
        <v>216</v>
      </c>
      <c r="M347" s="10" t="s">
        <v>1138</v>
      </c>
      <c r="N347" s="11">
        <v>50.06</v>
      </c>
      <c r="O347" s="12">
        <v>3</v>
      </c>
      <c r="P347" s="13">
        <v>0.1</v>
      </c>
      <c r="Q347" s="11">
        <v>22.9</v>
      </c>
    </row>
    <row r="348" spans="1:17" x14ac:dyDescent="0.3">
      <c r="A348" s="2" t="s">
        <v>1139</v>
      </c>
      <c r="B348" s="3">
        <v>45166</v>
      </c>
      <c r="C348" s="3">
        <v>45171</v>
      </c>
      <c r="D348" s="2" t="s">
        <v>73</v>
      </c>
      <c r="E348" s="2" t="s">
        <v>137</v>
      </c>
      <c r="F348" s="4" t="s">
        <v>138</v>
      </c>
      <c r="G348" s="4" t="s">
        <v>51</v>
      </c>
      <c r="H348" s="4" t="s">
        <v>139</v>
      </c>
      <c r="I348" s="4" t="s">
        <v>140</v>
      </c>
      <c r="J348" s="4" t="s">
        <v>24</v>
      </c>
      <c r="K348" s="4" t="s">
        <v>45</v>
      </c>
      <c r="L348" s="4" t="s">
        <v>99</v>
      </c>
      <c r="M348" s="4" t="s">
        <v>1140</v>
      </c>
      <c r="N348" s="5">
        <v>1333.08</v>
      </c>
      <c r="O348" s="6">
        <v>10</v>
      </c>
      <c r="P348" s="7">
        <v>0.1</v>
      </c>
      <c r="Q348" s="5">
        <v>429.8</v>
      </c>
    </row>
    <row r="349" spans="1:17" x14ac:dyDescent="0.3">
      <c r="A349" s="8" t="s">
        <v>1141</v>
      </c>
      <c r="B349" s="9">
        <v>45603</v>
      </c>
      <c r="C349" s="9">
        <v>45604</v>
      </c>
      <c r="D349" s="8" t="s">
        <v>18</v>
      </c>
      <c r="E349" s="8" t="s">
        <v>858</v>
      </c>
      <c r="F349" s="10" t="s">
        <v>859</v>
      </c>
      <c r="G349" s="10" t="s">
        <v>51</v>
      </c>
      <c r="H349" s="10" t="s">
        <v>145</v>
      </c>
      <c r="I349" s="10" t="s">
        <v>140</v>
      </c>
      <c r="J349" s="10" t="s">
        <v>24</v>
      </c>
      <c r="K349" s="10" t="s">
        <v>35</v>
      </c>
      <c r="L349" s="10" t="s">
        <v>295</v>
      </c>
      <c r="M349" s="10" t="s">
        <v>1142</v>
      </c>
      <c r="N349" s="11">
        <v>120.87</v>
      </c>
      <c r="O349" s="12">
        <v>5</v>
      </c>
      <c r="P349" s="13">
        <v>0.15</v>
      </c>
      <c r="Q349" s="11">
        <v>39.450000000000003</v>
      </c>
    </row>
    <row r="350" spans="1:17" x14ac:dyDescent="0.3">
      <c r="A350" s="2" t="s">
        <v>1143</v>
      </c>
      <c r="B350" s="3">
        <v>44902</v>
      </c>
      <c r="C350" s="3">
        <v>44904</v>
      </c>
      <c r="D350" s="2" t="s">
        <v>39</v>
      </c>
      <c r="E350" s="2" t="s">
        <v>899</v>
      </c>
      <c r="F350" s="4" t="s">
        <v>900</v>
      </c>
      <c r="G350" s="4" t="s">
        <v>51</v>
      </c>
      <c r="H350" s="4" t="s">
        <v>319</v>
      </c>
      <c r="I350" s="4" t="s">
        <v>194</v>
      </c>
      <c r="J350" s="4" t="s">
        <v>34</v>
      </c>
      <c r="K350" s="4" t="s">
        <v>35</v>
      </c>
      <c r="L350" s="4" t="s">
        <v>166</v>
      </c>
      <c r="M350" s="4" t="s">
        <v>1144</v>
      </c>
      <c r="N350" s="5">
        <v>25.57</v>
      </c>
      <c r="O350" s="6">
        <v>1</v>
      </c>
      <c r="P350" s="7">
        <v>0.05</v>
      </c>
      <c r="Q350" s="5">
        <v>7.91</v>
      </c>
    </row>
    <row r="351" spans="1:17" x14ac:dyDescent="0.3">
      <c r="A351" s="8" t="s">
        <v>1145</v>
      </c>
      <c r="B351" s="9">
        <v>44512</v>
      </c>
      <c r="C351" s="9">
        <v>44516</v>
      </c>
      <c r="D351" s="8" t="s">
        <v>73</v>
      </c>
      <c r="E351" s="8" t="s">
        <v>543</v>
      </c>
      <c r="F351" s="10" t="s">
        <v>544</v>
      </c>
      <c r="G351" s="10" t="s">
        <v>42</v>
      </c>
      <c r="H351" s="10" t="s">
        <v>346</v>
      </c>
      <c r="I351" s="10" t="s">
        <v>347</v>
      </c>
      <c r="J351" s="10" t="s">
        <v>88</v>
      </c>
      <c r="K351" s="10" t="s">
        <v>45</v>
      </c>
      <c r="L351" s="10" t="s">
        <v>46</v>
      </c>
      <c r="M351" s="10" t="s">
        <v>1146</v>
      </c>
      <c r="N351" s="11">
        <v>279.66000000000003</v>
      </c>
      <c r="O351" s="12">
        <v>1</v>
      </c>
      <c r="P351" s="13">
        <v>0.3</v>
      </c>
      <c r="Q351" s="11">
        <v>-5.91</v>
      </c>
    </row>
    <row r="352" spans="1:17" x14ac:dyDescent="0.3">
      <c r="A352" s="2" t="s">
        <v>1147</v>
      </c>
      <c r="B352" s="3">
        <v>44922</v>
      </c>
      <c r="C352" s="3">
        <v>44926</v>
      </c>
      <c r="D352" s="2" t="s">
        <v>39</v>
      </c>
      <c r="E352" s="2" t="s">
        <v>1148</v>
      </c>
      <c r="F352" s="4" t="s">
        <v>1149</v>
      </c>
      <c r="G352" s="4" t="s">
        <v>51</v>
      </c>
      <c r="H352" s="4" t="s">
        <v>150</v>
      </c>
      <c r="I352" s="4" t="s">
        <v>151</v>
      </c>
      <c r="J352" s="4" t="s">
        <v>34</v>
      </c>
      <c r="K352" s="4" t="s">
        <v>35</v>
      </c>
      <c r="L352" s="4" t="s">
        <v>110</v>
      </c>
      <c r="M352" s="4" t="s">
        <v>1150</v>
      </c>
      <c r="N352" s="5">
        <v>184.08</v>
      </c>
      <c r="O352" s="6">
        <v>8</v>
      </c>
      <c r="P352" s="7">
        <v>0.4</v>
      </c>
      <c r="Q352" s="5">
        <v>23.08</v>
      </c>
    </row>
    <row r="353" spans="1:17" x14ac:dyDescent="0.3">
      <c r="A353" s="8" t="s">
        <v>1151</v>
      </c>
      <c r="B353" s="9">
        <v>44884</v>
      </c>
      <c r="C353" s="9">
        <v>44889</v>
      </c>
      <c r="D353" s="8" t="s">
        <v>29</v>
      </c>
      <c r="E353" s="8" t="s">
        <v>1152</v>
      </c>
      <c r="F353" s="10" t="s">
        <v>1153</v>
      </c>
      <c r="G353" s="10" t="s">
        <v>42</v>
      </c>
      <c r="H353" s="10" t="s">
        <v>1091</v>
      </c>
      <c r="I353" s="10" t="s">
        <v>23</v>
      </c>
      <c r="J353" s="10" t="s">
        <v>24</v>
      </c>
      <c r="K353" s="10" t="s">
        <v>35</v>
      </c>
      <c r="L353" s="10" t="s">
        <v>110</v>
      </c>
      <c r="M353" s="10" t="s">
        <v>1154</v>
      </c>
      <c r="N353" s="11">
        <v>110.74</v>
      </c>
      <c r="O353" s="12">
        <v>9</v>
      </c>
      <c r="P353" s="13">
        <v>0.2</v>
      </c>
      <c r="Q353" s="11">
        <v>34.1</v>
      </c>
    </row>
    <row r="354" spans="1:17" x14ac:dyDescent="0.3">
      <c r="A354" s="2" t="s">
        <v>1155</v>
      </c>
      <c r="B354" s="3">
        <v>45418</v>
      </c>
      <c r="C354" s="3">
        <v>45420</v>
      </c>
      <c r="D354" s="2" t="s">
        <v>18</v>
      </c>
      <c r="E354" s="2" t="s">
        <v>729</v>
      </c>
      <c r="F354" s="4" t="s">
        <v>730</v>
      </c>
      <c r="G354" s="4" t="s">
        <v>42</v>
      </c>
      <c r="H354" s="4" t="s">
        <v>165</v>
      </c>
      <c r="I354" s="4" t="s">
        <v>44</v>
      </c>
      <c r="J354" s="4" t="s">
        <v>24</v>
      </c>
      <c r="K354" s="4" t="s">
        <v>45</v>
      </c>
      <c r="L354" s="4" t="s">
        <v>99</v>
      </c>
      <c r="M354" s="4" t="s">
        <v>1156</v>
      </c>
      <c r="N354" s="5">
        <v>191.62</v>
      </c>
      <c r="O354" s="6">
        <v>2</v>
      </c>
      <c r="P354" s="7">
        <v>0.5</v>
      </c>
      <c r="Q354" s="5">
        <v>-44.99</v>
      </c>
    </row>
    <row r="355" spans="1:17" x14ac:dyDescent="0.3">
      <c r="A355" s="8" t="s">
        <v>1157</v>
      </c>
      <c r="B355" s="9">
        <v>44444</v>
      </c>
      <c r="C355" s="9">
        <v>44449</v>
      </c>
      <c r="D355" s="8" t="s">
        <v>29</v>
      </c>
      <c r="E355" s="8" t="s">
        <v>1158</v>
      </c>
      <c r="F355" s="10" t="s">
        <v>1159</v>
      </c>
      <c r="G355" s="10" t="s">
        <v>42</v>
      </c>
      <c r="H355" s="10" t="s">
        <v>346</v>
      </c>
      <c r="I355" s="10" t="s">
        <v>347</v>
      </c>
      <c r="J355" s="10" t="s">
        <v>88</v>
      </c>
      <c r="K355" s="10" t="s">
        <v>35</v>
      </c>
      <c r="L355" s="10" t="s">
        <v>216</v>
      </c>
      <c r="M355" s="10" t="s">
        <v>1160</v>
      </c>
      <c r="N355" s="11">
        <v>126.38</v>
      </c>
      <c r="O355" s="12">
        <v>7</v>
      </c>
      <c r="P355" s="13">
        <v>0.15</v>
      </c>
      <c r="Q355" s="11">
        <v>50.36</v>
      </c>
    </row>
    <row r="356" spans="1:17" x14ac:dyDescent="0.3">
      <c r="A356" s="2" t="s">
        <v>1161</v>
      </c>
      <c r="B356" s="3">
        <v>44280</v>
      </c>
      <c r="C356" s="3">
        <v>44286</v>
      </c>
      <c r="D356" s="2" t="s">
        <v>29</v>
      </c>
      <c r="E356" s="2" t="s">
        <v>1162</v>
      </c>
      <c r="F356" s="4" t="s">
        <v>1163</v>
      </c>
      <c r="G356" s="4" t="s">
        <v>21</v>
      </c>
      <c r="H356" s="4" t="s">
        <v>386</v>
      </c>
      <c r="I356" s="4" t="s">
        <v>347</v>
      </c>
      <c r="J356" s="4" t="s">
        <v>88</v>
      </c>
      <c r="K356" s="4" t="s">
        <v>25</v>
      </c>
      <c r="L356" s="4" t="s">
        <v>74</v>
      </c>
      <c r="M356" s="4" t="s">
        <v>1164</v>
      </c>
      <c r="N356" s="5">
        <v>331.48</v>
      </c>
      <c r="O356" s="6">
        <v>1</v>
      </c>
      <c r="P356" s="7">
        <v>0.5</v>
      </c>
      <c r="Q356" s="5">
        <v>-54.71</v>
      </c>
    </row>
    <row r="357" spans="1:17" x14ac:dyDescent="0.3">
      <c r="A357" s="8" t="s">
        <v>1165</v>
      </c>
      <c r="B357" s="9">
        <v>44799</v>
      </c>
      <c r="C357" s="9">
        <v>44803</v>
      </c>
      <c r="D357" s="8" t="s">
        <v>73</v>
      </c>
      <c r="E357" s="8" t="s">
        <v>1166</v>
      </c>
      <c r="F357" s="10" t="s">
        <v>1167</v>
      </c>
      <c r="G357" s="10" t="s">
        <v>21</v>
      </c>
      <c r="H357" s="10" t="s">
        <v>98</v>
      </c>
      <c r="I357" s="10" t="s">
        <v>80</v>
      </c>
      <c r="J357" s="10" t="s">
        <v>54</v>
      </c>
      <c r="K357" s="10" t="s">
        <v>45</v>
      </c>
      <c r="L357" s="10" t="s">
        <v>46</v>
      </c>
      <c r="M357" s="10" t="s">
        <v>1168</v>
      </c>
      <c r="N357" s="11">
        <v>5979.49</v>
      </c>
      <c r="O357" s="12">
        <v>10</v>
      </c>
      <c r="P357" s="13">
        <v>0.05</v>
      </c>
      <c r="Q357" s="11">
        <v>1531.32</v>
      </c>
    </row>
    <row r="358" spans="1:17" x14ac:dyDescent="0.3">
      <c r="A358" s="2" t="s">
        <v>1169</v>
      </c>
      <c r="B358" s="3">
        <v>45398</v>
      </c>
      <c r="C358" s="3">
        <v>45402</v>
      </c>
      <c r="D358" s="2" t="s">
        <v>39</v>
      </c>
      <c r="E358" s="2" t="s">
        <v>924</v>
      </c>
      <c r="F358" s="4" t="s">
        <v>925</v>
      </c>
      <c r="G358" s="4" t="s">
        <v>42</v>
      </c>
      <c r="H358" s="4" t="s">
        <v>79</v>
      </c>
      <c r="I358" s="4" t="s">
        <v>80</v>
      </c>
      <c r="J358" s="4" t="s">
        <v>54</v>
      </c>
      <c r="K358" s="4" t="s">
        <v>45</v>
      </c>
      <c r="L358" s="4" t="s">
        <v>61</v>
      </c>
      <c r="M358" s="4" t="s">
        <v>1170</v>
      </c>
      <c r="N358" s="5">
        <v>1063.5</v>
      </c>
      <c r="O358" s="6">
        <v>6</v>
      </c>
      <c r="P358" s="7">
        <v>0</v>
      </c>
      <c r="Q358" s="5">
        <v>96.76</v>
      </c>
    </row>
    <row r="359" spans="1:17" x14ac:dyDescent="0.3">
      <c r="A359" s="8" t="s">
        <v>1171</v>
      </c>
      <c r="B359" s="9">
        <v>44677</v>
      </c>
      <c r="C359" s="9">
        <v>44679</v>
      </c>
      <c r="D359" s="8" t="s">
        <v>18</v>
      </c>
      <c r="E359" s="8" t="s">
        <v>537</v>
      </c>
      <c r="F359" s="10" t="s">
        <v>538</v>
      </c>
      <c r="G359" s="10" t="s">
        <v>42</v>
      </c>
      <c r="H359" s="10" t="s">
        <v>115</v>
      </c>
      <c r="I359" s="10" t="s">
        <v>116</v>
      </c>
      <c r="J359" s="10" t="s">
        <v>54</v>
      </c>
      <c r="K359" s="10" t="s">
        <v>25</v>
      </c>
      <c r="L359" s="10" t="s">
        <v>26</v>
      </c>
      <c r="M359" s="10" t="s">
        <v>1172</v>
      </c>
      <c r="N359" s="11">
        <v>2566.35</v>
      </c>
      <c r="O359" s="12">
        <v>9</v>
      </c>
      <c r="P359" s="13">
        <v>0</v>
      </c>
      <c r="Q359" s="11">
        <v>697.18</v>
      </c>
    </row>
    <row r="360" spans="1:17" x14ac:dyDescent="0.3">
      <c r="A360" s="2" t="s">
        <v>1173</v>
      </c>
      <c r="B360" s="3">
        <v>44770</v>
      </c>
      <c r="C360" s="3">
        <v>44773</v>
      </c>
      <c r="D360" s="2" t="s">
        <v>39</v>
      </c>
      <c r="E360" s="2" t="s">
        <v>244</v>
      </c>
      <c r="F360" s="4" t="s">
        <v>245</v>
      </c>
      <c r="G360" s="4" t="s">
        <v>42</v>
      </c>
      <c r="H360" s="4" t="s">
        <v>79</v>
      </c>
      <c r="I360" s="4" t="s">
        <v>80</v>
      </c>
      <c r="J360" s="4" t="s">
        <v>54</v>
      </c>
      <c r="K360" s="4" t="s">
        <v>35</v>
      </c>
      <c r="L360" s="4" t="s">
        <v>216</v>
      </c>
      <c r="M360" s="4" t="s">
        <v>1174</v>
      </c>
      <c r="N360" s="5">
        <v>78.08</v>
      </c>
      <c r="O360" s="6">
        <v>3</v>
      </c>
      <c r="P360" s="7">
        <v>0.1</v>
      </c>
      <c r="Q360" s="5">
        <v>35.06</v>
      </c>
    </row>
    <row r="361" spans="1:17" x14ac:dyDescent="0.3">
      <c r="A361" s="8" t="s">
        <v>1175</v>
      </c>
      <c r="B361" s="9">
        <v>44843</v>
      </c>
      <c r="C361" s="9">
        <v>44848</v>
      </c>
      <c r="D361" s="8" t="s">
        <v>29</v>
      </c>
      <c r="E361" s="8" t="s">
        <v>642</v>
      </c>
      <c r="F361" s="10" t="s">
        <v>643</v>
      </c>
      <c r="G361" s="10" t="s">
        <v>51</v>
      </c>
      <c r="H361" s="10" t="s">
        <v>171</v>
      </c>
      <c r="I361" s="10" t="s">
        <v>172</v>
      </c>
      <c r="J361" s="10" t="s">
        <v>24</v>
      </c>
      <c r="K361" s="10" t="s">
        <v>35</v>
      </c>
      <c r="L361" s="10" t="s">
        <v>36</v>
      </c>
      <c r="M361" s="10" t="s">
        <v>1176</v>
      </c>
      <c r="N361" s="11">
        <v>534.29999999999995</v>
      </c>
      <c r="O361" s="12">
        <v>5</v>
      </c>
      <c r="P361" s="13">
        <v>0.5</v>
      </c>
      <c r="Q361" s="11">
        <v>-123.95</v>
      </c>
    </row>
    <row r="362" spans="1:17" x14ac:dyDescent="0.3">
      <c r="A362" s="2" t="s">
        <v>1177</v>
      </c>
      <c r="B362" s="3">
        <v>45193</v>
      </c>
      <c r="C362" s="3">
        <v>45196</v>
      </c>
      <c r="D362" s="2" t="s">
        <v>39</v>
      </c>
      <c r="E362" s="2" t="s">
        <v>797</v>
      </c>
      <c r="F362" s="4" t="s">
        <v>798</v>
      </c>
      <c r="G362" s="4" t="s">
        <v>51</v>
      </c>
      <c r="H362" s="4" t="s">
        <v>59</v>
      </c>
      <c r="I362" s="4" t="s">
        <v>60</v>
      </c>
      <c r="J362" s="4" t="s">
        <v>54</v>
      </c>
      <c r="K362" s="4" t="s">
        <v>35</v>
      </c>
      <c r="L362" s="4" t="s">
        <v>158</v>
      </c>
      <c r="M362" s="4" t="s">
        <v>1178</v>
      </c>
      <c r="N362" s="5">
        <v>806.44</v>
      </c>
      <c r="O362" s="6">
        <v>9</v>
      </c>
      <c r="P362" s="7">
        <v>0.4</v>
      </c>
      <c r="Q362" s="5">
        <v>-74.31</v>
      </c>
    </row>
    <row r="363" spans="1:17" x14ac:dyDescent="0.3">
      <c r="A363" s="8" t="s">
        <v>1179</v>
      </c>
      <c r="B363" s="9">
        <v>44568</v>
      </c>
      <c r="C363" s="9">
        <v>44575</v>
      </c>
      <c r="D363" s="8" t="s">
        <v>29</v>
      </c>
      <c r="E363" s="8" t="s">
        <v>227</v>
      </c>
      <c r="F363" s="10" t="s">
        <v>228</v>
      </c>
      <c r="G363" s="10" t="s">
        <v>51</v>
      </c>
      <c r="H363" s="10" t="s">
        <v>98</v>
      </c>
      <c r="I363" s="10" t="s">
        <v>80</v>
      </c>
      <c r="J363" s="10" t="s">
        <v>54</v>
      </c>
      <c r="K363" s="10" t="s">
        <v>35</v>
      </c>
      <c r="L363" s="10" t="s">
        <v>295</v>
      </c>
      <c r="M363" s="10" t="s">
        <v>1180</v>
      </c>
      <c r="N363" s="11">
        <v>27.95</v>
      </c>
      <c r="O363" s="12">
        <v>1</v>
      </c>
      <c r="P363" s="13">
        <v>0.5</v>
      </c>
      <c r="Q363" s="11">
        <v>-4.12</v>
      </c>
    </row>
    <row r="364" spans="1:17" x14ac:dyDescent="0.3">
      <c r="A364" s="2" t="s">
        <v>1181</v>
      </c>
      <c r="B364" s="3">
        <v>45164</v>
      </c>
      <c r="C364" s="3">
        <v>45171</v>
      </c>
      <c r="D364" s="2" t="s">
        <v>29</v>
      </c>
      <c r="E364" s="2" t="s">
        <v>1078</v>
      </c>
      <c r="F364" s="4" t="s">
        <v>1079</v>
      </c>
      <c r="G364" s="4" t="s">
        <v>42</v>
      </c>
      <c r="H364" s="4" t="s">
        <v>115</v>
      </c>
      <c r="I364" s="4" t="s">
        <v>116</v>
      </c>
      <c r="J364" s="4" t="s">
        <v>54</v>
      </c>
      <c r="K364" s="4" t="s">
        <v>25</v>
      </c>
      <c r="L364" s="4" t="s">
        <v>124</v>
      </c>
      <c r="M364" s="4" t="s">
        <v>1182</v>
      </c>
      <c r="N364" s="5">
        <v>2660.39</v>
      </c>
      <c r="O364" s="6">
        <v>1</v>
      </c>
      <c r="P364" s="7">
        <v>0</v>
      </c>
      <c r="Q364" s="5">
        <v>702</v>
      </c>
    </row>
    <row r="365" spans="1:17" x14ac:dyDescent="0.3">
      <c r="A365" s="8" t="s">
        <v>1183</v>
      </c>
      <c r="B365" s="9">
        <v>45184</v>
      </c>
      <c r="C365" s="9">
        <v>45190</v>
      </c>
      <c r="D365" s="8" t="s">
        <v>29</v>
      </c>
      <c r="E365" s="8" t="s">
        <v>1184</v>
      </c>
      <c r="F365" s="10" t="s">
        <v>1185</v>
      </c>
      <c r="G365" s="10" t="s">
        <v>51</v>
      </c>
      <c r="H365" s="10" t="s">
        <v>22</v>
      </c>
      <c r="I365" s="10" t="s">
        <v>23</v>
      </c>
      <c r="J365" s="10" t="s">
        <v>24</v>
      </c>
      <c r="K365" s="10" t="s">
        <v>35</v>
      </c>
      <c r="L365" s="10" t="s">
        <v>295</v>
      </c>
      <c r="M365" s="10" t="s">
        <v>1186</v>
      </c>
      <c r="N365" s="11">
        <v>300.3</v>
      </c>
      <c r="O365" s="12">
        <v>7</v>
      </c>
      <c r="P365" s="13">
        <v>0</v>
      </c>
      <c r="Q365" s="11">
        <v>134.79</v>
      </c>
    </row>
    <row r="366" spans="1:17" x14ac:dyDescent="0.3">
      <c r="A366" s="2" t="s">
        <v>1187</v>
      </c>
      <c r="B366" s="3">
        <v>44353</v>
      </c>
      <c r="C366" s="3">
        <v>44355</v>
      </c>
      <c r="D366" s="2" t="s">
        <v>18</v>
      </c>
      <c r="E366" s="2" t="s">
        <v>472</v>
      </c>
      <c r="F366" s="4" t="s">
        <v>473</v>
      </c>
      <c r="G366" s="4" t="s">
        <v>51</v>
      </c>
      <c r="H366" s="4" t="s">
        <v>32</v>
      </c>
      <c r="I366" s="4" t="s">
        <v>33</v>
      </c>
      <c r="J366" s="4" t="s">
        <v>34</v>
      </c>
      <c r="K366" s="4" t="s">
        <v>35</v>
      </c>
      <c r="L366" s="4" t="s">
        <v>110</v>
      </c>
      <c r="M366" s="4" t="s">
        <v>1188</v>
      </c>
      <c r="N366" s="5">
        <v>39</v>
      </c>
      <c r="O366" s="6">
        <v>10</v>
      </c>
      <c r="P366" s="7">
        <v>0.5</v>
      </c>
      <c r="Q366" s="5">
        <v>1.1399999999999999</v>
      </c>
    </row>
    <row r="367" spans="1:17" x14ac:dyDescent="0.3">
      <c r="A367" s="8" t="s">
        <v>1189</v>
      </c>
      <c r="B367" s="9">
        <v>44789</v>
      </c>
      <c r="C367" s="9">
        <v>44792</v>
      </c>
      <c r="D367" s="8" t="s">
        <v>39</v>
      </c>
      <c r="E367" s="8" t="s">
        <v>197</v>
      </c>
      <c r="F367" s="10" t="s">
        <v>198</v>
      </c>
      <c r="G367" s="10" t="s">
        <v>21</v>
      </c>
      <c r="H367" s="10" t="s">
        <v>129</v>
      </c>
      <c r="I367" s="10" t="s">
        <v>33</v>
      </c>
      <c r="J367" s="10" t="s">
        <v>34</v>
      </c>
      <c r="K367" s="10" t="s">
        <v>25</v>
      </c>
      <c r="L367" s="10" t="s">
        <v>26</v>
      </c>
      <c r="M367" s="10" t="s">
        <v>1190</v>
      </c>
      <c r="N367" s="11">
        <v>9448.7999999999993</v>
      </c>
      <c r="O367" s="12">
        <v>10</v>
      </c>
      <c r="P367" s="13">
        <v>0</v>
      </c>
      <c r="Q367" s="11">
        <v>1989.04</v>
      </c>
    </row>
    <row r="368" spans="1:17" x14ac:dyDescent="0.3">
      <c r="A368" s="2" t="s">
        <v>1191</v>
      </c>
      <c r="B368" s="3">
        <v>45146</v>
      </c>
      <c r="C368" s="3">
        <v>45147</v>
      </c>
      <c r="D368" s="2" t="s">
        <v>18</v>
      </c>
      <c r="E368" s="2" t="s">
        <v>642</v>
      </c>
      <c r="F368" s="4" t="s">
        <v>643</v>
      </c>
      <c r="G368" s="4" t="s">
        <v>51</v>
      </c>
      <c r="H368" s="4" t="s">
        <v>171</v>
      </c>
      <c r="I368" s="4" t="s">
        <v>172</v>
      </c>
      <c r="J368" s="4" t="s">
        <v>24</v>
      </c>
      <c r="K368" s="4" t="s">
        <v>45</v>
      </c>
      <c r="L368" s="4" t="s">
        <v>61</v>
      </c>
      <c r="M368" s="4" t="s">
        <v>1192</v>
      </c>
      <c r="N368" s="5">
        <v>201.32</v>
      </c>
      <c r="O368" s="6">
        <v>1</v>
      </c>
      <c r="P368" s="7">
        <v>0.4</v>
      </c>
      <c r="Q368" s="5">
        <v>-122.34</v>
      </c>
    </row>
    <row r="369" spans="1:17" x14ac:dyDescent="0.3">
      <c r="A369" s="8" t="s">
        <v>1193</v>
      </c>
      <c r="B369" s="9">
        <v>44402</v>
      </c>
      <c r="C369" s="9">
        <v>44407</v>
      </c>
      <c r="D369" s="8" t="s">
        <v>73</v>
      </c>
      <c r="E369" s="8" t="s">
        <v>654</v>
      </c>
      <c r="F369" s="10" t="s">
        <v>655</v>
      </c>
      <c r="G369" s="10" t="s">
        <v>21</v>
      </c>
      <c r="H369" s="10" t="s">
        <v>66</v>
      </c>
      <c r="I369" s="10" t="s">
        <v>67</v>
      </c>
      <c r="J369" s="10" t="s">
        <v>34</v>
      </c>
      <c r="K369" s="10" t="s">
        <v>35</v>
      </c>
      <c r="L369" s="10" t="s">
        <v>166</v>
      </c>
      <c r="M369" s="10" t="s">
        <v>1194</v>
      </c>
      <c r="N369" s="11">
        <v>437.95</v>
      </c>
      <c r="O369" s="12">
        <v>10</v>
      </c>
      <c r="P369" s="13">
        <v>0.05</v>
      </c>
      <c r="Q369" s="11">
        <v>80.290000000000006</v>
      </c>
    </row>
    <row r="370" spans="1:17" x14ac:dyDescent="0.3">
      <c r="A370" s="2" t="s">
        <v>1195</v>
      </c>
      <c r="B370" s="3">
        <v>45344</v>
      </c>
      <c r="C370" s="3">
        <v>45345</v>
      </c>
      <c r="D370" s="2" t="s">
        <v>18</v>
      </c>
      <c r="E370" s="2" t="s">
        <v>682</v>
      </c>
      <c r="F370" s="4" t="s">
        <v>683</v>
      </c>
      <c r="G370" s="4" t="s">
        <v>21</v>
      </c>
      <c r="H370" s="4" t="s">
        <v>66</v>
      </c>
      <c r="I370" s="4" t="s">
        <v>67</v>
      </c>
      <c r="J370" s="4" t="s">
        <v>34</v>
      </c>
      <c r="K370" s="4" t="s">
        <v>25</v>
      </c>
      <c r="L370" s="4" t="s">
        <v>68</v>
      </c>
      <c r="M370" s="4" t="s">
        <v>987</v>
      </c>
      <c r="N370" s="5">
        <v>893.12</v>
      </c>
      <c r="O370" s="6">
        <v>9</v>
      </c>
      <c r="P370" s="7">
        <v>0.5</v>
      </c>
      <c r="Q370" s="5">
        <v>-108</v>
      </c>
    </row>
    <row r="371" spans="1:17" x14ac:dyDescent="0.3">
      <c r="A371" s="8" t="s">
        <v>1196</v>
      </c>
      <c r="B371" s="9">
        <v>45141</v>
      </c>
      <c r="C371" s="9">
        <v>45145</v>
      </c>
      <c r="D371" s="8" t="s">
        <v>73</v>
      </c>
      <c r="E371" s="8" t="s">
        <v>298</v>
      </c>
      <c r="F371" s="10" t="s">
        <v>299</v>
      </c>
      <c r="G371" s="10" t="s">
        <v>21</v>
      </c>
      <c r="H371" s="10" t="s">
        <v>300</v>
      </c>
      <c r="I371" s="10" t="s">
        <v>184</v>
      </c>
      <c r="J371" s="10" t="s">
        <v>54</v>
      </c>
      <c r="K371" s="10" t="s">
        <v>45</v>
      </c>
      <c r="L371" s="10" t="s">
        <v>99</v>
      </c>
      <c r="M371" s="10" t="s">
        <v>1197</v>
      </c>
      <c r="N371" s="11">
        <v>169.88</v>
      </c>
      <c r="O371" s="12">
        <v>5</v>
      </c>
      <c r="P371" s="13">
        <v>0.5</v>
      </c>
      <c r="Q371" s="11">
        <v>-84.37</v>
      </c>
    </row>
    <row r="372" spans="1:17" x14ac:dyDescent="0.3">
      <c r="A372" s="2" t="s">
        <v>1198</v>
      </c>
      <c r="B372" s="3">
        <v>44967</v>
      </c>
      <c r="C372" s="3">
        <v>44970</v>
      </c>
      <c r="D372" s="2" t="s">
        <v>39</v>
      </c>
      <c r="E372" s="2" t="s">
        <v>120</v>
      </c>
      <c r="F372" s="4" t="s">
        <v>121</v>
      </c>
      <c r="G372" s="4" t="s">
        <v>21</v>
      </c>
      <c r="H372" s="4" t="s">
        <v>122</v>
      </c>
      <c r="I372" s="4" t="s">
        <v>123</v>
      </c>
      <c r="J372" s="4" t="s">
        <v>24</v>
      </c>
      <c r="K372" s="4" t="s">
        <v>25</v>
      </c>
      <c r="L372" s="4" t="s">
        <v>68</v>
      </c>
      <c r="M372" s="4" t="s">
        <v>1199</v>
      </c>
      <c r="N372" s="5">
        <v>898.72</v>
      </c>
      <c r="O372" s="6">
        <v>8</v>
      </c>
      <c r="P372" s="7">
        <v>0</v>
      </c>
      <c r="Q372" s="5">
        <v>380.63</v>
      </c>
    </row>
    <row r="373" spans="1:17" x14ac:dyDescent="0.3">
      <c r="A373" s="8" t="s">
        <v>1200</v>
      </c>
      <c r="B373" s="9">
        <v>44533</v>
      </c>
      <c r="C373" s="9">
        <v>44534</v>
      </c>
      <c r="D373" s="8" t="s">
        <v>18</v>
      </c>
      <c r="E373" s="8" t="s">
        <v>1201</v>
      </c>
      <c r="F373" s="10" t="s">
        <v>1202</v>
      </c>
      <c r="G373" s="10" t="s">
        <v>51</v>
      </c>
      <c r="H373" s="10" t="s">
        <v>530</v>
      </c>
      <c r="I373" s="10" t="s">
        <v>373</v>
      </c>
      <c r="J373" s="10" t="s">
        <v>34</v>
      </c>
      <c r="K373" s="10" t="s">
        <v>45</v>
      </c>
      <c r="L373" s="10" t="s">
        <v>46</v>
      </c>
      <c r="M373" s="10" t="s">
        <v>1203</v>
      </c>
      <c r="N373" s="11">
        <v>676.99</v>
      </c>
      <c r="O373" s="12">
        <v>6</v>
      </c>
      <c r="P373" s="13">
        <v>0.2</v>
      </c>
      <c r="Q373" s="11">
        <v>61.68</v>
      </c>
    </row>
    <row r="374" spans="1:17" x14ac:dyDescent="0.3">
      <c r="A374" s="2" t="s">
        <v>1204</v>
      </c>
      <c r="B374" s="3">
        <v>45635</v>
      </c>
      <c r="C374" s="3">
        <v>45636</v>
      </c>
      <c r="D374" s="2" t="s">
        <v>18</v>
      </c>
      <c r="E374" s="2" t="s">
        <v>500</v>
      </c>
      <c r="F374" s="4" t="s">
        <v>501</v>
      </c>
      <c r="G374" s="4" t="s">
        <v>21</v>
      </c>
      <c r="H374" s="4" t="s">
        <v>104</v>
      </c>
      <c r="I374" s="4" t="s">
        <v>105</v>
      </c>
      <c r="J374" s="4" t="s">
        <v>88</v>
      </c>
      <c r="K374" s="4" t="s">
        <v>25</v>
      </c>
      <c r="L374" s="4" t="s">
        <v>74</v>
      </c>
      <c r="M374" s="4" t="s">
        <v>1205</v>
      </c>
      <c r="N374" s="5">
        <v>5138.25</v>
      </c>
      <c r="O374" s="6">
        <v>10</v>
      </c>
      <c r="P374" s="7">
        <v>0.15</v>
      </c>
      <c r="Q374" s="5">
        <v>1221.58</v>
      </c>
    </row>
    <row r="375" spans="1:17" x14ac:dyDescent="0.3">
      <c r="A375" s="8" t="s">
        <v>1206</v>
      </c>
      <c r="B375" s="9">
        <v>45293</v>
      </c>
      <c r="C375" s="9">
        <v>45297</v>
      </c>
      <c r="D375" s="8" t="s">
        <v>73</v>
      </c>
      <c r="E375" s="8" t="s">
        <v>258</v>
      </c>
      <c r="F375" s="10" t="s">
        <v>259</v>
      </c>
      <c r="G375" s="10" t="s">
        <v>51</v>
      </c>
      <c r="H375" s="10" t="s">
        <v>260</v>
      </c>
      <c r="I375" s="10" t="s">
        <v>151</v>
      </c>
      <c r="J375" s="10" t="s">
        <v>34</v>
      </c>
      <c r="K375" s="10" t="s">
        <v>35</v>
      </c>
      <c r="L375" s="10" t="s">
        <v>295</v>
      </c>
      <c r="M375" s="10" t="s">
        <v>1207</v>
      </c>
      <c r="N375" s="11">
        <v>43.44</v>
      </c>
      <c r="O375" s="12">
        <v>1</v>
      </c>
      <c r="P375" s="13">
        <v>0.1</v>
      </c>
      <c r="Q375" s="11">
        <v>22.69</v>
      </c>
    </row>
    <row r="376" spans="1:17" x14ac:dyDescent="0.3">
      <c r="A376" s="2" t="s">
        <v>1208</v>
      </c>
      <c r="B376" s="3">
        <v>44310</v>
      </c>
      <c r="C376" s="3">
        <v>44315</v>
      </c>
      <c r="D376" s="2" t="s">
        <v>29</v>
      </c>
      <c r="E376" s="2" t="s">
        <v>692</v>
      </c>
      <c r="F376" s="4" t="s">
        <v>693</v>
      </c>
      <c r="G376" s="4" t="s">
        <v>21</v>
      </c>
      <c r="H376" s="4" t="s">
        <v>694</v>
      </c>
      <c r="I376" s="4" t="s">
        <v>67</v>
      </c>
      <c r="J376" s="4" t="s">
        <v>34</v>
      </c>
      <c r="K376" s="4" t="s">
        <v>45</v>
      </c>
      <c r="L376" s="4" t="s">
        <v>99</v>
      </c>
      <c r="M376" s="4" t="s">
        <v>1209</v>
      </c>
      <c r="N376" s="5">
        <v>436.95</v>
      </c>
      <c r="O376" s="6">
        <v>5</v>
      </c>
      <c r="P376" s="7">
        <v>0.05</v>
      </c>
      <c r="Q376" s="5">
        <v>159.4</v>
      </c>
    </row>
    <row r="377" spans="1:17" x14ac:dyDescent="0.3">
      <c r="A377" s="8" t="s">
        <v>1210</v>
      </c>
      <c r="B377" s="9">
        <v>45044</v>
      </c>
      <c r="C377" s="9">
        <v>45050</v>
      </c>
      <c r="D377" s="8" t="s">
        <v>29</v>
      </c>
      <c r="E377" s="8" t="s">
        <v>969</v>
      </c>
      <c r="F377" s="10" t="s">
        <v>970</v>
      </c>
      <c r="G377" s="10" t="s">
        <v>42</v>
      </c>
      <c r="H377" s="10" t="s">
        <v>79</v>
      </c>
      <c r="I377" s="10" t="s">
        <v>80</v>
      </c>
      <c r="J377" s="10" t="s">
        <v>54</v>
      </c>
      <c r="K377" s="10" t="s">
        <v>35</v>
      </c>
      <c r="L377" s="10" t="s">
        <v>216</v>
      </c>
      <c r="M377" s="10" t="s">
        <v>1211</v>
      </c>
      <c r="N377" s="11">
        <v>90.08</v>
      </c>
      <c r="O377" s="12">
        <v>4</v>
      </c>
      <c r="P377" s="13">
        <v>0.5</v>
      </c>
      <c r="Q377" s="11">
        <v>-23.39</v>
      </c>
    </row>
    <row r="378" spans="1:17" x14ac:dyDescent="0.3">
      <c r="A378" s="2" t="s">
        <v>1212</v>
      </c>
      <c r="B378" s="3">
        <v>45573</v>
      </c>
      <c r="C378" s="3">
        <v>45577</v>
      </c>
      <c r="D378" s="2" t="s">
        <v>73</v>
      </c>
      <c r="E378" s="2" t="s">
        <v>232</v>
      </c>
      <c r="F378" s="4" t="s">
        <v>233</v>
      </c>
      <c r="G378" s="4" t="s">
        <v>21</v>
      </c>
      <c r="H378" s="4" t="s">
        <v>156</v>
      </c>
      <c r="I378" s="4" t="s">
        <v>157</v>
      </c>
      <c r="J378" s="4" t="s">
        <v>88</v>
      </c>
      <c r="K378" s="4" t="s">
        <v>25</v>
      </c>
      <c r="L378" s="4" t="s">
        <v>124</v>
      </c>
      <c r="M378" s="4" t="s">
        <v>1213</v>
      </c>
      <c r="N378" s="5">
        <v>8277.08</v>
      </c>
      <c r="O378" s="6">
        <v>5</v>
      </c>
      <c r="P378" s="7">
        <v>0.5</v>
      </c>
      <c r="Q378" s="5">
        <v>-4377.3599999999997</v>
      </c>
    </row>
    <row r="379" spans="1:17" x14ac:dyDescent="0.3">
      <c r="A379" s="8" t="s">
        <v>1214</v>
      </c>
      <c r="B379" s="9">
        <v>44909</v>
      </c>
      <c r="C379" s="9">
        <v>44912</v>
      </c>
      <c r="D379" s="8" t="s">
        <v>73</v>
      </c>
      <c r="E379" s="8" t="s">
        <v>181</v>
      </c>
      <c r="F379" s="10" t="s">
        <v>182</v>
      </c>
      <c r="G379" s="10" t="s">
        <v>21</v>
      </c>
      <c r="H379" s="10" t="s">
        <v>183</v>
      </c>
      <c r="I379" s="10" t="s">
        <v>184</v>
      </c>
      <c r="J379" s="10" t="s">
        <v>54</v>
      </c>
      <c r="K379" s="10" t="s">
        <v>45</v>
      </c>
      <c r="L379" s="10" t="s">
        <v>61</v>
      </c>
      <c r="M379" s="10" t="s">
        <v>1215</v>
      </c>
      <c r="N379" s="11">
        <v>985.74</v>
      </c>
      <c r="O379" s="12">
        <v>3</v>
      </c>
      <c r="P379" s="13">
        <v>0.5</v>
      </c>
      <c r="Q379" s="11">
        <v>-749.97</v>
      </c>
    </row>
    <row r="380" spans="1:17" x14ac:dyDescent="0.3">
      <c r="A380" s="2" t="s">
        <v>1216</v>
      </c>
      <c r="B380" s="3">
        <v>44610</v>
      </c>
      <c r="C380" s="3">
        <v>44616</v>
      </c>
      <c r="D380" s="2" t="s">
        <v>29</v>
      </c>
      <c r="E380" s="2" t="s">
        <v>890</v>
      </c>
      <c r="F380" s="4" t="s">
        <v>891</v>
      </c>
      <c r="G380" s="4" t="s">
        <v>42</v>
      </c>
      <c r="H380" s="4" t="s">
        <v>22</v>
      </c>
      <c r="I380" s="4" t="s">
        <v>23</v>
      </c>
      <c r="J380" s="4" t="s">
        <v>24</v>
      </c>
      <c r="K380" s="4" t="s">
        <v>45</v>
      </c>
      <c r="L380" s="4" t="s">
        <v>46</v>
      </c>
      <c r="M380" s="4" t="s">
        <v>1217</v>
      </c>
      <c r="N380" s="5">
        <v>2044.02</v>
      </c>
      <c r="O380" s="6">
        <v>3</v>
      </c>
      <c r="P380" s="7">
        <v>0</v>
      </c>
      <c r="Q380" s="5">
        <v>593.26</v>
      </c>
    </row>
    <row r="381" spans="1:17" x14ac:dyDescent="0.3">
      <c r="A381" s="8" t="s">
        <v>1218</v>
      </c>
      <c r="B381" s="9">
        <v>45035</v>
      </c>
      <c r="C381" s="9">
        <v>45040</v>
      </c>
      <c r="D381" s="8" t="s">
        <v>29</v>
      </c>
      <c r="E381" s="8" t="s">
        <v>1219</v>
      </c>
      <c r="F381" s="10" t="s">
        <v>1220</v>
      </c>
      <c r="G381" s="10" t="s">
        <v>21</v>
      </c>
      <c r="H381" s="10" t="s">
        <v>438</v>
      </c>
      <c r="I381" s="10" t="s">
        <v>157</v>
      </c>
      <c r="J381" s="10" t="s">
        <v>88</v>
      </c>
      <c r="K381" s="10" t="s">
        <v>45</v>
      </c>
      <c r="L381" s="10" t="s">
        <v>46</v>
      </c>
      <c r="M381" s="10" t="s">
        <v>1221</v>
      </c>
      <c r="N381" s="11">
        <v>1452.91</v>
      </c>
      <c r="O381" s="12">
        <v>8</v>
      </c>
      <c r="P381" s="13">
        <v>0.4</v>
      </c>
      <c r="Q381" s="11">
        <v>-86.52</v>
      </c>
    </row>
    <row r="382" spans="1:17" x14ac:dyDescent="0.3">
      <c r="A382" s="2" t="s">
        <v>1222</v>
      </c>
      <c r="B382" s="3">
        <v>45657</v>
      </c>
      <c r="C382" s="3">
        <v>45660</v>
      </c>
      <c r="D382" s="2" t="s">
        <v>18</v>
      </c>
      <c r="E382" s="2" t="s">
        <v>924</v>
      </c>
      <c r="F382" s="4" t="s">
        <v>925</v>
      </c>
      <c r="G382" s="4" t="s">
        <v>42</v>
      </c>
      <c r="H382" s="4" t="s">
        <v>79</v>
      </c>
      <c r="I382" s="4" t="s">
        <v>80</v>
      </c>
      <c r="J382" s="4" t="s">
        <v>54</v>
      </c>
      <c r="K382" s="4" t="s">
        <v>45</v>
      </c>
      <c r="L382" s="4" t="s">
        <v>61</v>
      </c>
      <c r="M382" s="4" t="s">
        <v>1223</v>
      </c>
      <c r="N382" s="5">
        <v>991.49</v>
      </c>
      <c r="O382" s="6">
        <v>6</v>
      </c>
      <c r="P382" s="7">
        <v>0.2</v>
      </c>
      <c r="Q382" s="5">
        <v>-160.99</v>
      </c>
    </row>
    <row r="383" spans="1:17" x14ac:dyDescent="0.3">
      <c r="A383" s="8" t="s">
        <v>1224</v>
      </c>
      <c r="B383" s="9">
        <v>45187</v>
      </c>
      <c r="C383" s="9">
        <v>45189</v>
      </c>
      <c r="D383" s="8" t="s">
        <v>39</v>
      </c>
      <c r="E383" s="8" t="s">
        <v>570</v>
      </c>
      <c r="F383" s="10" t="s">
        <v>571</v>
      </c>
      <c r="G383" s="10" t="s">
        <v>21</v>
      </c>
      <c r="H383" s="10" t="s">
        <v>66</v>
      </c>
      <c r="I383" s="10" t="s">
        <v>67</v>
      </c>
      <c r="J383" s="10" t="s">
        <v>34</v>
      </c>
      <c r="K383" s="10" t="s">
        <v>45</v>
      </c>
      <c r="L383" s="10" t="s">
        <v>117</v>
      </c>
      <c r="M383" s="10" t="s">
        <v>1225</v>
      </c>
      <c r="N383" s="11">
        <v>3615</v>
      </c>
      <c r="O383" s="12">
        <v>10</v>
      </c>
      <c r="P383" s="13">
        <v>0</v>
      </c>
      <c r="Q383" s="11">
        <v>875.74</v>
      </c>
    </row>
    <row r="384" spans="1:17" x14ac:dyDescent="0.3">
      <c r="A384" s="2" t="s">
        <v>1226</v>
      </c>
      <c r="B384" s="3">
        <v>44282</v>
      </c>
      <c r="C384" s="3">
        <v>44285</v>
      </c>
      <c r="D384" s="2" t="s">
        <v>73</v>
      </c>
      <c r="E384" s="2" t="s">
        <v>163</v>
      </c>
      <c r="F384" s="4" t="s">
        <v>164</v>
      </c>
      <c r="G384" s="4" t="s">
        <v>21</v>
      </c>
      <c r="H384" s="4" t="s">
        <v>165</v>
      </c>
      <c r="I384" s="4" t="s">
        <v>44</v>
      </c>
      <c r="J384" s="4" t="s">
        <v>24</v>
      </c>
      <c r="K384" s="4" t="s">
        <v>45</v>
      </c>
      <c r="L384" s="4" t="s">
        <v>46</v>
      </c>
      <c r="M384" s="4" t="s">
        <v>1227</v>
      </c>
      <c r="N384" s="5">
        <v>1339.76</v>
      </c>
      <c r="O384" s="6">
        <v>9</v>
      </c>
      <c r="P384" s="7">
        <v>0.3</v>
      </c>
      <c r="Q384" s="5">
        <v>71.23</v>
      </c>
    </row>
    <row r="385" spans="1:17" x14ac:dyDescent="0.3">
      <c r="A385" s="8" t="s">
        <v>1228</v>
      </c>
      <c r="B385" s="9">
        <v>45448</v>
      </c>
      <c r="C385" s="9">
        <v>45451</v>
      </c>
      <c r="D385" s="8" t="s">
        <v>39</v>
      </c>
      <c r="E385" s="8" t="s">
        <v>745</v>
      </c>
      <c r="F385" s="10" t="s">
        <v>746</v>
      </c>
      <c r="G385" s="10" t="s">
        <v>51</v>
      </c>
      <c r="H385" s="10" t="s">
        <v>465</v>
      </c>
      <c r="I385" s="10" t="s">
        <v>423</v>
      </c>
      <c r="J385" s="10" t="s">
        <v>88</v>
      </c>
      <c r="K385" s="10" t="s">
        <v>45</v>
      </c>
      <c r="L385" s="10" t="s">
        <v>99</v>
      </c>
      <c r="M385" s="10" t="s">
        <v>1229</v>
      </c>
      <c r="N385" s="11">
        <v>230</v>
      </c>
      <c r="O385" s="12">
        <v>10</v>
      </c>
      <c r="P385" s="13">
        <v>0.05</v>
      </c>
      <c r="Q385" s="11">
        <v>51.69</v>
      </c>
    </row>
    <row r="386" spans="1:17" x14ac:dyDescent="0.3">
      <c r="A386" s="2" t="s">
        <v>1230</v>
      </c>
      <c r="B386" s="3">
        <v>44710</v>
      </c>
      <c r="C386" s="3">
        <v>44715</v>
      </c>
      <c r="D386" s="2" t="s">
        <v>29</v>
      </c>
      <c r="E386" s="2" t="s">
        <v>143</v>
      </c>
      <c r="F386" s="4" t="s">
        <v>144</v>
      </c>
      <c r="G386" s="4" t="s">
        <v>21</v>
      </c>
      <c r="H386" s="4" t="s">
        <v>145</v>
      </c>
      <c r="I386" s="4" t="s">
        <v>140</v>
      </c>
      <c r="J386" s="4" t="s">
        <v>24</v>
      </c>
      <c r="K386" s="4" t="s">
        <v>35</v>
      </c>
      <c r="L386" s="4" t="s">
        <v>295</v>
      </c>
      <c r="M386" s="4" t="s">
        <v>1231</v>
      </c>
      <c r="N386" s="5">
        <v>33.57</v>
      </c>
      <c r="O386" s="6">
        <v>5</v>
      </c>
      <c r="P386" s="7">
        <v>0.15</v>
      </c>
      <c r="Q386" s="5">
        <v>15.28</v>
      </c>
    </row>
    <row r="387" spans="1:17" x14ac:dyDescent="0.3">
      <c r="A387" s="8" t="s">
        <v>1232</v>
      </c>
      <c r="B387" s="9">
        <v>45245</v>
      </c>
      <c r="C387" s="9">
        <v>45248</v>
      </c>
      <c r="D387" s="8" t="s">
        <v>73</v>
      </c>
      <c r="E387" s="8" t="s">
        <v>975</v>
      </c>
      <c r="F387" s="10" t="s">
        <v>976</v>
      </c>
      <c r="G387" s="10" t="s">
        <v>51</v>
      </c>
      <c r="H387" s="10" t="s">
        <v>459</v>
      </c>
      <c r="I387" s="10" t="s">
        <v>460</v>
      </c>
      <c r="J387" s="10" t="s">
        <v>54</v>
      </c>
      <c r="K387" s="10" t="s">
        <v>35</v>
      </c>
      <c r="L387" s="10" t="s">
        <v>216</v>
      </c>
      <c r="M387" s="10" t="s">
        <v>1233</v>
      </c>
      <c r="N387" s="11">
        <v>8.39</v>
      </c>
      <c r="O387" s="12">
        <v>1</v>
      </c>
      <c r="P387" s="13">
        <v>0.4</v>
      </c>
      <c r="Q387" s="11">
        <v>1.76</v>
      </c>
    </row>
    <row r="388" spans="1:17" x14ac:dyDescent="0.3">
      <c r="A388" s="2" t="s">
        <v>1234</v>
      </c>
      <c r="B388" s="3">
        <v>45104</v>
      </c>
      <c r="C388" s="3">
        <v>45109</v>
      </c>
      <c r="D388" s="2" t="s">
        <v>73</v>
      </c>
      <c r="E388" s="2" t="s">
        <v>298</v>
      </c>
      <c r="F388" s="4" t="s">
        <v>299</v>
      </c>
      <c r="G388" s="4" t="s">
        <v>21</v>
      </c>
      <c r="H388" s="4" t="s">
        <v>300</v>
      </c>
      <c r="I388" s="4" t="s">
        <v>184</v>
      </c>
      <c r="J388" s="4" t="s">
        <v>54</v>
      </c>
      <c r="K388" s="4" t="s">
        <v>45</v>
      </c>
      <c r="L388" s="4" t="s">
        <v>46</v>
      </c>
      <c r="M388" s="4" t="s">
        <v>815</v>
      </c>
      <c r="N388" s="5">
        <v>1230.8800000000001</v>
      </c>
      <c r="O388" s="6">
        <v>4</v>
      </c>
      <c r="P388" s="7">
        <v>0.5</v>
      </c>
      <c r="Q388" s="5">
        <v>-514.54999999999995</v>
      </c>
    </row>
    <row r="389" spans="1:17" x14ac:dyDescent="0.3">
      <c r="A389" s="8" t="s">
        <v>1235</v>
      </c>
      <c r="B389" s="9">
        <v>44308</v>
      </c>
      <c r="C389" s="9">
        <v>44312</v>
      </c>
      <c r="D389" s="8" t="s">
        <v>73</v>
      </c>
      <c r="E389" s="8" t="s">
        <v>1236</v>
      </c>
      <c r="F389" s="10" t="s">
        <v>1237</v>
      </c>
      <c r="G389" s="10" t="s">
        <v>51</v>
      </c>
      <c r="H389" s="10" t="s">
        <v>300</v>
      </c>
      <c r="I389" s="10" t="s">
        <v>184</v>
      </c>
      <c r="J389" s="10" t="s">
        <v>54</v>
      </c>
      <c r="K389" s="10" t="s">
        <v>25</v>
      </c>
      <c r="L389" s="10" t="s">
        <v>124</v>
      </c>
      <c r="M389" s="10" t="s">
        <v>1238</v>
      </c>
      <c r="N389" s="11">
        <v>2327.34</v>
      </c>
      <c r="O389" s="12">
        <v>6</v>
      </c>
      <c r="P389" s="13">
        <v>0</v>
      </c>
      <c r="Q389" s="11">
        <v>735.43</v>
      </c>
    </row>
    <row r="390" spans="1:17" x14ac:dyDescent="0.3">
      <c r="A390" s="2" t="s">
        <v>1239</v>
      </c>
      <c r="B390" s="3">
        <v>44608</v>
      </c>
      <c r="C390" s="3">
        <v>44613</v>
      </c>
      <c r="D390" s="2" t="s">
        <v>29</v>
      </c>
      <c r="E390" s="2" t="s">
        <v>650</v>
      </c>
      <c r="F390" s="4" t="s">
        <v>651</v>
      </c>
      <c r="G390" s="4" t="s">
        <v>42</v>
      </c>
      <c r="H390" s="4" t="s">
        <v>438</v>
      </c>
      <c r="I390" s="4" t="s">
        <v>157</v>
      </c>
      <c r="J390" s="4" t="s">
        <v>88</v>
      </c>
      <c r="K390" s="4" t="s">
        <v>25</v>
      </c>
      <c r="L390" s="4" t="s">
        <v>26</v>
      </c>
      <c r="M390" s="4" t="s">
        <v>1240</v>
      </c>
      <c r="N390" s="5">
        <v>1036.29</v>
      </c>
      <c r="O390" s="6">
        <v>1</v>
      </c>
      <c r="P390" s="7">
        <v>0.3</v>
      </c>
      <c r="Q390" s="5">
        <v>-177.33</v>
      </c>
    </row>
    <row r="391" spans="1:17" x14ac:dyDescent="0.3">
      <c r="A391" s="8" t="s">
        <v>1241</v>
      </c>
      <c r="B391" s="9">
        <v>44199</v>
      </c>
      <c r="C391" s="9">
        <v>44205</v>
      </c>
      <c r="D391" s="8" t="s">
        <v>29</v>
      </c>
      <c r="E391" s="8" t="s">
        <v>580</v>
      </c>
      <c r="F391" s="10" t="s">
        <v>581</v>
      </c>
      <c r="G391" s="10" t="s">
        <v>51</v>
      </c>
      <c r="H391" s="10" t="s">
        <v>156</v>
      </c>
      <c r="I391" s="10" t="s">
        <v>157</v>
      </c>
      <c r="J391" s="10" t="s">
        <v>88</v>
      </c>
      <c r="K391" s="10" t="s">
        <v>45</v>
      </c>
      <c r="L391" s="10" t="s">
        <v>117</v>
      </c>
      <c r="M391" s="10" t="s">
        <v>1242</v>
      </c>
      <c r="N391" s="11">
        <v>2328.75</v>
      </c>
      <c r="O391" s="12">
        <v>6</v>
      </c>
      <c r="P391" s="13">
        <v>0.1</v>
      </c>
      <c r="Q391" s="11">
        <v>346.92</v>
      </c>
    </row>
    <row r="392" spans="1:17" x14ac:dyDescent="0.3">
      <c r="A392" s="2" t="s">
        <v>1243</v>
      </c>
      <c r="B392" s="3">
        <v>45077</v>
      </c>
      <c r="C392" s="3">
        <v>45080</v>
      </c>
      <c r="D392" s="2" t="s">
        <v>39</v>
      </c>
      <c r="E392" s="2" t="s">
        <v>445</v>
      </c>
      <c r="F392" s="4" t="s">
        <v>446</v>
      </c>
      <c r="G392" s="4" t="s">
        <v>51</v>
      </c>
      <c r="H392" s="4" t="s">
        <v>183</v>
      </c>
      <c r="I392" s="4" t="s">
        <v>184</v>
      </c>
      <c r="J392" s="4" t="s">
        <v>54</v>
      </c>
      <c r="K392" s="4" t="s">
        <v>35</v>
      </c>
      <c r="L392" s="4" t="s">
        <v>36</v>
      </c>
      <c r="M392" s="4" t="s">
        <v>1244</v>
      </c>
      <c r="N392" s="5">
        <v>1765.94</v>
      </c>
      <c r="O392" s="6">
        <v>8</v>
      </c>
      <c r="P392" s="7">
        <v>0.1</v>
      </c>
      <c r="Q392" s="5">
        <v>550.08000000000004</v>
      </c>
    </row>
    <row r="393" spans="1:17" x14ac:dyDescent="0.3">
      <c r="A393" s="8" t="s">
        <v>1245</v>
      </c>
      <c r="B393" s="9">
        <v>45123</v>
      </c>
      <c r="C393" s="9">
        <v>45126</v>
      </c>
      <c r="D393" s="8" t="s">
        <v>73</v>
      </c>
      <c r="E393" s="8" t="s">
        <v>1246</v>
      </c>
      <c r="F393" s="10" t="s">
        <v>1247</v>
      </c>
      <c r="G393" s="10" t="s">
        <v>42</v>
      </c>
      <c r="H393" s="10" t="s">
        <v>1091</v>
      </c>
      <c r="I393" s="10" t="s">
        <v>23</v>
      </c>
      <c r="J393" s="10" t="s">
        <v>24</v>
      </c>
      <c r="K393" s="10" t="s">
        <v>25</v>
      </c>
      <c r="L393" s="10" t="s">
        <v>26</v>
      </c>
      <c r="M393" s="10" t="s">
        <v>1248</v>
      </c>
      <c r="N393" s="11">
        <v>1893.93</v>
      </c>
      <c r="O393" s="12">
        <v>3</v>
      </c>
      <c r="P393" s="13">
        <v>0</v>
      </c>
      <c r="Q393" s="11">
        <v>241.79</v>
      </c>
    </row>
    <row r="394" spans="1:17" x14ac:dyDescent="0.3">
      <c r="A394" s="2" t="s">
        <v>1249</v>
      </c>
      <c r="B394" s="3">
        <v>44858</v>
      </c>
      <c r="C394" s="3">
        <v>44861</v>
      </c>
      <c r="D394" s="2" t="s">
        <v>39</v>
      </c>
      <c r="E394" s="2" t="s">
        <v>763</v>
      </c>
      <c r="F394" s="4" t="s">
        <v>764</v>
      </c>
      <c r="G394" s="4" t="s">
        <v>21</v>
      </c>
      <c r="H394" s="4" t="s">
        <v>765</v>
      </c>
      <c r="I394" s="4" t="s">
        <v>105</v>
      </c>
      <c r="J394" s="4" t="s">
        <v>88</v>
      </c>
      <c r="K394" s="4" t="s">
        <v>25</v>
      </c>
      <c r="L394" s="4" t="s">
        <v>74</v>
      </c>
      <c r="M394" s="4" t="s">
        <v>1250</v>
      </c>
      <c r="N394" s="5">
        <v>1314.9</v>
      </c>
      <c r="O394" s="6">
        <v>7</v>
      </c>
      <c r="P394" s="7">
        <v>0.05</v>
      </c>
      <c r="Q394" s="5">
        <v>457.92</v>
      </c>
    </row>
    <row r="395" spans="1:17" x14ac:dyDescent="0.3">
      <c r="A395" s="8" t="s">
        <v>1251</v>
      </c>
      <c r="B395" s="9">
        <v>44856</v>
      </c>
      <c r="C395" s="9">
        <v>44861</v>
      </c>
      <c r="D395" s="8" t="s">
        <v>29</v>
      </c>
      <c r="E395" s="8" t="s">
        <v>1089</v>
      </c>
      <c r="F395" s="10" t="s">
        <v>1090</v>
      </c>
      <c r="G395" s="10" t="s">
        <v>51</v>
      </c>
      <c r="H395" s="10" t="s">
        <v>1091</v>
      </c>
      <c r="I395" s="10" t="s">
        <v>23</v>
      </c>
      <c r="J395" s="10" t="s">
        <v>24</v>
      </c>
      <c r="K395" s="10" t="s">
        <v>35</v>
      </c>
      <c r="L395" s="10" t="s">
        <v>166</v>
      </c>
      <c r="M395" s="10" t="s">
        <v>1252</v>
      </c>
      <c r="N395" s="11">
        <v>96.6</v>
      </c>
      <c r="O395" s="12">
        <v>5</v>
      </c>
      <c r="P395" s="13">
        <v>0.15</v>
      </c>
      <c r="Q395" s="11">
        <v>18.690000000000001</v>
      </c>
    </row>
    <row r="396" spans="1:17" x14ac:dyDescent="0.3">
      <c r="A396" s="2" t="s">
        <v>1253</v>
      </c>
      <c r="B396" s="3">
        <v>45376</v>
      </c>
      <c r="C396" s="3">
        <v>45383</v>
      </c>
      <c r="D396" s="2" t="s">
        <v>29</v>
      </c>
      <c r="E396" s="2" t="s">
        <v>566</v>
      </c>
      <c r="F396" s="4" t="s">
        <v>567</v>
      </c>
      <c r="G396" s="4" t="s">
        <v>21</v>
      </c>
      <c r="H396" s="4" t="s">
        <v>156</v>
      </c>
      <c r="I396" s="4" t="s">
        <v>157</v>
      </c>
      <c r="J396" s="4" t="s">
        <v>88</v>
      </c>
      <c r="K396" s="4" t="s">
        <v>25</v>
      </c>
      <c r="L396" s="4" t="s">
        <v>124</v>
      </c>
      <c r="M396" s="4" t="s">
        <v>1254</v>
      </c>
      <c r="N396" s="5">
        <v>15719.69</v>
      </c>
      <c r="O396" s="6">
        <v>10</v>
      </c>
      <c r="P396" s="7">
        <v>0.3</v>
      </c>
      <c r="Q396" s="5">
        <v>-979.85</v>
      </c>
    </row>
    <row r="397" spans="1:17" x14ac:dyDescent="0.3">
      <c r="A397" s="8" t="s">
        <v>1255</v>
      </c>
      <c r="B397" s="9">
        <v>45596</v>
      </c>
      <c r="C397" s="9">
        <v>45597</v>
      </c>
      <c r="D397" s="8" t="s">
        <v>18</v>
      </c>
      <c r="E397" s="8" t="s">
        <v>1097</v>
      </c>
      <c r="F397" s="10" t="s">
        <v>1098</v>
      </c>
      <c r="G397" s="10" t="s">
        <v>42</v>
      </c>
      <c r="H397" s="10" t="s">
        <v>417</v>
      </c>
      <c r="I397" s="10" t="s">
        <v>123</v>
      </c>
      <c r="J397" s="10" t="s">
        <v>24</v>
      </c>
      <c r="K397" s="10" t="s">
        <v>45</v>
      </c>
      <c r="L397" s="10" t="s">
        <v>117</v>
      </c>
      <c r="M397" s="10" t="s">
        <v>1256</v>
      </c>
      <c r="N397" s="11">
        <v>1483.95</v>
      </c>
      <c r="O397" s="12">
        <v>3</v>
      </c>
      <c r="P397" s="13">
        <v>0</v>
      </c>
      <c r="Q397" s="11">
        <v>433.7</v>
      </c>
    </row>
    <row r="398" spans="1:17" x14ac:dyDescent="0.3">
      <c r="A398" s="2" t="s">
        <v>1257</v>
      </c>
      <c r="B398" s="3">
        <v>44788</v>
      </c>
      <c r="C398" s="3">
        <v>44791</v>
      </c>
      <c r="D398" s="2" t="s">
        <v>73</v>
      </c>
      <c r="E398" s="2" t="s">
        <v>1258</v>
      </c>
      <c r="F398" s="4" t="s">
        <v>1259</v>
      </c>
      <c r="G398" s="4" t="s">
        <v>21</v>
      </c>
      <c r="H398" s="4" t="s">
        <v>438</v>
      </c>
      <c r="I398" s="4" t="s">
        <v>157</v>
      </c>
      <c r="J398" s="4" t="s">
        <v>88</v>
      </c>
      <c r="K398" s="4" t="s">
        <v>45</v>
      </c>
      <c r="L398" s="4" t="s">
        <v>61</v>
      </c>
      <c r="M398" s="4" t="s">
        <v>1260</v>
      </c>
      <c r="N398" s="5">
        <v>1095.1199999999999</v>
      </c>
      <c r="O398" s="6">
        <v>3</v>
      </c>
      <c r="P398" s="7">
        <v>0.4</v>
      </c>
      <c r="Q398" s="5">
        <v>-450.27</v>
      </c>
    </row>
    <row r="399" spans="1:17" x14ac:dyDescent="0.3">
      <c r="A399" s="8" t="s">
        <v>1261</v>
      </c>
      <c r="B399" s="9">
        <v>44256</v>
      </c>
      <c r="C399" s="9">
        <v>44260</v>
      </c>
      <c r="D399" s="8" t="s">
        <v>73</v>
      </c>
      <c r="E399" s="8" t="s">
        <v>561</v>
      </c>
      <c r="F399" s="10" t="s">
        <v>562</v>
      </c>
      <c r="G399" s="10" t="s">
        <v>42</v>
      </c>
      <c r="H399" s="10" t="s">
        <v>563</v>
      </c>
      <c r="I399" s="10" t="s">
        <v>460</v>
      </c>
      <c r="J399" s="10" t="s">
        <v>54</v>
      </c>
      <c r="K399" s="10" t="s">
        <v>45</v>
      </c>
      <c r="L399" s="10" t="s">
        <v>117</v>
      </c>
      <c r="M399" s="10" t="s">
        <v>1262</v>
      </c>
      <c r="N399" s="11">
        <v>287.48</v>
      </c>
      <c r="O399" s="12">
        <v>2</v>
      </c>
      <c r="P399" s="13">
        <v>0</v>
      </c>
      <c r="Q399" s="11">
        <v>83.49</v>
      </c>
    </row>
    <row r="400" spans="1:17" x14ac:dyDescent="0.3">
      <c r="A400" s="2" t="s">
        <v>1263</v>
      </c>
      <c r="B400" s="3">
        <v>45246</v>
      </c>
      <c r="C400" s="3">
        <v>45250</v>
      </c>
      <c r="D400" s="2" t="s">
        <v>73</v>
      </c>
      <c r="E400" s="2" t="s">
        <v>40</v>
      </c>
      <c r="F400" s="4" t="s">
        <v>41</v>
      </c>
      <c r="G400" s="4" t="s">
        <v>42</v>
      </c>
      <c r="H400" s="4" t="s">
        <v>43</v>
      </c>
      <c r="I400" s="4" t="s">
        <v>44</v>
      </c>
      <c r="J400" s="4" t="s">
        <v>24</v>
      </c>
      <c r="K400" s="4" t="s">
        <v>35</v>
      </c>
      <c r="L400" s="4" t="s">
        <v>295</v>
      </c>
      <c r="M400" s="4" t="s">
        <v>1264</v>
      </c>
      <c r="N400" s="5">
        <v>759.4</v>
      </c>
      <c r="O400" s="6">
        <v>10</v>
      </c>
      <c r="P400" s="7">
        <v>0</v>
      </c>
      <c r="Q400" s="5">
        <v>383.1</v>
      </c>
    </row>
    <row r="401" spans="1:17" x14ac:dyDescent="0.3">
      <c r="A401" s="8" t="s">
        <v>1265</v>
      </c>
      <c r="B401" s="9">
        <v>45429</v>
      </c>
      <c r="C401" s="9">
        <v>45434</v>
      </c>
      <c r="D401" s="8" t="s">
        <v>73</v>
      </c>
      <c r="E401" s="8" t="s">
        <v>96</v>
      </c>
      <c r="F401" s="10" t="s">
        <v>97</v>
      </c>
      <c r="G401" s="10" t="s">
        <v>21</v>
      </c>
      <c r="H401" s="10" t="s">
        <v>98</v>
      </c>
      <c r="I401" s="10" t="s">
        <v>80</v>
      </c>
      <c r="J401" s="10" t="s">
        <v>54</v>
      </c>
      <c r="K401" s="10" t="s">
        <v>35</v>
      </c>
      <c r="L401" s="10" t="s">
        <v>110</v>
      </c>
      <c r="M401" s="10" t="s">
        <v>1266</v>
      </c>
      <c r="N401" s="11">
        <v>325.35000000000002</v>
      </c>
      <c r="O401" s="12">
        <v>9</v>
      </c>
      <c r="P401" s="13">
        <v>0</v>
      </c>
      <c r="Q401" s="11">
        <v>152.36000000000001</v>
      </c>
    </row>
    <row r="402" spans="1:17" x14ac:dyDescent="0.3">
      <c r="A402" s="2" t="s">
        <v>1267</v>
      </c>
      <c r="B402" s="3">
        <v>45228</v>
      </c>
      <c r="C402" s="3">
        <v>45235</v>
      </c>
      <c r="D402" s="2" t="s">
        <v>29</v>
      </c>
      <c r="E402" s="2" t="s">
        <v>57</v>
      </c>
      <c r="F402" s="4" t="s">
        <v>58</v>
      </c>
      <c r="G402" s="4" t="s">
        <v>42</v>
      </c>
      <c r="H402" s="4" t="s">
        <v>59</v>
      </c>
      <c r="I402" s="4" t="s">
        <v>60</v>
      </c>
      <c r="J402" s="4" t="s">
        <v>54</v>
      </c>
      <c r="K402" s="4" t="s">
        <v>35</v>
      </c>
      <c r="L402" s="4" t="s">
        <v>110</v>
      </c>
      <c r="M402" s="4" t="s">
        <v>1268</v>
      </c>
      <c r="N402" s="5">
        <v>66.319999999999993</v>
      </c>
      <c r="O402" s="6">
        <v>2</v>
      </c>
      <c r="P402" s="7">
        <v>0.15</v>
      </c>
      <c r="Q402" s="5">
        <v>24.57</v>
      </c>
    </row>
    <row r="403" spans="1:17" x14ac:dyDescent="0.3">
      <c r="A403" s="8" t="s">
        <v>1269</v>
      </c>
      <c r="B403" s="9">
        <v>44504</v>
      </c>
      <c r="C403" s="9">
        <v>44507</v>
      </c>
      <c r="D403" s="8" t="s">
        <v>73</v>
      </c>
      <c r="E403" s="8" t="s">
        <v>1270</v>
      </c>
      <c r="F403" s="10" t="s">
        <v>1271</v>
      </c>
      <c r="G403" s="10" t="s">
        <v>51</v>
      </c>
      <c r="H403" s="10" t="s">
        <v>412</v>
      </c>
      <c r="I403" s="10" t="s">
        <v>178</v>
      </c>
      <c r="J403" s="10" t="s">
        <v>24</v>
      </c>
      <c r="K403" s="10" t="s">
        <v>45</v>
      </c>
      <c r="L403" s="10" t="s">
        <v>46</v>
      </c>
      <c r="M403" s="10" t="s">
        <v>1272</v>
      </c>
      <c r="N403" s="11">
        <v>1741.34</v>
      </c>
      <c r="O403" s="12">
        <v>8</v>
      </c>
      <c r="P403" s="13">
        <v>0.15</v>
      </c>
      <c r="Q403" s="11">
        <v>448.08</v>
      </c>
    </row>
    <row r="404" spans="1:17" x14ac:dyDescent="0.3">
      <c r="A404" s="2" t="s">
        <v>1273</v>
      </c>
      <c r="B404" s="3">
        <v>45579</v>
      </c>
      <c r="C404" s="3">
        <v>45582</v>
      </c>
      <c r="D404" s="2" t="s">
        <v>39</v>
      </c>
      <c r="E404" s="2" t="s">
        <v>588</v>
      </c>
      <c r="F404" s="4" t="s">
        <v>589</v>
      </c>
      <c r="G404" s="4" t="s">
        <v>42</v>
      </c>
      <c r="H404" s="4" t="s">
        <v>397</v>
      </c>
      <c r="I404" s="4" t="s">
        <v>33</v>
      </c>
      <c r="J404" s="4" t="s">
        <v>34</v>
      </c>
      <c r="K404" s="4" t="s">
        <v>45</v>
      </c>
      <c r="L404" s="4" t="s">
        <v>46</v>
      </c>
      <c r="M404" s="4" t="s">
        <v>1274</v>
      </c>
      <c r="N404" s="5">
        <v>2901.61</v>
      </c>
      <c r="O404" s="6">
        <v>9</v>
      </c>
      <c r="P404" s="7">
        <v>0.05</v>
      </c>
      <c r="Q404" s="5">
        <v>997.54</v>
      </c>
    </row>
    <row r="405" spans="1:17" x14ac:dyDescent="0.3">
      <c r="A405" s="8" t="s">
        <v>1275</v>
      </c>
      <c r="B405" s="9">
        <v>44930</v>
      </c>
      <c r="C405" s="9">
        <v>44933</v>
      </c>
      <c r="D405" s="8" t="s">
        <v>73</v>
      </c>
      <c r="E405" s="8" t="s">
        <v>120</v>
      </c>
      <c r="F405" s="10" t="s">
        <v>121</v>
      </c>
      <c r="G405" s="10" t="s">
        <v>21</v>
      </c>
      <c r="H405" s="10" t="s">
        <v>122</v>
      </c>
      <c r="I405" s="10" t="s">
        <v>123</v>
      </c>
      <c r="J405" s="10" t="s">
        <v>24</v>
      </c>
      <c r="K405" s="10" t="s">
        <v>25</v>
      </c>
      <c r="L405" s="10" t="s">
        <v>74</v>
      </c>
      <c r="M405" s="10" t="s">
        <v>1276</v>
      </c>
      <c r="N405" s="11">
        <v>103.89</v>
      </c>
      <c r="O405" s="12">
        <v>3</v>
      </c>
      <c r="P405" s="13">
        <v>0.3</v>
      </c>
      <c r="Q405" s="11">
        <v>8.68</v>
      </c>
    </row>
    <row r="406" spans="1:17" x14ac:dyDescent="0.3">
      <c r="A406" s="2" t="s">
        <v>1277</v>
      </c>
      <c r="B406" s="3">
        <v>45362</v>
      </c>
      <c r="C406" s="3">
        <v>45363</v>
      </c>
      <c r="D406" s="2" t="s">
        <v>18</v>
      </c>
      <c r="E406" s="2" t="s">
        <v>313</v>
      </c>
      <c r="F406" s="4" t="s">
        <v>314</v>
      </c>
      <c r="G406" s="4" t="s">
        <v>42</v>
      </c>
      <c r="H406" s="4" t="s">
        <v>193</v>
      </c>
      <c r="I406" s="4" t="s">
        <v>194</v>
      </c>
      <c r="J406" s="4" t="s">
        <v>34</v>
      </c>
      <c r="K406" s="4" t="s">
        <v>25</v>
      </c>
      <c r="L406" s="4" t="s">
        <v>124</v>
      </c>
      <c r="M406" s="4" t="s">
        <v>1278</v>
      </c>
      <c r="N406" s="5">
        <v>2284.8000000000002</v>
      </c>
      <c r="O406" s="6">
        <v>7</v>
      </c>
      <c r="P406" s="7">
        <v>0</v>
      </c>
      <c r="Q406" s="5">
        <v>435.97</v>
      </c>
    </row>
    <row r="407" spans="1:17" x14ac:dyDescent="0.3">
      <c r="A407" s="8" t="s">
        <v>1279</v>
      </c>
      <c r="B407" s="9">
        <v>44819</v>
      </c>
      <c r="C407" s="9">
        <v>44823</v>
      </c>
      <c r="D407" s="8" t="s">
        <v>73</v>
      </c>
      <c r="E407" s="8" t="s">
        <v>289</v>
      </c>
      <c r="F407" s="10" t="s">
        <v>290</v>
      </c>
      <c r="G407" s="10" t="s">
        <v>51</v>
      </c>
      <c r="H407" s="10" t="s">
        <v>115</v>
      </c>
      <c r="I407" s="10" t="s">
        <v>116</v>
      </c>
      <c r="J407" s="10" t="s">
        <v>54</v>
      </c>
      <c r="K407" s="10" t="s">
        <v>45</v>
      </c>
      <c r="L407" s="10" t="s">
        <v>61</v>
      </c>
      <c r="M407" s="10" t="s">
        <v>1280</v>
      </c>
      <c r="N407" s="11">
        <v>382.97</v>
      </c>
      <c r="O407" s="12">
        <v>4</v>
      </c>
      <c r="P407" s="13">
        <v>0.1</v>
      </c>
      <c r="Q407" s="11">
        <v>-4.34</v>
      </c>
    </row>
    <row r="408" spans="1:17" x14ac:dyDescent="0.3">
      <c r="A408" s="2" t="s">
        <v>1281</v>
      </c>
      <c r="B408" s="3">
        <v>45657</v>
      </c>
      <c r="C408" s="3">
        <v>45659</v>
      </c>
      <c r="D408" s="2" t="s">
        <v>18</v>
      </c>
      <c r="E408" s="2" t="s">
        <v>1070</v>
      </c>
      <c r="F408" s="4" t="s">
        <v>1071</v>
      </c>
      <c r="G408" s="4" t="s">
        <v>51</v>
      </c>
      <c r="H408" s="4" t="s">
        <v>177</v>
      </c>
      <c r="I408" s="4" t="s">
        <v>178</v>
      </c>
      <c r="J408" s="4" t="s">
        <v>24</v>
      </c>
      <c r="K408" s="4" t="s">
        <v>35</v>
      </c>
      <c r="L408" s="4" t="s">
        <v>295</v>
      </c>
      <c r="M408" s="4" t="s">
        <v>1282</v>
      </c>
      <c r="N408" s="5">
        <v>8.82</v>
      </c>
      <c r="O408" s="6">
        <v>1</v>
      </c>
      <c r="P408" s="7">
        <v>0</v>
      </c>
      <c r="Q408" s="5">
        <v>4.2300000000000004</v>
      </c>
    </row>
    <row r="409" spans="1:17" x14ac:dyDescent="0.3">
      <c r="A409" s="8" t="s">
        <v>1283</v>
      </c>
      <c r="B409" s="9">
        <v>44837</v>
      </c>
      <c r="C409" s="9">
        <v>44844</v>
      </c>
      <c r="D409" s="8" t="s">
        <v>29</v>
      </c>
      <c r="E409" s="8" t="s">
        <v>1284</v>
      </c>
      <c r="F409" s="10" t="s">
        <v>1285</v>
      </c>
      <c r="G409" s="10" t="s">
        <v>21</v>
      </c>
      <c r="H409" s="10" t="s">
        <v>150</v>
      </c>
      <c r="I409" s="10" t="s">
        <v>151</v>
      </c>
      <c r="J409" s="10" t="s">
        <v>34</v>
      </c>
      <c r="K409" s="10" t="s">
        <v>25</v>
      </c>
      <c r="L409" s="10" t="s">
        <v>124</v>
      </c>
      <c r="M409" s="10" t="s">
        <v>1286</v>
      </c>
      <c r="N409" s="11">
        <v>2572.54</v>
      </c>
      <c r="O409" s="12">
        <v>2</v>
      </c>
      <c r="P409" s="13">
        <v>0.1</v>
      </c>
      <c r="Q409" s="11">
        <v>471.51</v>
      </c>
    </row>
    <row r="410" spans="1:17" x14ac:dyDescent="0.3">
      <c r="A410" s="2" t="s">
        <v>1287</v>
      </c>
      <c r="B410" s="3">
        <v>45256</v>
      </c>
      <c r="C410" s="3">
        <v>45258</v>
      </c>
      <c r="D410" s="2" t="s">
        <v>39</v>
      </c>
      <c r="E410" s="2" t="s">
        <v>360</v>
      </c>
      <c r="F410" s="4" t="s">
        <v>361</v>
      </c>
      <c r="G410" s="4" t="s">
        <v>42</v>
      </c>
      <c r="H410" s="4" t="s">
        <v>346</v>
      </c>
      <c r="I410" s="4" t="s">
        <v>347</v>
      </c>
      <c r="J410" s="4" t="s">
        <v>88</v>
      </c>
      <c r="K410" s="4" t="s">
        <v>25</v>
      </c>
      <c r="L410" s="4" t="s">
        <v>74</v>
      </c>
      <c r="M410" s="4" t="s">
        <v>1288</v>
      </c>
      <c r="N410" s="5">
        <v>7029.6</v>
      </c>
      <c r="O410" s="6">
        <v>10</v>
      </c>
      <c r="P410" s="7">
        <v>0</v>
      </c>
      <c r="Q410" s="5">
        <v>3090.56</v>
      </c>
    </row>
    <row r="411" spans="1:17" x14ac:dyDescent="0.3">
      <c r="A411" s="8" t="s">
        <v>1289</v>
      </c>
      <c r="B411" s="9">
        <v>44505</v>
      </c>
      <c r="C411" s="9">
        <v>44508</v>
      </c>
      <c r="D411" s="8" t="s">
        <v>73</v>
      </c>
      <c r="E411" s="8" t="s">
        <v>468</v>
      </c>
      <c r="F411" s="10" t="s">
        <v>469</v>
      </c>
      <c r="G411" s="10" t="s">
        <v>51</v>
      </c>
      <c r="H411" s="10" t="s">
        <v>372</v>
      </c>
      <c r="I411" s="10" t="s">
        <v>373</v>
      </c>
      <c r="J411" s="10" t="s">
        <v>34</v>
      </c>
      <c r="K411" s="10" t="s">
        <v>25</v>
      </c>
      <c r="L411" s="10" t="s">
        <v>74</v>
      </c>
      <c r="M411" s="10" t="s">
        <v>1290</v>
      </c>
      <c r="N411" s="11">
        <v>3065.86</v>
      </c>
      <c r="O411" s="12">
        <v>7</v>
      </c>
      <c r="P411" s="13">
        <v>0</v>
      </c>
      <c r="Q411" s="11">
        <v>983.11</v>
      </c>
    </row>
    <row r="412" spans="1:17" x14ac:dyDescent="0.3">
      <c r="A412" s="2" t="s">
        <v>1291</v>
      </c>
      <c r="B412" s="3">
        <v>45203</v>
      </c>
      <c r="C412" s="3">
        <v>45206</v>
      </c>
      <c r="D412" s="2" t="s">
        <v>18</v>
      </c>
      <c r="E412" s="2" t="s">
        <v>457</v>
      </c>
      <c r="F412" s="4" t="s">
        <v>458</v>
      </c>
      <c r="G412" s="4" t="s">
        <v>51</v>
      </c>
      <c r="H412" s="4" t="s">
        <v>459</v>
      </c>
      <c r="I412" s="4" t="s">
        <v>460</v>
      </c>
      <c r="J412" s="4" t="s">
        <v>54</v>
      </c>
      <c r="K412" s="4" t="s">
        <v>25</v>
      </c>
      <c r="L412" s="4" t="s">
        <v>74</v>
      </c>
      <c r="M412" s="4" t="s">
        <v>1292</v>
      </c>
      <c r="N412" s="5">
        <v>3188.85</v>
      </c>
      <c r="O412" s="6">
        <v>5</v>
      </c>
      <c r="P412" s="7">
        <v>0</v>
      </c>
      <c r="Q412" s="5">
        <v>1046.8599999999999</v>
      </c>
    </row>
    <row r="413" spans="1:17" x14ac:dyDescent="0.3">
      <c r="A413" s="8" t="s">
        <v>1293</v>
      </c>
      <c r="B413" s="9">
        <v>44962</v>
      </c>
      <c r="C413" s="9">
        <v>44966</v>
      </c>
      <c r="D413" s="8" t="s">
        <v>73</v>
      </c>
      <c r="E413" s="8" t="s">
        <v>214</v>
      </c>
      <c r="F413" s="10" t="s">
        <v>215</v>
      </c>
      <c r="G413" s="10" t="s">
        <v>21</v>
      </c>
      <c r="H413" s="10" t="s">
        <v>52</v>
      </c>
      <c r="I413" s="10" t="s">
        <v>53</v>
      </c>
      <c r="J413" s="10" t="s">
        <v>54</v>
      </c>
      <c r="K413" s="10" t="s">
        <v>35</v>
      </c>
      <c r="L413" s="10" t="s">
        <v>110</v>
      </c>
      <c r="M413" s="10" t="s">
        <v>1294</v>
      </c>
      <c r="N413" s="11">
        <v>261.52</v>
      </c>
      <c r="O413" s="12">
        <v>7</v>
      </c>
      <c r="P413" s="13">
        <v>0</v>
      </c>
      <c r="Q413" s="11">
        <v>122.02</v>
      </c>
    </row>
    <row r="414" spans="1:17" x14ac:dyDescent="0.3">
      <c r="A414" s="2" t="s">
        <v>1295</v>
      </c>
      <c r="B414" s="3">
        <v>44233</v>
      </c>
      <c r="C414" s="3">
        <v>44239</v>
      </c>
      <c r="D414" s="2" t="s">
        <v>29</v>
      </c>
      <c r="E414" s="2" t="s">
        <v>628</v>
      </c>
      <c r="F414" s="4" t="s">
        <v>629</v>
      </c>
      <c r="G414" s="4" t="s">
        <v>42</v>
      </c>
      <c r="H414" s="4" t="s">
        <v>32</v>
      </c>
      <c r="I414" s="4" t="s">
        <v>33</v>
      </c>
      <c r="J414" s="4" t="s">
        <v>34</v>
      </c>
      <c r="K414" s="4" t="s">
        <v>25</v>
      </c>
      <c r="L414" s="4" t="s">
        <v>26</v>
      </c>
      <c r="M414" s="4" t="s">
        <v>1296</v>
      </c>
      <c r="N414" s="5">
        <v>2487.34</v>
      </c>
      <c r="O414" s="6">
        <v>4</v>
      </c>
      <c r="P414" s="7">
        <v>0.5</v>
      </c>
      <c r="Q414" s="5">
        <v>-1111.3599999999999</v>
      </c>
    </row>
    <row r="415" spans="1:17" x14ac:dyDescent="0.3">
      <c r="A415" s="8" t="s">
        <v>1297</v>
      </c>
      <c r="B415" s="9">
        <v>44264</v>
      </c>
      <c r="C415" s="9">
        <v>44269</v>
      </c>
      <c r="D415" s="8" t="s">
        <v>73</v>
      </c>
      <c r="E415" s="8" t="s">
        <v>468</v>
      </c>
      <c r="F415" s="10" t="s">
        <v>469</v>
      </c>
      <c r="G415" s="10" t="s">
        <v>51</v>
      </c>
      <c r="H415" s="10" t="s">
        <v>372</v>
      </c>
      <c r="I415" s="10" t="s">
        <v>373</v>
      </c>
      <c r="J415" s="10" t="s">
        <v>34</v>
      </c>
      <c r="K415" s="10" t="s">
        <v>35</v>
      </c>
      <c r="L415" s="10" t="s">
        <v>89</v>
      </c>
      <c r="M415" s="10" t="s">
        <v>1298</v>
      </c>
      <c r="N415" s="11">
        <v>512.78</v>
      </c>
      <c r="O415" s="12">
        <v>7</v>
      </c>
      <c r="P415" s="13">
        <v>0.3</v>
      </c>
      <c r="Q415" s="11">
        <v>41.35</v>
      </c>
    </row>
    <row r="416" spans="1:17" x14ac:dyDescent="0.3">
      <c r="A416" s="2" t="s">
        <v>1299</v>
      </c>
      <c r="B416" s="3">
        <v>44528</v>
      </c>
      <c r="C416" s="3">
        <v>44532</v>
      </c>
      <c r="D416" s="2" t="s">
        <v>73</v>
      </c>
      <c r="E416" s="2" t="s">
        <v>1300</v>
      </c>
      <c r="F416" s="4" t="s">
        <v>1301</v>
      </c>
      <c r="G416" s="4" t="s">
        <v>51</v>
      </c>
      <c r="H416" s="4" t="s">
        <v>319</v>
      </c>
      <c r="I416" s="4" t="s">
        <v>194</v>
      </c>
      <c r="J416" s="4" t="s">
        <v>34</v>
      </c>
      <c r="K416" s="4" t="s">
        <v>25</v>
      </c>
      <c r="L416" s="4" t="s">
        <v>74</v>
      </c>
      <c r="M416" s="4" t="s">
        <v>1302</v>
      </c>
      <c r="N416" s="5">
        <v>3230.01</v>
      </c>
      <c r="O416" s="6">
        <v>6</v>
      </c>
      <c r="P416" s="7">
        <v>0.3</v>
      </c>
      <c r="Q416" s="5">
        <v>147.84</v>
      </c>
    </row>
    <row r="417" spans="1:17" x14ac:dyDescent="0.3">
      <c r="A417" s="8" t="s">
        <v>1303</v>
      </c>
      <c r="B417" s="9">
        <v>45123</v>
      </c>
      <c r="C417" s="9">
        <v>45130</v>
      </c>
      <c r="D417" s="8" t="s">
        <v>29</v>
      </c>
      <c r="E417" s="8" t="s">
        <v>1201</v>
      </c>
      <c r="F417" s="10" t="s">
        <v>1202</v>
      </c>
      <c r="G417" s="10" t="s">
        <v>51</v>
      </c>
      <c r="H417" s="10" t="s">
        <v>530</v>
      </c>
      <c r="I417" s="10" t="s">
        <v>373</v>
      </c>
      <c r="J417" s="10" t="s">
        <v>1304</v>
      </c>
      <c r="K417" s="10" t="s">
        <v>45</v>
      </c>
      <c r="L417" s="10" t="s">
        <v>99</v>
      </c>
      <c r="M417" s="10" t="s">
        <v>1305</v>
      </c>
      <c r="N417" s="11">
        <v>438.84</v>
      </c>
      <c r="O417" s="12">
        <v>9</v>
      </c>
      <c r="P417" s="13">
        <v>0</v>
      </c>
      <c r="Q417" s="11">
        <v>150.35</v>
      </c>
    </row>
    <row r="418" spans="1:17" x14ac:dyDescent="0.3">
      <c r="A418" s="2" t="s">
        <v>1306</v>
      </c>
      <c r="B418" s="3">
        <v>45638</v>
      </c>
      <c r="C418" s="3">
        <v>45639</v>
      </c>
      <c r="D418" s="2" t="s">
        <v>18</v>
      </c>
      <c r="E418" s="2" t="s">
        <v>102</v>
      </c>
      <c r="F418" s="4" t="s">
        <v>103</v>
      </c>
      <c r="G418" s="4" t="s">
        <v>42</v>
      </c>
      <c r="H418" s="4" t="s">
        <v>104</v>
      </c>
      <c r="I418" s="4" t="s">
        <v>105</v>
      </c>
      <c r="J418" s="4" t="s">
        <v>88</v>
      </c>
      <c r="K418" s="4" t="s">
        <v>25</v>
      </c>
      <c r="L418" s="4" t="s">
        <v>74</v>
      </c>
      <c r="M418" s="4" t="s">
        <v>1307</v>
      </c>
      <c r="N418" s="5">
        <v>1320.17</v>
      </c>
      <c r="O418" s="6">
        <v>2</v>
      </c>
      <c r="P418" s="7">
        <v>0.1</v>
      </c>
      <c r="Q418" s="5">
        <v>346.18</v>
      </c>
    </row>
    <row r="419" spans="1:17" x14ac:dyDescent="0.3">
      <c r="A419" s="8" t="s">
        <v>1308</v>
      </c>
      <c r="B419" s="9">
        <v>44574</v>
      </c>
      <c r="C419" s="9">
        <v>44580</v>
      </c>
      <c r="D419" s="8" t="s">
        <v>29</v>
      </c>
      <c r="E419" s="8" t="s">
        <v>1309</v>
      </c>
      <c r="F419" s="10" t="s">
        <v>1310</v>
      </c>
      <c r="G419" s="10" t="s">
        <v>51</v>
      </c>
      <c r="H419" s="10" t="s">
        <v>98</v>
      </c>
      <c r="I419" s="10" t="s">
        <v>80</v>
      </c>
      <c r="J419" s="10" t="s">
        <v>54</v>
      </c>
      <c r="K419" s="10" t="s">
        <v>25</v>
      </c>
      <c r="L419" s="10" t="s">
        <v>124</v>
      </c>
      <c r="M419" s="10" t="s">
        <v>1311</v>
      </c>
      <c r="N419" s="11">
        <v>5684.98</v>
      </c>
      <c r="O419" s="12">
        <v>6</v>
      </c>
      <c r="P419" s="13">
        <v>0.2</v>
      </c>
      <c r="Q419" s="11">
        <v>690.37</v>
      </c>
    </row>
    <row r="420" spans="1:17" x14ac:dyDescent="0.3">
      <c r="A420" s="2" t="s">
        <v>1312</v>
      </c>
      <c r="B420" s="3">
        <v>44557</v>
      </c>
      <c r="C420" s="3">
        <v>44564</v>
      </c>
      <c r="D420" s="2" t="s">
        <v>29</v>
      </c>
      <c r="E420" s="2" t="s">
        <v>1070</v>
      </c>
      <c r="F420" s="4" t="s">
        <v>1071</v>
      </c>
      <c r="G420" s="4" t="s">
        <v>51</v>
      </c>
      <c r="H420" s="4" t="s">
        <v>177</v>
      </c>
      <c r="I420" s="4" t="s">
        <v>178</v>
      </c>
      <c r="J420" s="4" t="s">
        <v>24</v>
      </c>
      <c r="K420" s="4" t="s">
        <v>45</v>
      </c>
      <c r="L420" s="4" t="s">
        <v>99</v>
      </c>
      <c r="M420" s="4" t="s">
        <v>1313</v>
      </c>
      <c r="N420" s="5">
        <v>161.63999999999999</v>
      </c>
      <c r="O420" s="6">
        <v>5</v>
      </c>
      <c r="P420" s="7">
        <v>0.1</v>
      </c>
      <c r="Q420" s="5">
        <v>34.950000000000003</v>
      </c>
    </row>
    <row r="421" spans="1:17" x14ac:dyDescent="0.3">
      <c r="A421" s="8" t="s">
        <v>1314</v>
      </c>
      <c r="B421" s="9">
        <v>44428</v>
      </c>
      <c r="C421" s="9">
        <v>44435</v>
      </c>
      <c r="D421" s="8" t="s">
        <v>29</v>
      </c>
      <c r="E421" s="8" t="s">
        <v>490</v>
      </c>
      <c r="F421" s="10" t="s">
        <v>491</v>
      </c>
      <c r="G421" s="10" t="s">
        <v>42</v>
      </c>
      <c r="H421" s="10" t="s">
        <v>492</v>
      </c>
      <c r="I421" s="10" t="s">
        <v>53</v>
      </c>
      <c r="J421" s="10" t="s">
        <v>54</v>
      </c>
      <c r="K421" s="10" t="s">
        <v>45</v>
      </c>
      <c r="L421" s="10" t="s">
        <v>61</v>
      </c>
      <c r="M421" s="10" t="s">
        <v>1110</v>
      </c>
      <c r="N421" s="11">
        <v>1790.42</v>
      </c>
      <c r="O421" s="12">
        <v>5</v>
      </c>
      <c r="P421" s="13">
        <v>0.05</v>
      </c>
      <c r="Q421" s="11">
        <v>-37.659999999999997</v>
      </c>
    </row>
    <row r="422" spans="1:17" x14ac:dyDescent="0.3">
      <c r="A422" s="2" t="s">
        <v>1315</v>
      </c>
      <c r="B422" s="3">
        <v>45292</v>
      </c>
      <c r="C422" s="3">
        <v>45297</v>
      </c>
      <c r="D422" s="2" t="s">
        <v>29</v>
      </c>
      <c r="E422" s="2" t="s">
        <v>108</v>
      </c>
      <c r="F422" s="4" t="s">
        <v>109</v>
      </c>
      <c r="G422" s="4" t="s">
        <v>21</v>
      </c>
      <c r="H422" s="4" t="s">
        <v>22</v>
      </c>
      <c r="I422" s="4" t="s">
        <v>23</v>
      </c>
      <c r="J422" s="4" t="s">
        <v>24</v>
      </c>
      <c r="K422" s="4" t="s">
        <v>25</v>
      </c>
      <c r="L422" s="4" t="s">
        <v>74</v>
      </c>
      <c r="M422" s="4" t="s">
        <v>1316</v>
      </c>
      <c r="N422" s="5">
        <v>174.6</v>
      </c>
      <c r="O422" s="6">
        <v>1</v>
      </c>
      <c r="P422" s="7">
        <v>0</v>
      </c>
      <c r="Q422" s="5">
        <v>78.930000000000007</v>
      </c>
    </row>
    <row r="423" spans="1:17" x14ac:dyDescent="0.3">
      <c r="A423" s="8" t="s">
        <v>1317</v>
      </c>
      <c r="B423" s="9">
        <v>45478</v>
      </c>
      <c r="C423" s="9">
        <v>45482</v>
      </c>
      <c r="D423" s="8" t="s">
        <v>39</v>
      </c>
      <c r="E423" s="8" t="s">
        <v>476</v>
      </c>
      <c r="F423" s="10" t="s">
        <v>477</v>
      </c>
      <c r="G423" s="10" t="s">
        <v>42</v>
      </c>
      <c r="H423" s="10" t="s">
        <v>150</v>
      </c>
      <c r="I423" s="10" t="s">
        <v>151</v>
      </c>
      <c r="J423" s="10" t="s">
        <v>34</v>
      </c>
      <c r="K423" s="10" t="s">
        <v>25</v>
      </c>
      <c r="L423" s="10" t="s">
        <v>26</v>
      </c>
      <c r="M423" s="10" t="s">
        <v>1318</v>
      </c>
      <c r="N423" s="11">
        <v>3679.32</v>
      </c>
      <c r="O423" s="12">
        <v>6</v>
      </c>
      <c r="P423" s="13">
        <v>0</v>
      </c>
      <c r="Q423" s="11">
        <v>999.72</v>
      </c>
    </row>
    <row r="424" spans="1:17" x14ac:dyDescent="0.3">
      <c r="A424" s="2" t="s">
        <v>1319</v>
      </c>
      <c r="B424" s="3">
        <v>44917</v>
      </c>
      <c r="C424" s="3">
        <v>44924</v>
      </c>
      <c r="D424" s="2" t="s">
        <v>29</v>
      </c>
      <c r="E424" s="2" t="s">
        <v>1152</v>
      </c>
      <c r="F424" s="4" t="s">
        <v>1153</v>
      </c>
      <c r="G424" s="4" t="s">
        <v>42</v>
      </c>
      <c r="H424" s="4" t="s">
        <v>1091</v>
      </c>
      <c r="I424" s="4" t="s">
        <v>23</v>
      </c>
      <c r="J424" s="4" t="s">
        <v>24</v>
      </c>
      <c r="K424" s="4" t="s">
        <v>35</v>
      </c>
      <c r="L424" s="4" t="s">
        <v>295</v>
      </c>
      <c r="M424" s="4" t="s">
        <v>1320</v>
      </c>
      <c r="N424" s="5">
        <v>63.1</v>
      </c>
      <c r="O424" s="6">
        <v>1</v>
      </c>
      <c r="P424" s="7">
        <v>0.1</v>
      </c>
      <c r="Q424" s="5">
        <v>26.92</v>
      </c>
    </row>
    <row r="425" spans="1:17" x14ac:dyDescent="0.3">
      <c r="A425" s="8" t="s">
        <v>1321</v>
      </c>
      <c r="B425" s="9">
        <v>44760</v>
      </c>
      <c r="C425" s="9">
        <v>44765</v>
      </c>
      <c r="D425" s="8" t="s">
        <v>29</v>
      </c>
      <c r="E425" s="8" t="s">
        <v>1158</v>
      </c>
      <c r="F425" s="10" t="s">
        <v>1159</v>
      </c>
      <c r="G425" s="10" t="s">
        <v>42</v>
      </c>
      <c r="H425" s="10" t="s">
        <v>346</v>
      </c>
      <c r="I425" s="10" t="s">
        <v>347</v>
      </c>
      <c r="J425" s="10" t="s">
        <v>88</v>
      </c>
      <c r="K425" s="10" t="s">
        <v>45</v>
      </c>
      <c r="L425" s="10" t="s">
        <v>117</v>
      </c>
      <c r="M425" s="10" t="s">
        <v>1322</v>
      </c>
      <c r="N425" s="11">
        <v>2831.66</v>
      </c>
      <c r="O425" s="12">
        <v>7</v>
      </c>
      <c r="P425" s="13">
        <v>0.1</v>
      </c>
      <c r="Q425" s="11">
        <v>486.16</v>
      </c>
    </row>
    <row r="426" spans="1:17" x14ac:dyDescent="0.3">
      <c r="A426" s="2" t="s">
        <v>1323</v>
      </c>
      <c r="B426" s="3">
        <v>44212</v>
      </c>
      <c r="C426" s="3">
        <v>44216</v>
      </c>
      <c r="D426" s="2" t="s">
        <v>73</v>
      </c>
      <c r="E426" s="2" t="s">
        <v>610</v>
      </c>
      <c r="F426" s="4" t="s">
        <v>611</v>
      </c>
      <c r="G426" s="4" t="s">
        <v>51</v>
      </c>
      <c r="H426" s="4" t="s">
        <v>346</v>
      </c>
      <c r="I426" s="4" t="s">
        <v>347</v>
      </c>
      <c r="J426" s="4" t="s">
        <v>88</v>
      </c>
      <c r="K426" s="4" t="s">
        <v>25</v>
      </c>
      <c r="L426" s="4" t="s">
        <v>26</v>
      </c>
      <c r="M426" s="4" t="s">
        <v>1324</v>
      </c>
      <c r="N426" s="5">
        <v>7792.22</v>
      </c>
      <c r="O426" s="6">
        <v>9</v>
      </c>
      <c r="P426" s="7">
        <v>0.3</v>
      </c>
      <c r="Q426" s="5">
        <v>-713.21</v>
      </c>
    </row>
    <row r="427" spans="1:17" x14ac:dyDescent="0.3">
      <c r="A427" s="8" t="s">
        <v>1325</v>
      </c>
      <c r="B427" s="9">
        <v>45631</v>
      </c>
      <c r="C427" s="9">
        <v>45635</v>
      </c>
      <c r="D427" s="8" t="s">
        <v>39</v>
      </c>
      <c r="E427" s="8" t="s">
        <v>395</v>
      </c>
      <c r="F427" s="10" t="s">
        <v>396</v>
      </c>
      <c r="G427" s="10" t="s">
        <v>21</v>
      </c>
      <c r="H427" s="10" t="s">
        <v>397</v>
      </c>
      <c r="I427" s="10" t="s">
        <v>33</v>
      </c>
      <c r="J427" s="10" t="s">
        <v>34</v>
      </c>
      <c r="K427" s="10" t="s">
        <v>45</v>
      </c>
      <c r="L427" s="10" t="s">
        <v>99</v>
      </c>
      <c r="M427" s="10" t="s">
        <v>1326</v>
      </c>
      <c r="N427" s="11">
        <v>975.04</v>
      </c>
      <c r="O427" s="12">
        <v>8</v>
      </c>
      <c r="P427" s="13">
        <v>0</v>
      </c>
      <c r="Q427" s="11">
        <v>307.49</v>
      </c>
    </row>
    <row r="428" spans="1:17" x14ac:dyDescent="0.3">
      <c r="A428" s="2" t="s">
        <v>1327</v>
      </c>
      <c r="B428" s="3">
        <v>44203</v>
      </c>
      <c r="C428" s="3">
        <v>44208</v>
      </c>
      <c r="D428" s="2" t="s">
        <v>73</v>
      </c>
      <c r="E428" s="2" t="s">
        <v>187</v>
      </c>
      <c r="F428" s="4" t="s">
        <v>188</v>
      </c>
      <c r="G428" s="4" t="s">
        <v>21</v>
      </c>
      <c r="H428" s="4" t="s">
        <v>22</v>
      </c>
      <c r="I428" s="4" t="s">
        <v>23</v>
      </c>
      <c r="J428" s="4" t="s">
        <v>24</v>
      </c>
      <c r="K428" s="4" t="s">
        <v>25</v>
      </c>
      <c r="L428" s="4" t="s">
        <v>68</v>
      </c>
      <c r="M428" s="4" t="s">
        <v>1328</v>
      </c>
      <c r="N428" s="5">
        <v>580.85</v>
      </c>
      <c r="O428" s="6">
        <v>5</v>
      </c>
      <c r="P428" s="7">
        <v>0</v>
      </c>
      <c r="Q428" s="5">
        <v>242.01</v>
      </c>
    </row>
    <row r="429" spans="1:17" x14ac:dyDescent="0.3">
      <c r="A429" s="8" t="s">
        <v>1329</v>
      </c>
      <c r="B429" s="9">
        <v>45558</v>
      </c>
      <c r="C429" s="9">
        <v>45563</v>
      </c>
      <c r="D429" s="8" t="s">
        <v>73</v>
      </c>
      <c r="E429" s="8" t="s">
        <v>1330</v>
      </c>
      <c r="F429" s="10" t="s">
        <v>1331</v>
      </c>
      <c r="G429" s="10" t="s">
        <v>51</v>
      </c>
      <c r="H429" s="10" t="s">
        <v>52</v>
      </c>
      <c r="I429" s="10" t="s">
        <v>53</v>
      </c>
      <c r="J429" s="10" t="s">
        <v>54</v>
      </c>
      <c r="K429" s="10" t="s">
        <v>35</v>
      </c>
      <c r="L429" s="10" t="s">
        <v>110</v>
      </c>
      <c r="M429" s="10" t="s">
        <v>1332</v>
      </c>
      <c r="N429" s="11">
        <v>100.89</v>
      </c>
      <c r="O429" s="12">
        <v>9</v>
      </c>
      <c r="P429" s="13">
        <v>0</v>
      </c>
      <c r="Q429" s="11">
        <v>38.840000000000003</v>
      </c>
    </row>
    <row r="430" spans="1:17" x14ac:dyDescent="0.3">
      <c r="A430" s="2" t="s">
        <v>1333</v>
      </c>
      <c r="B430" s="3">
        <v>44469</v>
      </c>
      <c r="C430" s="3">
        <v>44472</v>
      </c>
      <c r="D430" s="2" t="s">
        <v>73</v>
      </c>
      <c r="E430" s="2" t="s">
        <v>785</v>
      </c>
      <c r="F430" s="4" t="s">
        <v>786</v>
      </c>
      <c r="G430" s="4" t="s">
        <v>51</v>
      </c>
      <c r="H430" s="4" t="s">
        <v>422</v>
      </c>
      <c r="I430" s="4" t="s">
        <v>423</v>
      </c>
      <c r="J430" s="4" t="s">
        <v>88</v>
      </c>
      <c r="K430" s="4" t="s">
        <v>35</v>
      </c>
      <c r="L430" s="4" t="s">
        <v>110</v>
      </c>
      <c r="M430" s="4" t="s">
        <v>1334</v>
      </c>
      <c r="N430" s="5">
        <v>85.15</v>
      </c>
      <c r="O430" s="6">
        <v>3</v>
      </c>
      <c r="P430" s="7">
        <v>0.2</v>
      </c>
      <c r="Q430" s="5">
        <v>21.95</v>
      </c>
    </row>
    <row r="431" spans="1:17" x14ac:dyDescent="0.3">
      <c r="A431" s="8" t="s">
        <v>1335</v>
      </c>
      <c r="B431" s="9">
        <v>44216</v>
      </c>
      <c r="C431" s="9">
        <v>44223</v>
      </c>
      <c r="D431" s="8" t="s">
        <v>29</v>
      </c>
      <c r="E431" s="8" t="s">
        <v>340</v>
      </c>
      <c r="F431" s="10" t="s">
        <v>341</v>
      </c>
      <c r="G431" s="10" t="s">
        <v>21</v>
      </c>
      <c r="H431" s="10" t="s">
        <v>139</v>
      </c>
      <c r="I431" s="10" t="s">
        <v>140</v>
      </c>
      <c r="J431" s="10" t="s">
        <v>24</v>
      </c>
      <c r="K431" s="10" t="s">
        <v>45</v>
      </c>
      <c r="L431" s="10" t="s">
        <v>99</v>
      </c>
      <c r="M431" s="10" t="s">
        <v>1336</v>
      </c>
      <c r="N431" s="11">
        <v>371</v>
      </c>
      <c r="O431" s="12">
        <v>10</v>
      </c>
      <c r="P431" s="13">
        <v>0</v>
      </c>
      <c r="Q431" s="11">
        <v>101.36</v>
      </c>
    </row>
    <row r="432" spans="1:17" x14ac:dyDescent="0.3">
      <c r="A432" s="2" t="s">
        <v>1337</v>
      </c>
      <c r="B432" s="3">
        <v>45290</v>
      </c>
      <c r="C432" s="3">
        <v>45295</v>
      </c>
      <c r="D432" s="2" t="s">
        <v>73</v>
      </c>
      <c r="E432" s="2" t="s">
        <v>1166</v>
      </c>
      <c r="F432" s="4" t="s">
        <v>1167</v>
      </c>
      <c r="G432" s="4" t="s">
        <v>21</v>
      </c>
      <c r="H432" s="4" t="s">
        <v>98</v>
      </c>
      <c r="I432" s="4" t="s">
        <v>80</v>
      </c>
      <c r="J432" s="4" t="s">
        <v>54</v>
      </c>
      <c r="K432" s="4" t="s">
        <v>35</v>
      </c>
      <c r="L432" s="4" t="s">
        <v>295</v>
      </c>
      <c r="M432" s="4" t="s">
        <v>1338</v>
      </c>
      <c r="N432" s="5">
        <v>237.95</v>
      </c>
      <c r="O432" s="6">
        <v>8</v>
      </c>
      <c r="P432" s="7">
        <v>0.2</v>
      </c>
      <c r="Q432" s="5">
        <v>112.8</v>
      </c>
    </row>
    <row r="433" spans="1:17" x14ac:dyDescent="0.3">
      <c r="A433" s="8" t="s">
        <v>1339</v>
      </c>
      <c r="B433" s="9">
        <v>45473</v>
      </c>
      <c r="C433" s="9">
        <v>45475</v>
      </c>
      <c r="D433" s="8" t="s">
        <v>39</v>
      </c>
      <c r="E433" s="8" t="s">
        <v>244</v>
      </c>
      <c r="F433" s="10" t="s">
        <v>245</v>
      </c>
      <c r="G433" s="10" t="s">
        <v>42</v>
      </c>
      <c r="H433" s="10" t="s">
        <v>79</v>
      </c>
      <c r="I433" s="10" t="s">
        <v>80</v>
      </c>
      <c r="J433" s="10" t="s">
        <v>54</v>
      </c>
      <c r="K433" s="10" t="s">
        <v>35</v>
      </c>
      <c r="L433" s="10" t="s">
        <v>229</v>
      </c>
      <c r="M433" s="10" t="s">
        <v>1340</v>
      </c>
      <c r="N433" s="11">
        <v>49.19</v>
      </c>
      <c r="O433" s="12">
        <v>6</v>
      </c>
      <c r="P433" s="13">
        <v>0.1</v>
      </c>
      <c r="Q433" s="11">
        <v>20.54</v>
      </c>
    </row>
    <row r="434" spans="1:17" x14ac:dyDescent="0.3">
      <c r="A434" s="2" t="s">
        <v>1341</v>
      </c>
      <c r="B434" s="3">
        <v>44514</v>
      </c>
      <c r="C434" s="3">
        <v>44516</v>
      </c>
      <c r="D434" s="2" t="s">
        <v>39</v>
      </c>
      <c r="E434" s="2" t="s">
        <v>303</v>
      </c>
      <c r="F434" s="4" t="s">
        <v>304</v>
      </c>
      <c r="G434" s="4" t="s">
        <v>42</v>
      </c>
      <c r="H434" s="4" t="s">
        <v>305</v>
      </c>
      <c r="I434" s="4" t="s">
        <v>306</v>
      </c>
      <c r="J434" s="4" t="s">
        <v>34</v>
      </c>
      <c r="K434" s="4" t="s">
        <v>45</v>
      </c>
      <c r="L434" s="4" t="s">
        <v>46</v>
      </c>
      <c r="M434" s="4" t="s">
        <v>1342</v>
      </c>
      <c r="N434" s="5">
        <v>5442.92</v>
      </c>
      <c r="O434" s="6">
        <v>10</v>
      </c>
      <c r="P434" s="7">
        <v>0.3</v>
      </c>
      <c r="Q434" s="5">
        <v>154.38</v>
      </c>
    </row>
    <row r="435" spans="1:17" x14ac:dyDescent="0.3">
      <c r="A435" s="8" t="s">
        <v>1343</v>
      </c>
      <c r="B435" s="9">
        <v>44932</v>
      </c>
      <c r="C435" s="9">
        <v>44936</v>
      </c>
      <c r="D435" s="8" t="s">
        <v>39</v>
      </c>
      <c r="E435" s="8" t="s">
        <v>874</v>
      </c>
      <c r="F435" s="10" t="s">
        <v>875</v>
      </c>
      <c r="G435" s="10" t="s">
        <v>51</v>
      </c>
      <c r="H435" s="10" t="s">
        <v>59</v>
      </c>
      <c r="I435" s="10" t="s">
        <v>60</v>
      </c>
      <c r="J435" s="10" t="s">
        <v>54</v>
      </c>
      <c r="K435" s="10" t="s">
        <v>45</v>
      </c>
      <c r="L435" s="10" t="s">
        <v>117</v>
      </c>
      <c r="M435" s="10" t="s">
        <v>1344</v>
      </c>
      <c r="N435" s="11">
        <v>414.56</v>
      </c>
      <c r="O435" s="12">
        <v>8</v>
      </c>
      <c r="P435" s="13">
        <v>0</v>
      </c>
      <c r="Q435" s="11">
        <v>111.62</v>
      </c>
    </row>
    <row r="436" spans="1:17" x14ac:dyDescent="0.3">
      <c r="A436" s="2" t="s">
        <v>1345</v>
      </c>
      <c r="B436" s="3">
        <v>44786</v>
      </c>
      <c r="C436" s="3">
        <v>44790</v>
      </c>
      <c r="D436" s="2" t="s">
        <v>39</v>
      </c>
      <c r="E436" s="2" t="s">
        <v>588</v>
      </c>
      <c r="F436" s="4" t="s">
        <v>589</v>
      </c>
      <c r="G436" s="4" t="s">
        <v>42</v>
      </c>
      <c r="H436" s="4" t="s">
        <v>397</v>
      </c>
      <c r="I436" s="4" t="s">
        <v>33</v>
      </c>
      <c r="J436" s="4" t="s">
        <v>34</v>
      </c>
      <c r="K436" s="4" t="s">
        <v>45</v>
      </c>
      <c r="L436" s="4" t="s">
        <v>99</v>
      </c>
      <c r="M436" s="4" t="s">
        <v>1346</v>
      </c>
      <c r="N436" s="5">
        <v>296.63</v>
      </c>
      <c r="O436" s="6">
        <v>3</v>
      </c>
      <c r="P436" s="7">
        <v>0.05</v>
      </c>
      <c r="Q436" s="5">
        <v>91.92</v>
      </c>
    </row>
    <row r="437" spans="1:17" x14ac:dyDescent="0.3">
      <c r="A437" s="8" t="s">
        <v>1347</v>
      </c>
      <c r="B437" s="9">
        <v>45606</v>
      </c>
      <c r="C437" s="9">
        <v>45613</v>
      </c>
      <c r="D437" s="8" t="s">
        <v>29</v>
      </c>
      <c r="E437" s="8" t="s">
        <v>504</v>
      </c>
      <c r="F437" s="10" t="s">
        <v>505</v>
      </c>
      <c r="G437" s="10" t="s">
        <v>42</v>
      </c>
      <c r="H437" s="10" t="s">
        <v>150</v>
      </c>
      <c r="I437" s="10" t="s">
        <v>151</v>
      </c>
      <c r="J437" s="10" t="s">
        <v>34</v>
      </c>
      <c r="K437" s="10" t="s">
        <v>45</v>
      </c>
      <c r="L437" s="10" t="s">
        <v>99</v>
      </c>
      <c r="M437" s="10" t="s">
        <v>1348</v>
      </c>
      <c r="N437" s="11">
        <v>116.7</v>
      </c>
      <c r="O437" s="12">
        <v>2</v>
      </c>
      <c r="P437" s="13">
        <v>0.2</v>
      </c>
      <c r="Q437" s="11">
        <v>15.55</v>
      </c>
    </row>
    <row r="438" spans="1:17" x14ac:dyDescent="0.3">
      <c r="A438" s="2" t="s">
        <v>1349</v>
      </c>
      <c r="B438" s="3">
        <v>44983</v>
      </c>
      <c r="C438" s="3">
        <v>44988</v>
      </c>
      <c r="D438" s="2" t="s">
        <v>29</v>
      </c>
      <c r="E438" s="2" t="s">
        <v>975</v>
      </c>
      <c r="F438" s="4" t="s">
        <v>976</v>
      </c>
      <c r="G438" s="4" t="s">
        <v>51</v>
      </c>
      <c r="H438" s="4" t="s">
        <v>459</v>
      </c>
      <c r="I438" s="4" t="s">
        <v>460</v>
      </c>
      <c r="J438" s="4" t="s">
        <v>54</v>
      </c>
      <c r="K438" s="4" t="s">
        <v>35</v>
      </c>
      <c r="L438" s="4" t="s">
        <v>166</v>
      </c>
      <c r="M438" s="4" t="s">
        <v>1350</v>
      </c>
      <c r="N438" s="5">
        <v>268.33999999999997</v>
      </c>
      <c r="O438" s="6">
        <v>4</v>
      </c>
      <c r="P438" s="7">
        <v>0.1</v>
      </c>
      <c r="Q438" s="5">
        <v>73.459999999999994</v>
      </c>
    </row>
    <row r="439" spans="1:17" x14ac:dyDescent="0.3">
      <c r="A439" s="8" t="s">
        <v>1351</v>
      </c>
      <c r="B439" s="9">
        <v>45287</v>
      </c>
      <c r="C439" s="9">
        <v>45291</v>
      </c>
      <c r="D439" s="8" t="s">
        <v>73</v>
      </c>
      <c r="E439" s="8" t="s">
        <v>1352</v>
      </c>
      <c r="F439" s="10" t="s">
        <v>1353</v>
      </c>
      <c r="G439" s="10" t="s">
        <v>42</v>
      </c>
      <c r="H439" s="10" t="s">
        <v>207</v>
      </c>
      <c r="I439" s="10" t="s">
        <v>60</v>
      </c>
      <c r="J439" s="10" t="s">
        <v>54</v>
      </c>
      <c r="K439" s="10" t="s">
        <v>45</v>
      </c>
      <c r="L439" s="10" t="s">
        <v>46</v>
      </c>
      <c r="M439" s="10" t="s">
        <v>1354</v>
      </c>
      <c r="N439" s="11">
        <v>983.28</v>
      </c>
      <c r="O439" s="12">
        <v>7</v>
      </c>
      <c r="P439" s="13">
        <v>0.3</v>
      </c>
      <c r="Q439" s="11">
        <v>114.87</v>
      </c>
    </row>
    <row r="440" spans="1:17" x14ac:dyDescent="0.3">
      <c r="A440" s="2" t="s">
        <v>1355</v>
      </c>
      <c r="B440" s="3">
        <v>45051</v>
      </c>
      <c r="C440" s="3">
        <v>45054</v>
      </c>
      <c r="D440" s="2" t="s">
        <v>39</v>
      </c>
      <c r="E440" s="2" t="s">
        <v>49</v>
      </c>
      <c r="F440" s="4" t="s">
        <v>50</v>
      </c>
      <c r="G440" s="4" t="s">
        <v>51</v>
      </c>
      <c r="H440" s="4" t="s">
        <v>52</v>
      </c>
      <c r="I440" s="4" t="s">
        <v>53</v>
      </c>
      <c r="J440" s="4" t="s">
        <v>54</v>
      </c>
      <c r="K440" s="4" t="s">
        <v>25</v>
      </c>
      <c r="L440" s="4" t="s">
        <v>124</v>
      </c>
      <c r="M440" s="4" t="s">
        <v>1356</v>
      </c>
      <c r="N440" s="5">
        <v>6536.36</v>
      </c>
      <c r="O440" s="6">
        <v>6</v>
      </c>
      <c r="P440" s="7">
        <v>0.15</v>
      </c>
      <c r="Q440" s="5">
        <v>903.06</v>
      </c>
    </row>
    <row r="441" spans="1:17" x14ac:dyDescent="0.3">
      <c r="A441" s="8" t="s">
        <v>1357</v>
      </c>
      <c r="B441" s="9">
        <v>45521</v>
      </c>
      <c r="C441" s="9">
        <v>45522</v>
      </c>
      <c r="D441" s="8" t="s">
        <v>18</v>
      </c>
      <c r="E441" s="8" t="s">
        <v>717</v>
      </c>
      <c r="F441" s="10" t="s">
        <v>718</v>
      </c>
      <c r="G441" s="10" t="s">
        <v>51</v>
      </c>
      <c r="H441" s="10" t="s">
        <v>86</v>
      </c>
      <c r="I441" s="10" t="s">
        <v>87</v>
      </c>
      <c r="J441" s="10" t="s">
        <v>88</v>
      </c>
      <c r="K441" s="10" t="s">
        <v>25</v>
      </c>
      <c r="L441" s="10" t="s">
        <v>74</v>
      </c>
      <c r="M441" s="10" t="s">
        <v>1358</v>
      </c>
      <c r="N441" s="11">
        <v>2000.97</v>
      </c>
      <c r="O441" s="12">
        <v>3</v>
      </c>
      <c r="P441" s="13">
        <v>0</v>
      </c>
      <c r="Q441" s="11">
        <v>663.25</v>
      </c>
    </row>
    <row r="442" spans="1:17" x14ac:dyDescent="0.3">
      <c r="A442" s="2" t="s">
        <v>1359</v>
      </c>
      <c r="B442" s="3">
        <v>44956</v>
      </c>
      <c r="C442" s="3">
        <v>44959</v>
      </c>
      <c r="D442" s="2" t="s">
        <v>39</v>
      </c>
      <c r="E442" s="2" t="s">
        <v>1360</v>
      </c>
      <c r="F442" s="4" t="s">
        <v>1361</v>
      </c>
      <c r="G442" s="4" t="s">
        <v>21</v>
      </c>
      <c r="H442" s="4" t="s">
        <v>156</v>
      </c>
      <c r="I442" s="4" t="s">
        <v>157</v>
      </c>
      <c r="J442" s="4" t="s">
        <v>88</v>
      </c>
      <c r="K442" s="4" t="s">
        <v>35</v>
      </c>
      <c r="L442" s="4" t="s">
        <v>89</v>
      </c>
      <c r="M442" s="4" t="s">
        <v>1362</v>
      </c>
      <c r="N442" s="5">
        <v>293.08</v>
      </c>
      <c r="O442" s="6">
        <v>8</v>
      </c>
      <c r="P442" s="7">
        <v>0.15</v>
      </c>
      <c r="Q442" s="5">
        <v>46.1</v>
      </c>
    </row>
    <row r="443" spans="1:17" x14ac:dyDescent="0.3">
      <c r="A443" s="8" t="s">
        <v>1363</v>
      </c>
      <c r="B443" s="9">
        <v>45341</v>
      </c>
      <c r="C443" s="9">
        <v>45346</v>
      </c>
      <c r="D443" s="8" t="s">
        <v>73</v>
      </c>
      <c r="E443" s="8" t="s">
        <v>628</v>
      </c>
      <c r="F443" s="10" t="s">
        <v>629</v>
      </c>
      <c r="G443" s="10" t="s">
        <v>42</v>
      </c>
      <c r="H443" s="10" t="s">
        <v>32</v>
      </c>
      <c r="I443" s="10" t="s">
        <v>33</v>
      </c>
      <c r="J443" s="10" t="s">
        <v>34</v>
      </c>
      <c r="K443" s="10" t="s">
        <v>25</v>
      </c>
      <c r="L443" s="10" t="s">
        <v>124</v>
      </c>
      <c r="M443" s="10" t="s">
        <v>1364</v>
      </c>
      <c r="N443" s="11">
        <v>11096</v>
      </c>
      <c r="O443" s="12">
        <v>8</v>
      </c>
      <c r="P443" s="13">
        <v>0</v>
      </c>
      <c r="Q443" s="11"/>
    </row>
    <row r="444" spans="1:17" x14ac:dyDescent="0.3">
      <c r="A444" s="2" t="s">
        <v>1365</v>
      </c>
      <c r="B444" s="3">
        <v>44243</v>
      </c>
      <c r="C444" s="3">
        <v>44246</v>
      </c>
      <c r="D444" s="2" t="s">
        <v>39</v>
      </c>
      <c r="E444" s="2" t="s">
        <v>614</v>
      </c>
      <c r="F444" s="4" t="s">
        <v>615</v>
      </c>
      <c r="G444" s="4" t="s">
        <v>21</v>
      </c>
      <c r="H444" s="4" t="s">
        <v>139</v>
      </c>
      <c r="I444" s="4" t="s">
        <v>140</v>
      </c>
      <c r="J444" s="4" t="s">
        <v>24</v>
      </c>
      <c r="K444" s="4" t="s">
        <v>25</v>
      </c>
      <c r="L444" s="4" t="s">
        <v>124</v>
      </c>
      <c r="M444" s="4" t="s">
        <v>1366</v>
      </c>
      <c r="N444" s="5">
        <v>5127.41</v>
      </c>
      <c r="O444" s="6">
        <v>4</v>
      </c>
      <c r="P444" s="7">
        <v>0.4</v>
      </c>
      <c r="Q444" s="5">
        <v>-1900.02</v>
      </c>
    </row>
    <row r="445" spans="1:17" x14ac:dyDescent="0.3">
      <c r="A445" s="8" t="s">
        <v>1367</v>
      </c>
      <c r="B445" s="9">
        <v>44975</v>
      </c>
      <c r="C445" s="9">
        <v>44978</v>
      </c>
      <c r="D445" s="8" t="s">
        <v>39</v>
      </c>
      <c r="E445" s="8" t="s">
        <v>232</v>
      </c>
      <c r="F445" s="10" t="s">
        <v>233</v>
      </c>
      <c r="G445" s="10" t="s">
        <v>21</v>
      </c>
      <c r="H445" s="10" t="s">
        <v>156</v>
      </c>
      <c r="I445" s="10" t="s">
        <v>157</v>
      </c>
      <c r="J445" s="10" t="s">
        <v>88</v>
      </c>
      <c r="K445" s="10" t="s">
        <v>45</v>
      </c>
      <c r="L445" s="10" t="s">
        <v>117</v>
      </c>
      <c r="M445" s="10" t="s">
        <v>1368</v>
      </c>
      <c r="N445" s="11">
        <v>1294.48</v>
      </c>
      <c r="O445" s="12">
        <v>7</v>
      </c>
      <c r="P445" s="13">
        <v>0.15</v>
      </c>
      <c r="Q445" s="11">
        <v>114.74</v>
      </c>
    </row>
    <row r="446" spans="1:17" x14ac:dyDescent="0.3">
      <c r="A446" s="2" t="s">
        <v>1369</v>
      </c>
      <c r="B446" s="3">
        <v>45404</v>
      </c>
      <c r="C446" s="3">
        <v>45410</v>
      </c>
      <c r="D446" s="2" t="s">
        <v>29</v>
      </c>
      <c r="E446" s="2" t="s">
        <v>154</v>
      </c>
      <c r="F446" s="4" t="s">
        <v>155</v>
      </c>
      <c r="G446" s="4" t="s">
        <v>51</v>
      </c>
      <c r="H446" s="4" t="s">
        <v>156</v>
      </c>
      <c r="I446" s="4" t="s">
        <v>157</v>
      </c>
      <c r="J446" s="4" t="s">
        <v>88</v>
      </c>
      <c r="K446" s="4" t="s">
        <v>45</v>
      </c>
      <c r="L446" s="4" t="s">
        <v>117</v>
      </c>
      <c r="M446" s="4" t="s">
        <v>1370</v>
      </c>
      <c r="N446" s="5">
        <v>587.16</v>
      </c>
      <c r="O446" s="6">
        <v>5</v>
      </c>
      <c r="P446" s="7">
        <v>0.3</v>
      </c>
      <c r="Q446" s="5">
        <v>-4.4800000000000004</v>
      </c>
    </row>
    <row r="447" spans="1:17" x14ac:dyDescent="0.3">
      <c r="A447" s="8" t="s">
        <v>1371</v>
      </c>
      <c r="B447" s="9">
        <v>44232</v>
      </c>
      <c r="C447" s="9">
        <v>44236</v>
      </c>
      <c r="D447" s="8" t="s">
        <v>39</v>
      </c>
      <c r="E447" s="8" t="s">
        <v>1148</v>
      </c>
      <c r="F447" s="10" t="s">
        <v>1149</v>
      </c>
      <c r="G447" s="10" t="s">
        <v>51</v>
      </c>
      <c r="H447" s="10" t="s">
        <v>150</v>
      </c>
      <c r="I447" s="10" t="s">
        <v>151</v>
      </c>
      <c r="J447" s="10" t="s">
        <v>34</v>
      </c>
      <c r="K447" s="10" t="s">
        <v>25</v>
      </c>
      <c r="L447" s="10" t="s">
        <v>124</v>
      </c>
      <c r="M447" s="10" t="s">
        <v>1372</v>
      </c>
      <c r="N447" s="11">
        <v>9864.93</v>
      </c>
      <c r="O447" s="12">
        <v>4</v>
      </c>
      <c r="P447" s="13">
        <v>0.15</v>
      </c>
      <c r="Q447" s="11">
        <v>2083.7199999999998</v>
      </c>
    </row>
    <row r="448" spans="1:17" x14ac:dyDescent="0.3">
      <c r="A448" s="2" t="s">
        <v>1373</v>
      </c>
      <c r="B448" s="3">
        <v>44491</v>
      </c>
      <c r="C448" s="3">
        <v>44495</v>
      </c>
      <c r="D448" s="2" t="s">
        <v>73</v>
      </c>
      <c r="E448" s="2" t="s">
        <v>1136</v>
      </c>
      <c r="F448" s="4" t="s">
        <v>1137</v>
      </c>
      <c r="G448" s="4" t="s">
        <v>51</v>
      </c>
      <c r="H448" s="4" t="s">
        <v>386</v>
      </c>
      <c r="I448" s="4" t="s">
        <v>347</v>
      </c>
      <c r="J448" s="4" t="s">
        <v>88</v>
      </c>
      <c r="K448" s="4" t="s">
        <v>35</v>
      </c>
      <c r="L448" s="4" t="s">
        <v>229</v>
      </c>
      <c r="M448" s="4" t="s">
        <v>1374</v>
      </c>
      <c r="N448" s="5">
        <v>3.28</v>
      </c>
      <c r="O448" s="6">
        <v>2</v>
      </c>
      <c r="P448" s="7">
        <v>0.4</v>
      </c>
      <c r="Q448" s="5">
        <v>0.73</v>
      </c>
    </row>
    <row r="449" spans="1:17" x14ac:dyDescent="0.3">
      <c r="A449" s="8" t="s">
        <v>1375</v>
      </c>
      <c r="B449" s="9">
        <v>44244</v>
      </c>
      <c r="C449" s="9">
        <v>44249</v>
      </c>
      <c r="D449" s="8" t="s">
        <v>29</v>
      </c>
      <c r="E449" s="8" t="s">
        <v>1258</v>
      </c>
      <c r="F449" s="10" t="s">
        <v>1259</v>
      </c>
      <c r="G449" s="10" t="s">
        <v>21</v>
      </c>
      <c r="H449" s="10" t="s">
        <v>438</v>
      </c>
      <c r="I449" s="10" t="s">
        <v>157</v>
      </c>
      <c r="J449" s="10" t="s">
        <v>88</v>
      </c>
      <c r="K449" s="10" t="s">
        <v>25</v>
      </c>
      <c r="L449" s="10" t="s">
        <v>74</v>
      </c>
      <c r="M449" s="10" t="s">
        <v>1376</v>
      </c>
      <c r="N449" s="11">
        <v>5000.8599999999997</v>
      </c>
      <c r="O449" s="12">
        <v>9</v>
      </c>
      <c r="P449" s="13">
        <v>0.1</v>
      </c>
      <c r="Q449" s="11">
        <v>1710.45</v>
      </c>
    </row>
    <row r="450" spans="1:17" x14ac:dyDescent="0.3">
      <c r="A450" s="2" t="s">
        <v>1377</v>
      </c>
      <c r="B450" s="3">
        <v>44584</v>
      </c>
      <c r="C450" s="3">
        <v>44585</v>
      </c>
      <c r="D450" s="2" t="s">
        <v>18</v>
      </c>
      <c r="E450" s="2" t="s">
        <v>108</v>
      </c>
      <c r="F450" s="4" t="s">
        <v>109</v>
      </c>
      <c r="G450" s="4" t="s">
        <v>21</v>
      </c>
      <c r="H450" s="4" t="s">
        <v>22</v>
      </c>
      <c r="I450" s="4" t="s">
        <v>23</v>
      </c>
      <c r="J450" s="4" t="s">
        <v>24</v>
      </c>
      <c r="K450" s="4" t="s">
        <v>35</v>
      </c>
      <c r="L450" s="4" t="s">
        <v>216</v>
      </c>
      <c r="M450" s="4" t="s">
        <v>1378</v>
      </c>
      <c r="N450" s="5">
        <v>32.479999999999997</v>
      </c>
      <c r="O450" s="6">
        <v>7</v>
      </c>
      <c r="P450" s="7">
        <v>0.2</v>
      </c>
      <c r="Q450" s="5">
        <v>12.14</v>
      </c>
    </row>
    <row r="451" spans="1:17" x14ac:dyDescent="0.3">
      <c r="A451" s="8" t="s">
        <v>1379</v>
      </c>
      <c r="B451" s="9">
        <v>44790</v>
      </c>
      <c r="C451" s="9">
        <v>44793</v>
      </c>
      <c r="D451" s="8" t="s">
        <v>73</v>
      </c>
      <c r="E451" s="8" t="s">
        <v>566</v>
      </c>
      <c r="F451" s="10" t="s">
        <v>567</v>
      </c>
      <c r="G451" s="10" t="s">
        <v>21</v>
      </c>
      <c r="H451" s="10" t="s">
        <v>156</v>
      </c>
      <c r="I451" s="10" t="s">
        <v>157</v>
      </c>
      <c r="J451" s="10" t="s">
        <v>88</v>
      </c>
      <c r="K451" s="10" t="s">
        <v>45</v>
      </c>
      <c r="L451" s="10" t="s">
        <v>46</v>
      </c>
      <c r="M451" s="10" t="s">
        <v>1380</v>
      </c>
      <c r="N451" s="11">
        <v>2058.36</v>
      </c>
      <c r="O451" s="12">
        <v>6</v>
      </c>
      <c r="P451" s="13">
        <v>0</v>
      </c>
      <c r="Q451" s="11">
        <v>608.05999999999995</v>
      </c>
    </row>
    <row r="452" spans="1:17" x14ac:dyDescent="0.3">
      <c r="A452" s="2" t="s">
        <v>1381</v>
      </c>
      <c r="B452" s="3">
        <v>45361</v>
      </c>
      <c r="C452" s="3">
        <v>45364</v>
      </c>
      <c r="D452" s="2" t="s">
        <v>39</v>
      </c>
      <c r="E452" s="2" t="s">
        <v>370</v>
      </c>
      <c r="F452" s="4" t="s">
        <v>371</v>
      </c>
      <c r="G452" s="4" t="s">
        <v>51</v>
      </c>
      <c r="H452" s="4" t="s">
        <v>372</v>
      </c>
      <c r="I452" s="4" t="s">
        <v>373</v>
      </c>
      <c r="J452" s="4" t="s">
        <v>34</v>
      </c>
      <c r="K452" s="4" t="s">
        <v>25</v>
      </c>
      <c r="L452" s="4" t="s">
        <v>68</v>
      </c>
      <c r="M452" s="4" t="s">
        <v>1382</v>
      </c>
      <c r="N452" s="5">
        <v>749.14</v>
      </c>
      <c r="O452" s="6">
        <v>7</v>
      </c>
      <c r="P452" s="7">
        <v>0</v>
      </c>
      <c r="Q452" s="5">
        <v>303.89</v>
      </c>
    </row>
    <row r="453" spans="1:17" x14ac:dyDescent="0.3">
      <c r="A453" s="8" t="s">
        <v>1383</v>
      </c>
      <c r="B453" s="9">
        <v>44995</v>
      </c>
      <c r="C453" s="9">
        <v>44997</v>
      </c>
      <c r="D453" s="8" t="s">
        <v>39</v>
      </c>
      <c r="E453" s="8" t="s">
        <v>1148</v>
      </c>
      <c r="F453" s="10" t="s">
        <v>1149</v>
      </c>
      <c r="G453" s="10" t="s">
        <v>51</v>
      </c>
      <c r="H453" s="10" t="s">
        <v>150</v>
      </c>
      <c r="I453" s="10" t="s">
        <v>151</v>
      </c>
      <c r="J453" s="10" t="s">
        <v>34</v>
      </c>
      <c r="K453" s="10" t="s">
        <v>45</v>
      </c>
      <c r="L453" s="10" t="s">
        <v>46</v>
      </c>
      <c r="M453" s="10" t="s">
        <v>1384</v>
      </c>
      <c r="N453" s="11">
        <v>806.91</v>
      </c>
      <c r="O453" s="12">
        <v>3</v>
      </c>
      <c r="P453" s="13">
        <v>0</v>
      </c>
      <c r="Q453" s="11">
        <v>262.43</v>
      </c>
    </row>
    <row r="454" spans="1:17" x14ac:dyDescent="0.3">
      <c r="A454" s="2" t="s">
        <v>1385</v>
      </c>
      <c r="B454" s="3">
        <v>44766</v>
      </c>
      <c r="C454" s="3">
        <v>44768</v>
      </c>
      <c r="D454" s="2" t="s">
        <v>39</v>
      </c>
      <c r="E454" s="2" t="s">
        <v>890</v>
      </c>
      <c r="F454" s="4" t="s">
        <v>891</v>
      </c>
      <c r="G454" s="4" t="s">
        <v>42</v>
      </c>
      <c r="H454" s="4" t="s">
        <v>22</v>
      </c>
      <c r="I454" s="4" t="s">
        <v>23</v>
      </c>
      <c r="J454" s="4" t="s">
        <v>24</v>
      </c>
      <c r="K454" s="4" t="s">
        <v>35</v>
      </c>
      <c r="L454" s="4" t="s">
        <v>36</v>
      </c>
      <c r="M454" s="4" t="s">
        <v>1386</v>
      </c>
      <c r="N454" s="5">
        <v>186.2</v>
      </c>
      <c r="O454" s="6">
        <v>2</v>
      </c>
      <c r="P454" s="7">
        <v>0</v>
      </c>
      <c r="Q454" s="5">
        <v>78.040000000000006</v>
      </c>
    </row>
    <row r="455" spans="1:17" x14ac:dyDescent="0.3">
      <c r="A455" s="8" t="s">
        <v>1387</v>
      </c>
      <c r="B455" s="9">
        <v>45211</v>
      </c>
      <c r="C455" s="9">
        <v>45218</v>
      </c>
      <c r="D455" s="8" t="s">
        <v>29</v>
      </c>
      <c r="E455" s="8" t="s">
        <v>175</v>
      </c>
      <c r="F455" s="10" t="s">
        <v>176</v>
      </c>
      <c r="G455" s="10" t="s">
        <v>51</v>
      </c>
      <c r="H455" s="10" t="s">
        <v>177</v>
      </c>
      <c r="I455" s="10" t="s">
        <v>178</v>
      </c>
      <c r="J455" s="10" t="s">
        <v>24</v>
      </c>
      <c r="K455" s="10" t="s">
        <v>25</v>
      </c>
      <c r="L455" s="10" t="s">
        <v>26</v>
      </c>
      <c r="M455" s="10" t="s">
        <v>1388</v>
      </c>
      <c r="N455" s="11">
        <v>1844.76</v>
      </c>
      <c r="O455" s="12">
        <v>8</v>
      </c>
      <c r="P455" s="13">
        <v>0.5</v>
      </c>
      <c r="Q455" s="11">
        <v>-1250.02</v>
      </c>
    </row>
    <row r="456" spans="1:17" x14ac:dyDescent="0.3">
      <c r="A456" s="2" t="s">
        <v>1389</v>
      </c>
      <c r="B456" s="3">
        <v>45345</v>
      </c>
      <c r="C456" s="3">
        <v>45349</v>
      </c>
      <c r="D456" s="2" t="s">
        <v>39</v>
      </c>
      <c r="E456" s="2" t="s">
        <v>827</v>
      </c>
      <c r="F456" s="4" t="s">
        <v>828</v>
      </c>
      <c r="G456" s="4" t="s">
        <v>51</v>
      </c>
      <c r="H456" s="4" t="s">
        <v>319</v>
      </c>
      <c r="I456" s="4" t="s">
        <v>194</v>
      </c>
      <c r="J456" s="4" t="s">
        <v>34</v>
      </c>
      <c r="K456" s="4" t="s">
        <v>25</v>
      </c>
      <c r="L456" s="4" t="s">
        <v>74</v>
      </c>
      <c r="M456" s="4" t="s">
        <v>1390</v>
      </c>
      <c r="N456" s="5">
        <v>702.07</v>
      </c>
      <c r="O456" s="6">
        <v>1</v>
      </c>
      <c r="P456" s="7">
        <v>0</v>
      </c>
      <c r="Q456" s="5">
        <v>264.69</v>
      </c>
    </row>
    <row r="457" spans="1:17" x14ac:dyDescent="0.3">
      <c r="A457" s="8" t="s">
        <v>1391</v>
      </c>
      <c r="B457" s="9">
        <v>45174</v>
      </c>
      <c r="C457" s="9">
        <v>45176</v>
      </c>
      <c r="D457" s="8" t="s">
        <v>39</v>
      </c>
      <c r="E457" s="8" t="s">
        <v>360</v>
      </c>
      <c r="F457" s="10" t="s">
        <v>361</v>
      </c>
      <c r="G457" s="10" t="s">
        <v>42</v>
      </c>
      <c r="H457" s="10" t="s">
        <v>346</v>
      </c>
      <c r="I457" s="10" t="s">
        <v>347</v>
      </c>
      <c r="J457" s="10" t="s">
        <v>88</v>
      </c>
      <c r="K457" s="10" t="s">
        <v>25</v>
      </c>
      <c r="L457" s="10" t="s">
        <v>26</v>
      </c>
      <c r="M457" s="10" t="s">
        <v>1392</v>
      </c>
      <c r="N457" s="11">
        <v>620.91999999999996</v>
      </c>
      <c r="O457" s="12">
        <v>2</v>
      </c>
      <c r="P457" s="13">
        <v>0</v>
      </c>
      <c r="Q457" s="11">
        <v>76.33</v>
      </c>
    </row>
    <row r="458" spans="1:17" x14ac:dyDescent="0.3">
      <c r="A458" s="2" t="s">
        <v>1393</v>
      </c>
      <c r="B458" s="3">
        <v>44897</v>
      </c>
      <c r="C458" s="3">
        <v>44904</v>
      </c>
      <c r="D458" s="2" t="s">
        <v>29</v>
      </c>
      <c r="E458" s="2" t="s">
        <v>240</v>
      </c>
      <c r="F458" s="4" t="s">
        <v>241</v>
      </c>
      <c r="G458" s="4" t="s">
        <v>42</v>
      </c>
      <c r="H458" s="4" t="s">
        <v>115</v>
      </c>
      <c r="I458" s="4" t="s">
        <v>116</v>
      </c>
      <c r="J458" s="4" t="s">
        <v>54</v>
      </c>
      <c r="K458" s="4" t="s">
        <v>25</v>
      </c>
      <c r="L458" s="4" t="s">
        <v>26</v>
      </c>
      <c r="M458" s="4" t="s">
        <v>1394</v>
      </c>
      <c r="N458" s="5">
        <v>974.85</v>
      </c>
      <c r="O458" s="6">
        <v>2</v>
      </c>
      <c r="P458" s="7">
        <v>0.2</v>
      </c>
      <c r="Q458" s="5">
        <v>-33.86</v>
      </c>
    </row>
    <row r="459" spans="1:17" x14ac:dyDescent="0.3">
      <c r="A459" s="8" t="s">
        <v>1395</v>
      </c>
      <c r="B459" s="9">
        <v>44286</v>
      </c>
      <c r="C459" s="9">
        <v>44289</v>
      </c>
      <c r="D459" s="8" t="s">
        <v>73</v>
      </c>
      <c r="E459" s="8" t="s">
        <v>650</v>
      </c>
      <c r="F459" s="10" t="s">
        <v>651</v>
      </c>
      <c r="G459" s="10" t="s">
        <v>42</v>
      </c>
      <c r="H459" s="10" t="s">
        <v>438</v>
      </c>
      <c r="I459" s="10" t="s">
        <v>157</v>
      </c>
      <c r="J459" s="10" t="s">
        <v>88</v>
      </c>
      <c r="K459" s="10" t="s">
        <v>25</v>
      </c>
      <c r="L459" s="10" t="s">
        <v>74</v>
      </c>
      <c r="M459" s="10" t="s">
        <v>1396</v>
      </c>
      <c r="N459" s="11">
        <v>1900.87</v>
      </c>
      <c r="O459" s="12">
        <v>4</v>
      </c>
      <c r="P459" s="13">
        <v>0.4</v>
      </c>
      <c r="Q459" s="11">
        <v>-175.27</v>
      </c>
    </row>
    <row r="460" spans="1:17" x14ac:dyDescent="0.3">
      <c r="A460" s="2" t="s">
        <v>1397</v>
      </c>
      <c r="B460" s="3">
        <v>44601</v>
      </c>
      <c r="C460" s="3">
        <v>44602</v>
      </c>
      <c r="D460" s="2" t="s">
        <v>18</v>
      </c>
      <c r="E460" s="2" t="s">
        <v>420</v>
      </c>
      <c r="F460" s="4" t="s">
        <v>421</v>
      </c>
      <c r="G460" s="4" t="s">
        <v>51</v>
      </c>
      <c r="H460" s="4" t="s">
        <v>422</v>
      </c>
      <c r="I460" s="4" t="s">
        <v>423</v>
      </c>
      <c r="J460" s="4" t="s">
        <v>88</v>
      </c>
      <c r="K460" s="4" t="s">
        <v>25</v>
      </c>
      <c r="L460" s="4" t="s">
        <v>26</v>
      </c>
      <c r="M460" s="4" t="s">
        <v>1398</v>
      </c>
      <c r="N460" s="5">
        <v>3694.48</v>
      </c>
      <c r="O460" s="6">
        <v>2</v>
      </c>
      <c r="P460" s="7">
        <v>0</v>
      </c>
      <c r="Q460" s="5">
        <v>445.02</v>
      </c>
    </row>
    <row r="461" spans="1:17" x14ac:dyDescent="0.3">
      <c r="A461" s="8" t="s">
        <v>1399</v>
      </c>
      <c r="B461" s="9">
        <v>44875</v>
      </c>
      <c r="C461" s="9">
        <v>44880</v>
      </c>
      <c r="D461" s="8" t="s">
        <v>29</v>
      </c>
      <c r="E461" s="8" t="s">
        <v>1047</v>
      </c>
      <c r="F461" s="10" t="s">
        <v>1048</v>
      </c>
      <c r="G461" s="10" t="s">
        <v>42</v>
      </c>
      <c r="H461" s="10" t="s">
        <v>79</v>
      </c>
      <c r="I461" s="10" t="s">
        <v>80</v>
      </c>
      <c r="J461" s="10" t="s">
        <v>54</v>
      </c>
      <c r="K461" s="10" t="s">
        <v>45</v>
      </c>
      <c r="L461" s="10" t="s">
        <v>46</v>
      </c>
      <c r="M461" s="10" t="s">
        <v>1400</v>
      </c>
      <c r="N461" s="11">
        <v>216.49</v>
      </c>
      <c r="O461" s="12">
        <v>1</v>
      </c>
      <c r="P461" s="13">
        <v>0</v>
      </c>
      <c r="Q461" s="11">
        <v>79.42</v>
      </c>
    </row>
    <row r="462" spans="1:17" x14ac:dyDescent="0.3">
      <c r="A462" s="2" t="s">
        <v>1401</v>
      </c>
      <c r="B462" s="3">
        <v>45437</v>
      </c>
      <c r="C462" s="3">
        <v>45442</v>
      </c>
      <c r="D462" s="2" t="s">
        <v>29</v>
      </c>
      <c r="E462" s="2" t="s">
        <v>355</v>
      </c>
      <c r="F462" s="4" t="s">
        <v>356</v>
      </c>
      <c r="G462" s="4" t="s">
        <v>21</v>
      </c>
      <c r="H462" s="4" t="s">
        <v>357</v>
      </c>
      <c r="I462" s="4" t="s">
        <v>251</v>
      </c>
      <c r="J462" s="4" t="s">
        <v>88</v>
      </c>
      <c r="K462" s="4" t="s">
        <v>45</v>
      </c>
      <c r="L462" s="4" t="s">
        <v>46</v>
      </c>
      <c r="M462" s="4" t="s">
        <v>1402</v>
      </c>
      <c r="N462" s="5">
        <v>1624.97</v>
      </c>
      <c r="O462" s="6">
        <v>9</v>
      </c>
      <c r="P462" s="7">
        <v>0.2</v>
      </c>
      <c r="Q462" s="5">
        <v>198.57</v>
      </c>
    </row>
    <row r="463" spans="1:17" x14ac:dyDescent="0.3">
      <c r="A463" s="8" t="s">
        <v>1403</v>
      </c>
      <c r="B463" s="9">
        <v>44590</v>
      </c>
      <c r="C463" s="9">
        <v>44592</v>
      </c>
      <c r="D463" s="8" t="s">
        <v>18</v>
      </c>
      <c r="E463" s="8" t="s">
        <v>789</v>
      </c>
      <c r="F463" s="10" t="s">
        <v>790</v>
      </c>
      <c r="G463" s="10" t="s">
        <v>51</v>
      </c>
      <c r="H463" s="10" t="s">
        <v>530</v>
      </c>
      <c r="I463" s="10" t="s">
        <v>373</v>
      </c>
      <c r="J463" s="10" t="s">
        <v>34</v>
      </c>
      <c r="K463" s="10" t="s">
        <v>25</v>
      </c>
      <c r="L463" s="10" t="s">
        <v>26</v>
      </c>
      <c r="M463" s="10" t="s">
        <v>1404</v>
      </c>
      <c r="N463" s="11">
        <v>6855.8</v>
      </c>
      <c r="O463" s="12">
        <v>7</v>
      </c>
      <c r="P463" s="13">
        <v>0</v>
      </c>
      <c r="Q463" s="11">
        <v>1742.65</v>
      </c>
    </row>
    <row r="464" spans="1:17" x14ac:dyDescent="0.3">
      <c r="A464" s="2" t="s">
        <v>1405</v>
      </c>
      <c r="B464" s="3">
        <v>45364</v>
      </c>
      <c r="C464" s="3">
        <v>45369</v>
      </c>
      <c r="D464" s="2" t="s">
        <v>73</v>
      </c>
      <c r="E464" s="2" t="s">
        <v>890</v>
      </c>
      <c r="F464" s="4" t="s">
        <v>891</v>
      </c>
      <c r="G464" s="4" t="s">
        <v>42</v>
      </c>
      <c r="H464" s="4" t="s">
        <v>22</v>
      </c>
      <c r="I464" s="4" t="s">
        <v>23</v>
      </c>
      <c r="J464" s="4" t="s">
        <v>24</v>
      </c>
      <c r="K464" s="4" t="s">
        <v>25</v>
      </c>
      <c r="L464" s="4" t="s">
        <v>124</v>
      </c>
      <c r="M464" s="4" t="s">
        <v>1406</v>
      </c>
      <c r="N464" s="5">
        <v>1625.49</v>
      </c>
      <c r="O464" s="6">
        <v>3</v>
      </c>
      <c r="P464" s="7">
        <v>0</v>
      </c>
      <c r="Q464" s="5">
        <v>503.27</v>
      </c>
    </row>
    <row r="465" spans="1:17" x14ac:dyDescent="0.3">
      <c r="A465" s="8" t="s">
        <v>1407</v>
      </c>
      <c r="B465" s="9">
        <v>45524</v>
      </c>
      <c r="C465" s="9">
        <v>45531</v>
      </c>
      <c r="D465" s="8" t="s">
        <v>29</v>
      </c>
      <c r="E465" s="8" t="s">
        <v>1136</v>
      </c>
      <c r="F465" s="10" t="s">
        <v>1137</v>
      </c>
      <c r="G465" s="10" t="s">
        <v>51</v>
      </c>
      <c r="H465" s="10" t="s">
        <v>386</v>
      </c>
      <c r="I465" s="10" t="s">
        <v>347</v>
      </c>
      <c r="J465" s="10" t="s">
        <v>88</v>
      </c>
      <c r="K465" s="10" t="s">
        <v>45</v>
      </c>
      <c r="L465" s="10" t="s">
        <v>99</v>
      </c>
      <c r="M465" s="10" t="s">
        <v>1408</v>
      </c>
      <c r="N465" s="11">
        <v>36.979999999999997</v>
      </c>
      <c r="O465" s="12">
        <v>2</v>
      </c>
      <c r="P465" s="13">
        <v>0</v>
      </c>
      <c r="Q465" s="11">
        <v>9.77</v>
      </c>
    </row>
    <row r="466" spans="1:17" x14ac:dyDescent="0.3">
      <c r="A466" s="2" t="s">
        <v>1409</v>
      </c>
      <c r="B466" s="3">
        <v>44887</v>
      </c>
      <c r="C466" s="3">
        <v>44890</v>
      </c>
      <c r="D466" s="2" t="s">
        <v>18</v>
      </c>
      <c r="E466" s="2" t="s">
        <v>120</v>
      </c>
      <c r="F466" s="4" t="s">
        <v>121</v>
      </c>
      <c r="G466" s="4" t="s">
        <v>21</v>
      </c>
      <c r="H466" s="4" t="s">
        <v>122</v>
      </c>
      <c r="I466" s="4" t="s">
        <v>123</v>
      </c>
      <c r="J466" s="4" t="s">
        <v>24</v>
      </c>
      <c r="K466" s="4" t="s">
        <v>35</v>
      </c>
      <c r="L466" s="4" t="s">
        <v>229</v>
      </c>
      <c r="M466" s="4" t="s">
        <v>1410</v>
      </c>
      <c r="N466" s="5">
        <v>29.43</v>
      </c>
      <c r="O466" s="6">
        <v>3</v>
      </c>
      <c r="P466" s="7">
        <v>0</v>
      </c>
      <c r="Q466" s="5">
        <v>13.46</v>
      </c>
    </row>
    <row r="467" spans="1:17" x14ac:dyDescent="0.3">
      <c r="A467" s="8" t="s">
        <v>1411</v>
      </c>
      <c r="B467" s="9">
        <v>45592</v>
      </c>
      <c r="C467" s="9">
        <v>45595</v>
      </c>
      <c r="D467" s="8" t="s">
        <v>39</v>
      </c>
      <c r="E467" s="8" t="s">
        <v>49</v>
      </c>
      <c r="F467" s="10" t="s">
        <v>50</v>
      </c>
      <c r="G467" s="10" t="s">
        <v>51</v>
      </c>
      <c r="H467" s="10" t="s">
        <v>52</v>
      </c>
      <c r="I467" s="10" t="s">
        <v>53</v>
      </c>
      <c r="J467" s="10" t="s">
        <v>54</v>
      </c>
      <c r="K467" s="10" t="s">
        <v>25</v>
      </c>
      <c r="L467" s="10" t="s">
        <v>26</v>
      </c>
      <c r="M467" s="10" t="s">
        <v>1412</v>
      </c>
      <c r="N467" s="11">
        <v>6100.29</v>
      </c>
      <c r="O467" s="12">
        <v>10</v>
      </c>
      <c r="P467" s="13">
        <v>0.3</v>
      </c>
      <c r="Q467" s="11">
        <v>-447.12</v>
      </c>
    </row>
    <row r="468" spans="1:17" x14ac:dyDescent="0.3">
      <c r="A468" s="2" t="s">
        <v>1413</v>
      </c>
      <c r="B468" s="3">
        <v>45095</v>
      </c>
      <c r="C468" s="3">
        <v>45098</v>
      </c>
      <c r="D468" s="2" t="s">
        <v>73</v>
      </c>
      <c r="E468" s="2" t="s">
        <v>741</v>
      </c>
      <c r="F468" s="4" t="s">
        <v>742</v>
      </c>
      <c r="G468" s="4" t="s">
        <v>51</v>
      </c>
      <c r="H468" s="4" t="s">
        <v>260</v>
      </c>
      <c r="I468" s="4" t="s">
        <v>151</v>
      </c>
      <c r="J468" s="4" t="s">
        <v>34</v>
      </c>
      <c r="K468" s="4" t="s">
        <v>45</v>
      </c>
      <c r="L468" s="4" t="s">
        <v>61</v>
      </c>
      <c r="M468" s="4" t="s">
        <v>989</v>
      </c>
      <c r="N468" s="5">
        <v>2188.9699999999998</v>
      </c>
      <c r="O468" s="6">
        <v>9</v>
      </c>
      <c r="P468" s="7">
        <v>0.15</v>
      </c>
      <c r="Q468" s="5">
        <v>-254.65</v>
      </c>
    </row>
    <row r="469" spans="1:17" x14ac:dyDescent="0.3">
      <c r="A469" s="8" t="s">
        <v>1414</v>
      </c>
      <c r="B469" s="9">
        <v>44437</v>
      </c>
      <c r="C469" s="9">
        <v>44440</v>
      </c>
      <c r="D469" s="8" t="s">
        <v>73</v>
      </c>
      <c r="E469" s="8" t="s">
        <v>1158</v>
      </c>
      <c r="F469" s="10" t="s">
        <v>1159</v>
      </c>
      <c r="G469" s="10" t="s">
        <v>42</v>
      </c>
      <c r="H469" s="10" t="s">
        <v>346</v>
      </c>
      <c r="I469" s="10" t="s">
        <v>347</v>
      </c>
      <c r="J469" s="10" t="s">
        <v>88</v>
      </c>
      <c r="K469" s="10" t="s">
        <v>45</v>
      </c>
      <c r="L469" s="10" t="s">
        <v>61</v>
      </c>
      <c r="M469" s="10" t="s">
        <v>1415</v>
      </c>
      <c r="N469" s="11">
        <v>434.35</v>
      </c>
      <c r="O469" s="12">
        <v>2</v>
      </c>
      <c r="P469" s="13">
        <v>0.3</v>
      </c>
      <c r="Q469" s="11">
        <v>-160.37</v>
      </c>
    </row>
    <row r="470" spans="1:17" x14ac:dyDescent="0.3">
      <c r="A470" s="2" t="s">
        <v>1416</v>
      </c>
      <c r="B470" s="3">
        <v>44875</v>
      </c>
      <c r="C470" s="3">
        <v>44878</v>
      </c>
      <c r="D470" s="2" t="s">
        <v>73</v>
      </c>
      <c r="E470" s="2" t="s">
        <v>512</v>
      </c>
      <c r="F470" s="4" t="s">
        <v>513</v>
      </c>
      <c r="G470" s="4" t="s">
        <v>21</v>
      </c>
      <c r="H470" s="4" t="s">
        <v>104</v>
      </c>
      <c r="I470" s="4" t="s">
        <v>105</v>
      </c>
      <c r="J470" s="4" t="s">
        <v>88</v>
      </c>
      <c r="K470" s="4" t="s">
        <v>35</v>
      </c>
      <c r="L470" s="4" t="s">
        <v>158</v>
      </c>
      <c r="M470" s="4" t="s">
        <v>1417</v>
      </c>
      <c r="N470" s="5">
        <v>654.5</v>
      </c>
      <c r="O470" s="6">
        <v>7</v>
      </c>
      <c r="P470" s="7">
        <v>0</v>
      </c>
      <c r="Q470" s="5">
        <v>259.62</v>
      </c>
    </row>
    <row r="471" spans="1:17" x14ac:dyDescent="0.3">
      <c r="A471" s="8" t="s">
        <v>1418</v>
      </c>
      <c r="B471" s="9">
        <v>45459</v>
      </c>
      <c r="C471" s="9">
        <v>45460</v>
      </c>
      <c r="D471" s="8" t="s">
        <v>18</v>
      </c>
      <c r="E471" s="8" t="s">
        <v>991</v>
      </c>
      <c r="F471" s="10" t="s">
        <v>992</v>
      </c>
      <c r="G471" s="10" t="s">
        <v>42</v>
      </c>
      <c r="H471" s="10" t="s">
        <v>43</v>
      </c>
      <c r="I471" s="10" t="s">
        <v>44</v>
      </c>
      <c r="J471" s="10" t="s">
        <v>24</v>
      </c>
      <c r="K471" s="10" t="s">
        <v>25</v>
      </c>
      <c r="L471" s="10" t="s">
        <v>68</v>
      </c>
      <c r="M471" s="10" t="s">
        <v>1419</v>
      </c>
      <c r="N471" s="11">
        <v>398.24</v>
      </c>
      <c r="O471" s="12">
        <v>2</v>
      </c>
      <c r="P471" s="13">
        <v>0</v>
      </c>
      <c r="Q471" s="11">
        <v>149.76</v>
      </c>
    </row>
    <row r="472" spans="1:17" x14ac:dyDescent="0.3">
      <c r="A472" s="2" t="s">
        <v>1420</v>
      </c>
      <c r="B472" s="3">
        <v>44554</v>
      </c>
      <c r="C472" s="3">
        <v>44559</v>
      </c>
      <c r="D472" s="2" t="s">
        <v>73</v>
      </c>
      <c r="E472" s="2" t="s">
        <v>441</v>
      </c>
      <c r="F472" s="4" t="s">
        <v>442</v>
      </c>
      <c r="G472" s="4" t="s">
        <v>21</v>
      </c>
      <c r="H472" s="4" t="s">
        <v>98</v>
      </c>
      <c r="I472" s="4" t="s">
        <v>80</v>
      </c>
      <c r="J472" s="4" t="s">
        <v>54</v>
      </c>
      <c r="K472" s="4" t="s">
        <v>35</v>
      </c>
      <c r="L472" s="4" t="s">
        <v>229</v>
      </c>
      <c r="M472" s="4" t="s">
        <v>1421</v>
      </c>
      <c r="N472" s="5">
        <v>47.44</v>
      </c>
      <c r="O472" s="6">
        <v>8</v>
      </c>
      <c r="P472" s="7">
        <v>0</v>
      </c>
      <c r="Q472" s="5">
        <v>24.84</v>
      </c>
    </row>
    <row r="473" spans="1:17" x14ac:dyDescent="0.3">
      <c r="A473" s="8" t="s">
        <v>1422</v>
      </c>
      <c r="B473" s="9">
        <v>45636</v>
      </c>
      <c r="C473" s="9">
        <v>45639</v>
      </c>
      <c r="D473" s="8" t="s">
        <v>39</v>
      </c>
      <c r="E473" s="8" t="s">
        <v>360</v>
      </c>
      <c r="F473" s="10" t="s">
        <v>361</v>
      </c>
      <c r="G473" s="10" t="s">
        <v>42</v>
      </c>
      <c r="H473" s="10" t="s">
        <v>346</v>
      </c>
      <c r="I473" s="10" t="s">
        <v>347</v>
      </c>
      <c r="J473" s="10" t="s">
        <v>88</v>
      </c>
      <c r="K473" s="10" t="s">
        <v>25</v>
      </c>
      <c r="L473" s="10" t="s">
        <v>68</v>
      </c>
      <c r="M473" s="10" t="s">
        <v>1423</v>
      </c>
      <c r="N473" s="11">
        <v>628.54999999999995</v>
      </c>
      <c r="O473" s="12">
        <v>5</v>
      </c>
      <c r="P473" s="13">
        <v>0</v>
      </c>
      <c r="Q473" s="11">
        <v>283.56</v>
      </c>
    </row>
    <row r="474" spans="1:17" x14ac:dyDescent="0.3">
      <c r="A474" s="2" t="s">
        <v>1424</v>
      </c>
      <c r="B474" s="3">
        <v>44410</v>
      </c>
      <c r="C474" s="3">
        <v>44411</v>
      </c>
      <c r="D474" s="2" t="s">
        <v>18</v>
      </c>
      <c r="E474" s="2" t="s">
        <v>441</v>
      </c>
      <c r="F474" s="4" t="s">
        <v>442</v>
      </c>
      <c r="G474" s="4" t="s">
        <v>21</v>
      </c>
      <c r="H474" s="4" t="s">
        <v>98</v>
      </c>
      <c r="I474" s="4" t="s">
        <v>80</v>
      </c>
      <c r="J474" s="4" t="s">
        <v>54</v>
      </c>
      <c r="K474" s="4" t="s">
        <v>25</v>
      </c>
      <c r="L474" s="4" t="s">
        <v>26</v>
      </c>
      <c r="M474" s="4" t="s">
        <v>1425</v>
      </c>
      <c r="N474" s="5">
        <v>17612.240000000002</v>
      </c>
      <c r="O474" s="6">
        <v>10</v>
      </c>
      <c r="P474" s="7">
        <v>0.05</v>
      </c>
      <c r="Q474" s="5">
        <v>2366.65</v>
      </c>
    </row>
    <row r="475" spans="1:17" x14ac:dyDescent="0.3">
      <c r="A475" s="8" t="s">
        <v>1426</v>
      </c>
      <c r="B475" s="9">
        <v>44903</v>
      </c>
      <c r="C475" s="9">
        <v>44906</v>
      </c>
      <c r="D475" s="8" t="s">
        <v>39</v>
      </c>
      <c r="E475" s="8" t="s">
        <v>809</v>
      </c>
      <c r="F475" s="10" t="s">
        <v>810</v>
      </c>
      <c r="G475" s="10" t="s">
        <v>42</v>
      </c>
      <c r="H475" s="10" t="s">
        <v>352</v>
      </c>
      <c r="I475" s="10" t="s">
        <v>306</v>
      </c>
      <c r="J475" s="10" t="s">
        <v>34</v>
      </c>
      <c r="K475" s="10" t="s">
        <v>25</v>
      </c>
      <c r="L475" s="10" t="s">
        <v>68</v>
      </c>
      <c r="M475" s="10" t="s">
        <v>1427</v>
      </c>
      <c r="N475" s="11">
        <v>745.87</v>
      </c>
      <c r="O475" s="12">
        <v>6</v>
      </c>
      <c r="P475" s="13">
        <v>0.2</v>
      </c>
      <c r="Q475" s="11">
        <v>246.53</v>
      </c>
    </row>
    <row r="476" spans="1:17" x14ac:dyDescent="0.3">
      <c r="A476" s="2" t="s">
        <v>1428</v>
      </c>
      <c r="B476" s="3">
        <v>45564</v>
      </c>
      <c r="C476" s="3">
        <v>45567</v>
      </c>
      <c r="D476" s="2" t="s">
        <v>39</v>
      </c>
      <c r="E476" s="2" t="s">
        <v>1236</v>
      </c>
      <c r="F476" s="4" t="s">
        <v>1237</v>
      </c>
      <c r="G476" s="4" t="s">
        <v>51</v>
      </c>
      <c r="H476" s="4" t="s">
        <v>300</v>
      </c>
      <c r="I476" s="4" t="s">
        <v>184</v>
      </c>
      <c r="J476" s="4" t="s">
        <v>54</v>
      </c>
      <c r="K476" s="4" t="s">
        <v>25</v>
      </c>
      <c r="L476" s="4" t="s">
        <v>68</v>
      </c>
      <c r="M476" s="4" t="s">
        <v>1429</v>
      </c>
      <c r="N476" s="5">
        <v>586.66</v>
      </c>
      <c r="O476" s="6">
        <v>9</v>
      </c>
      <c r="P476" s="7">
        <v>0.5</v>
      </c>
      <c r="Q476" s="5">
        <v>-174.76</v>
      </c>
    </row>
    <row r="477" spans="1:17" x14ac:dyDescent="0.3">
      <c r="A477" s="8" t="s">
        <v>1430</v>
      </c>
      <c r="B477" s="9">
        <v>44431</v>
      </c>
      <c r="C477" s="9">
        <v>44433</v>
      </c>
      <c r="D477" s="8" t="s">
        <v>18</v>
      </c>
      <c r="E477" s="8" t="s">
        <v>210</v>
      </c>
      <c r="F477" s="10" t="s">
        <v>211</v>
      </c>
      <c r="G477" s="10" t="s">
        <v>42</v>
      </c>
      <c r="H477" s="10" t="s">
        <v>86</v>
      </c>
      <c r="I477" s="10" t="s">
        <v>87</v>
      </c>
      <c r="J477" s="10" t="s">
        <v>88</v>
      </c>
      <c r="K477" s="10" t="s">
        <v>25</v>
      </c>
      <c r="L477" s="10" t="s">
        <v>124</v>
      </c>
      <c r="M477" s="10" t="s">
        <v>1431</v>
      </c>
      <c r="N477" s="11">
        <v>940.42</v>
      </c>
      <c r="O477" s="12">
        <v>2</v>
      </c>
      <c r="P477" s="13">
        <v>0.5</v>
      </c>
      <c r="Q477" s="11">
        <v>-571.54999999999995</v>
      </c>
    </row>
    <row r="478" spans="1:17" x14ac:dyDescent="0.3">
      <c r="A478" s="2" t="s">
        <v>1432</v>
      </c>
      <c r="B478" s="3">
        <v>45302</v>
      </c>
      <c r="C478" s="3">
        <v>45306</v>
      </c>
      <c r="D478" s="2" t="s">
        <v>73</v>
      </c>
      <c r="E478" s="2" t="s">
        <v>463</v>
      </c>
      <c r="F478" s="4" t="s">
        <v>464</v>
      </c>
      <c r="G478" s="4" t="s">
        <v>51</v>
      </c>
      <c r="H478" s="4" t="s">
        <v>465</v>
      </c>
      <c r="I478" s="4" t="s">
        <v>423</v>
      </c>
      <c r="J478" s="4" t="s">
        <v>88</v>
      </c>
      <c r="K478" s="4" t="s">
        <v>25</v>
      </c>
      <c r="L478" s="4" t="s">
        <v>124</v>
      </c>
      <c r="M478" s="4" t="s">
        <v>1433</v>
      </c>
      <c r="N478" s="5">
        <v>9090.36</v>
      </c>
      <c r="O478" s="6">
        <v>9</v>
      </c>
      <c r="P478" s="7">
        <v>0</v>
      </c>
      <c r="Q478" s="5">
        <v>2099.62</v>
      </c>
    </row>
    <row r="479" spans="1:17" x14ac:dyDescent="0.3">
      <c r="A479" s="8" t="s">
        <v>1434</v>
      </c>
      <c r="B479" s="9">
        <v>45042</v>
      </c>
      <c r="C479" s="9">
        <v>45046</v>
      </c>
      <c r="D479" s="8" t="s">
        <v>73</v>
      </c>
      <c r="E479" s="8" t="s">
        <v>1435</v>
      </c>
      <c r="F479" s="10" t="s">
        <v>1436</v>
      </c>
      <c r="G479" s="10" t="s">
        <v>21</v>
      </c>
      <c r="H479" s="10" t="s">
        <v>492</v>
      </c>
      <c r="I479" s="10" t="s">
        <v>53</v>
      </c>
      <c r="J479" s="10" t="s">
        <v>54</v>
      </c>
      <c r="K479" s="10" t="s">
        <v>25</v>
      </c>
      <c r="L479" s="10" t="s">
        <v>68</v>
      </c>
      <c r="M479" s="10" t="s">
        <v>1437</v>
      </c>
      <c r="N479" s="11">
        <v>314.5</v>
      </c>
      <c r="O479" s="12">
        <v>8</v>
      </c>
      <c r="P479" s="13">
        <v>0.15</v>
      </c>
      <c r="Q479" s="11">
        <v>97.31</v>
      </c>
    </row>
    <row r="480" spans="1:17" x14ac:dyDescent="0.3">
      <c r="A480" s="2" t="s">
        <v>1438</v>
      </c>
      <c r="B480" s="3">
        <v>44606</v>
      </c>
      <c r="C480" s="3">
        <v>44610</v>
      </c>
      <c r="D480" s="2" t="s">
        <v>39</v>
      </c>
      <c r="E480" s="2" t="s">
        <v>1439</v>
      </c>
      <c r="F480" s="4"/>
      <c r="G480" s="4" t="s">
        <v>51</v>
      </c>
      <c r="H480" s="4" t="s">
        <v>305</v>
      </c>
      <c r="I480" s="4" t="s">
        <v>306</v>
      </c>
      <c r="J480" s="4" t="s">
        <v>34</v>
      </c>
      <c r="K480" s="4" t="s">
        <v>25</v>
      </c>
      <c r="L480" s="4" t="s">
        <v>68</v>
      </c>
      <c r="M480" s="4" t="s">
        <v>1440</v>
      </c>
      <c r="N480" s="5">
        <v>89.19</v>
      </c>
      <c r="O480" s="6">
        <v>2</v>
      </c>
      <c r="P480" s="7">
        <v>0.3</v>
      </c>
      <c r="Q480" s="5">
        <v>18.88</v>
      </c>
    </row>
    <row r="481" spans="1:17" x14ac:dyDescent="0.3">
      <c r="A481" s="8" t="s">
        <v>1441</v>
      </c>
      <c r="B481" s="9">
        <v>44205</v>
      </c>
      <c r="C481" s="9">
        <v>44212</v>
      </c>
      <c r="D481" s="8" t="s">
        <v>29</v>
      </c>
      <c r="E481" s="8" t="s">
        <v>340</v>
      </c>
      <c r="F481" s="10" t="s">
        <v>341</v>
      </c>
      <c r="G481" s="10" t="s">
        <v>21</v>
      </c>
      <c r="H481" s="10" t="s">
        <v>139</v>
      </c>
      <c r="I481" s="10" t="s">
        <v>140</v>
      </c>
      <c r="J481" s="10" t="s">
        <v>24</v>
      </c>
      <c r="K481" s="10" t="s">
        <v>35</v>
      </c>
      <c r="L481" s="10" t="s">
        <v>89</v>
      </c>
      <c r="M481" s="10" t="s">
        <v>1442</v>
      </c>
      <c r="N481" s="11">
        <v>1823.94</v>
      </c>
      <c r="O481" s="12">
        <v>9</v>
      </c>
      <c r="P481" s="13">
        <v>0</v>
      </c>
      <c r="Q481" s="11">
        <v>503.01</v>
      </c>
    </row>
    <row r="482" spans="1:17" x14ac:dyDescent="0.3">
      <c r="A482" s="2" t="s">
        <v>1443</v>
      </c>
      <c r="B482" s="3">
        <v>45211</v>
      </c>
      <c r="C482" s="3">
        <v>45214</v>
      </c>
      <c r="D482" s="2" t="s">
        <v>73</v>
      </c>
      <c r="E482" s="2" t="s">
        <v>410</v>
      </c>
      <c r="F482" s="4" t="s">
        <v>411</v>
      </c>
      <c r="G482" s="4" t="s">
        <v>42</v>
      </c>
      <c r="H482" s="4" t="s">
        <v>412</v>
      </c>
      <c r="I482" s="4" t="s">
        <v>178</v>
      </c>
      <c r="J482" s="4" t="s">
        <v>24</v>
      </c>
      <c r="K482" s="4" t="s">
        <v>45</v>
      </c>
      <c r="L482" s="4" t="s">
        <v>46</v>
      </c>
      <c r="M482" s="4" t="s">
        <v>1444</v>
      </c>
      <c r="N482" s="5">
        <v>5266.17</v>
      </c>
      <c r="O482" s="6">
        <v>9</v>
      </c>
      <c r="P482" s="7">
        <v>0</v>
      </c>
      <c r="Q482" s="5">
        <v>1790.88</v>
      </c>
    </row>
    <row r="483" spans="1:17" x14ac:dyDescent="0.3">
      <c r="A483" s="8" t="s">
        <v>1445</v>
      </c>
      <c r="B483" s="9">
        <v>44242</v>
      </c>
      <c r="C483" s="9">
        <v>44247</v>
      </c>
      <c r="D483" s="8" t="s">
        <v>73</v>
      </c>
      <c r="E483" s="8" t="s">
        <v>355</v>
      </c>
      <c r="F483" s="10" t="s">
        <v>356</v>
      </c>
      <c r="G483" s="10" t="s">
        <v>21</v>
      </c>
      <c r="H483" s="10" t="s">
        <v>357</v>
      </c>
      <c r="I483" s="10" t="s">
        <v>251</v>
      </c>
      <c r="J483" s="10" t="s">
        <v>88</v>
      </c>
      <c r="K483" s="10" t="s">
        <v>35</v>
      </c>
      <c r="L483" s="10" t="s">
        <v>110</v>
      </c>
      <c r="M483" s="10" t="s">
        <v>1446</v>
      </c>
      <c r="N483" s="11">
        <v>16.16</v>
      </c>
      <c r="O483" s="12">
        <v>1</v>
      </c>
      <c r="P483" s="13">
        <v>0.1</v>
      </c>
      <c r="Q483" s="11">
        <v>7.18</v>
      </c>
    </row>
    <row r="484" spans="1:17" x14ac:dyDescent="0.3">
      <c r="A484" s="2" t="s">
        <v>1447</v>
      </c>
      <c r="B484" s="3">
        <v>45128</v>
      </c>
      <c r="C484" s="3">
        <v>45131</v>
      </c>
      <c r="D484" s="2" t="s">
        <v>39</v>
      </c>
      <c r="E484" s="2" t="s">
        <v>1448</v>
      </c>
      <c r="F484" s="4" t="s">
        <v>1449</v>
      </c>
      <c r="G484" s="4" t="s">
        <v>21</v>
      </c>
      <c r="H484" s="4" t="s">
        <v>122</v>
      </c>
      <c r="I484" s="4" t="s">
        <v>123</v>
      </c>
      <c r="J484" s="4" t="s">
        <v>24</v>
      </c>
      <c r="K484" s="4" t="s">
        <v>35</v>
      </c>
      <c r="L484" s="4" t="s">
        <v>110</v>
      </c>
      <c r="M484" s="4" t="s">
        <v>1450</v>
      </c>
      <c r="N484" s="5">
        <v>101.44</v>
      </c>
      <c r="O484" s="6">
        <v>4</v>
      </c>
      <c r="P484" s="7">
        <v>0</v>
      </c>
      <c r="Q484" s="5">
        <v>46</v>
      </c>
    </row>
    <row r="485" spans="1:17" x14ac:dyDescent="0.3">
      <c r="A485" s="8" t="s">
        <v>1451</v>
      </c>
      <c r="B485" s="9">
        <v>44838</v>
      </c>
      <c r="C485" s="9">
        <v>44841</v>
      </c>
      <c r="D485" s="8" t="s">
        <v>18</v>
      </c>
      <c r="E485" s="8" t="s">
        <v>547</v>
      </c>
      <c r="F485" s="10" t="s">
        <v>548</v>
      </c>
      <c r="G485" s="10" t="s">
        <v>51</v>
      </c>
      <c r="H485" s="10" t="s">
        <v>156</v>
      </c>
      <c r="I485" s="10" t="s">
        <v>157</v>
      </c>
      <c r="J485" s="10" t="s">
        <v>88</v>
      </c>
      <c r="K485" s="10" t="s">
        <v>25</v>
      </c>
      <c r="L485" s="10" t="s">
        <v>26</v>
      </c>
      <c r="M485" s="10" t="s">
        <v>1452</v>
      </c>
      <c r="N485" s="11">
        <v>3159.12</v>
      </c>
      <c r="O485" s="12">
        <v>6</v>
      </c>
      <c r="P485" s="13">
        <v>0.2</v>
      </c>
      <c r="Q485" s="11">
        <v>265.51</v>
      </c>
    </row>
    <row r="486" spans="1:17" x14ac:dyDescent="0.3">
      <c r="A486" s="2" t="s">
        <v>1453</v>
      </c>
      <c r="B486" s="3">
        <v>44588</v>
      </c>
      <c r="C486" s="3">
        <v>44592</v>
      </c>
      <c r="D486" s="2" t="s">
        <v>39</v>
      </c>
      <c r="E486" s="2" t="s">
        <v>240</v>
      </c>
      <c r="F486" s="4" t="s">
        <v>241</v>
      </c>
      <c r="G486" s="4" t="s">
        <v>42</v>
      </c>
      <c r="H486" s="4" t="s">
        <v>115</v>
      </c>
      <c r="I486" s="4" t="s">
        <v>116</v>
      </c>
      <c r="J486" s="4" t="s">
        <v>54</v>
      </c>
      <c r="K486" s="4" t="s">
        <v>45</v>
      </c>
      <c r="L486" s="4" t="s">
        <v>46</v>
      </c>
      <c r="M486" s="4" t="s">
        <v>1454</v>
      </c>
      <c r="N486" s="5">
        <v>5289.08</v>
      </c>
      <c r="O486" s="6">
        <v>7</v>
      </c>
      <c r="P486" s="7">
        <v>0.05</v>
      </c>
      <c r="Q486" s="5">
        <v>1964.03</v>
      </c>
    </row>
    <row r="487" spans="1:17" x14ac:dyDescent="0.3">
      <c r="A487" s="8" t="s">
        <v>1455</v>
      </c>
      <c r="B487" s="9">
        <v>45313</v>
      </c>
      <c r="C487" s="9">
        <v>45318</v>
      </c>
      <c r="D487" s="8" t="s">
        <v>73</v>
      </c>
      <c r="E487" s="8" t="s">
        <v>265</v>
      </c>
      <c r="F487" s="10" t="s">
        <v>266</v>
      </c>
      <c r="G487" s="10" t="s">
        <v>21</v>
      </c>
      <c r="H487" s="10" t="s">
        <v>171</v>
      </c>
      <c r="I487" s="10" t="s">
        <v>172</v>
      </c>
      <c r="J487" s="10" t="s">
        <v>24</v>
      </c>
      <c r="K487" s="10" t="s">
        <v>35</v>
      </c>
      <c r="L487" s="10" t="s">
        <v>295</v>
      </c>
      <c r="M487" s="10" t="s">
        <v>1456</v>
      </c>
      <c r="N487" s="11">
        <v>290.58</v>
      </c>
      <c r="O487" s="12">
        <v>7</v>
      </c>
      <c r="P487" s="13">
        <v>0.2</v>
      </c>
      <c r="Q487" s="11">
        <v>115.85</v>
      </c>
    </row>
    <row r="488" spans="1:17" x14ac:dyDescent="0.3">
      <c r="A488" s="2" t="s">
        <v>1457</v>
      </c>
      <c r="B488" s="3">
        <v>44323</v>
      </c>
      <c r="C488" s="3">
        <v>44324</v>
      </c>
      <c r="D488" s="2" t="s">
        <v>18</v>
      </c>
      <c r="E488" s="2" t="s">
        <v>49</v>
      </c>
      <c r="F488" s="4" t="s">
        <v>50</v>
      </c>
      <c r="G488" s="4" t="s">
        <v>51</v>
      </c>
      <c r="H488" s="4" t="s">
        <v>52</v>
      </c>
      <c r="I488" s="4" t="s">
        <v>53</v>
      </c>
      <c r="J488" s="4" t="s">
        <v>54</v>
      </c>
      <c r="K488" s="4" t="s">
        <v>25</v>
      </c>
      <c r="L488" s="4" t="s">
        <v>124</v>
      </c>
      <c r="M488" s="4" t="s">
        <v>1458</v>
      </c>
      <c r="N488" s="5">
        <v>7150.32</v>
      </c>
      <c r="O488" s="6">
        <v>8</v>
      </c>
      <c r="P488" s="7">
        <v>0.4</v>
      </c>
      <c r="Q488" s="5">
        <v>-1121.8599999999999</v>
      </c>
    </row>
    <row r="489" spans="1:17" x14ac:dyDescent="0.3">
      <c r="A489" s="8" t="s">
        <v>1459</v>
      </c>
      <c r="B489" s="9">
        <v>45607</v>
      </c>
      <c r="C489" s="9">
        <v>45612</v>
      </c>
      <c r="D489" s="8" t="s">
        <v>29</v>
      </c>
      <c r="E489" s="8" t="s">
        <v>480</v>
      </c>
      <c r="F489" s="10" t="s">
        <v>481</v>
      </c>
      <c r="G489" s="10" t="s">
        <v>42</v>
      </c>
      <c r="H489" s="10" t="s">
        <v>352</v>
      </c>
      <c r="I489" s="10" t="s">
        <v>306</v>
      </c>
      <c r="J489" s="10" t="s">
        <v>34</v>
      </c>
      <c r="K489" s="10" t="s">
        <v>25</v>
      </c>
      <c r="L489" s="10" t="s">
        <v>26</v>
      </c>
      <c r="M489" s="10" t="s">
        <v>1460</v>
      </c>
      <c r="N489" s="11">
        <v>6573.74</v>
      </c>
      <c r="O489" s="12">
        <v>7</v>
      </c>
      <c r="P489" s="13">
        <v>0.1</v>
      </c>
      <c r="Q489" s="11">
        <v>784.71</v>
      </c>
    </row>
    <row r="490" spans="1:17" x14ac:dyDescent="0.3">
      <c r="A490" s="2" t="s">
        <v>1461</v>
      </c>
      <c r="B490" s="3">
        <v>45043</v>
      </c>
      <c r="C490" s="3">
        <v>45048</v>
      </c>
      <c r="D490" s="2" t="s">
        <v>73</v>
      </c>
      <c r="E490" s="2" t="s">
        <v>289</v>
      </c>
      <c r="F490" s="4" t="s">
        <v>290</v>
      </c>
      <c r="G490" s="4" t="s">
        <v>51</v>
      </c>
      <c r="H490" s="4" t="s">
        <v>115</v>
      </c>
      <c r="I490" s="4" t="s">
        <v>116</v>
      </c>
      <c r="J490" s="4" t="s">
        <v>54</v>
      </c>
      <c r="K490" s="4" t="s">
        <v>25</v>
      </c>
      <c r="L490" s="4" t="s">
        <v>68</v>
      </c>
      <c r="M490" s="4" t="s">
        <v>1462</v>
      </c>
      <c r="N490" s="5">
        <v>1011.53</v>
      </c>
      <c r="O490" s="6">
        <v>9</v>
      </c>
      <c r="P490" s="7">
        <v>0.3</v>
      </c>
      <c r="Q490" s="5">
        <v>167.44</v>
      </c>
    </row>
    <row r="491" spans="1:17" x14ac:dyDescent="0.3">
      <c r="A491" s="8" t="s">
        <v>1463</v>
      </c>
      <c r="B491" s="9">
        <v>45499</v>
      </c>
      <c r="C491" s="9">
        <v>45502</v>
      </c>
      <c r="D491" s="8" t="s">
        <v>73</v>
      </c>
      <c r="E491" s="8" t="s">
        <v>1464</v>
      </c>
      <c r="F491" s="10" t="s">
        <v>1465</v>
      </c>
      <c r="G491" s="10" t="s">
        <v>21</v>
      </c>
      <c r="H491" s="10" t="s">
        <v>438</v>
      </c>
      <c r="I491" s="10" t="s">
        <v>157</v>
      </c>
      <c r="J491" s="10" t="s">
        <v>88</v>
      </c>
      <c r="K491" s="10" t="s">
        <v>25</v>
      </c>
      <c r="L491" s="10" t="s">
        <v>124</v>
      </c>
      <c r="M491" s="10" t="s">
        <v>1466</v>
      </c>
      <c r="N491" s="11">
        <v>6992.64</v>
      </c>
      <c r="O491" s="12">
        <v>7</v>
      </c>
      <c r="P491" s="13">
        <v>0.3</v>
      </c>
      <c r="Q491" s="11">
        <v>165.57</v>
      </c>
    </row>
    <row r="492" spans="1:17" x14ac:dyDescent="0.3">
      <c r="A492" s="2" t="s">
        <v>1467</v>
      </c>
      <c r="B492" s="3">
        <v>44775</v>
      </c>
      <c r="C492" s="3">
        <v>44778</v>
      </c>
      <c r="D492" s="2" t="s">
        <v>18</v>
      </c>
      <c r="E492" s="2" t="s">
        <v>370</v>
      </c>
      <c r="F492" s="4" t="s">
        <v>371</v>
      </c>
      <c r="G492" s="4" t="s">
        <v>51</v>
      </c>
      <c r="H492" s="4" t="s">
        <v>372</v>
      </c>
      <c r="I492" s="4" t="s">
        <v>373</v>
      </c>
      <c r="J492" s="4" t="s">
        <v>34</v>
      </c>
      <c r="K492" s="4" t="s">
        <v>45</v>
      </c>
      <c r="L492" s="4" t="s">
        <v>99</v>
      </c>
      <c r="M492" s="4" t="s">
        <v>1468</v>
      </c>
      <c r="N492" s="5">
        <v>138.55000000000001</v>
      </c>
      <c r="O492" s="6">
        <v>5</v>
      </c>
      <c r="P492" s="7">
        <v>0</v>
      </c>
      <c r="Q492" s="5">
        <v>33.68</v>
      </c>
    </row>
    <row r="493" spans="1:17" x14ac:dyDescent="0.3">
      <c r="A493" s="8" t="s">
        <v>1469</v>
      </c>
      <c r="B493" s="9">
        <v>45483</v>
      </c>
      <c r="C493" s="9">
        <v>45486</v>
      </c>
      <c r="D493" s="8" t="s">
        <v>73</v>
      </c>
      <c r="E493" s="8" t="s">
        <v>1246</v>
      </c>
      <c r="F493" s="10" t="s">
        <v>1247</v>
      </c>
      <c r="G493" s="10" t="s">
        <v>42</v>
      </c>
      <c r="H493" s="10" t="s">
        <v>1091</v>
      </c>
      <c r="I493" s="10" t="s">
        <v>23</v>
      </c>
      <c r="J493" s="10" t="s">
        <v>24</v>
      </c>
      <c r="K493" s="10" t="s">
        <v>35</v>
      </c>
      <c r="L493" s="10" t="s">
        <v>229</v>
      </c>
      <c r="M493" s="10" t="s">
        <v>1470</v>
      </c>
      <c r="N493" s="11">
        <v>13.27</v>
      </c>
      <c r="O493" s="12">
        <v>2</v>
      </c>
      <c r="P493" s="13">
        <v>0.4</v>
      </c>
      <c r="Q493" s="11">
        <v>2.85</v>
      </c>
    </row>
    <row r="494" spans="1:17" x14ac:dyDescent="0.3">
      <c r="A494" s="2" t="s">
        <v>1471</v>
      </c>
      <c r="B494" s="3">
        <v>45057</v>
      </c>
      <c r="C494" s="3">
        <v>45059</v>
      </c>
      <c r="D494" s="2" t="s">
        <v>18</v>
      </c>
      <c r="E494" s="2" t="s">
        <v>1309</v>
      </c>
      <c r="F494" s="4" t="s">
        <v>1310</v>
      </c>
      <c r="G494" s="4" t="s">
        <v>51</v>
      </c>
      <c r="H494" s="4" t="s">
        <v>98</v>
      </c>
      <c r="I494" s="4" t="s">
        <v>80</v>
      </c>
      <c r="J494" s="4" t="s">
        <v>54</v>
      </c>
      <c r="K494" s="4" t="s">
        <v>35</v>
      </c>
      <c r="L494" s="4" t="s">
        <v>110</v>
      </c>
      <c r="M494" s="4" t="s">
        <v>1472</v>
      </c>
      <c r="N494" s="5">
        <v>20.58</v>
      </c>
      <c r="O494" s="6">
        <v>1</v>
      </c>
      <c r="P494" s="7">
        <v>0.05</v>
      </c>
      <c r="Q494" s="5">
        <v>10.24</v>
      </c>
    </row>
    <row r="495" spans="1:17" x14ac:dyDescent="0.3">
      <c r="A495" s="8" t="s">
        <v>1473</v>
      </c>
      <c r="B495" s="9">
        <v>45609</v>
      </c>
      <c r="C495" s="9">
        <v>45613</v>
      </c>
      <c r="D495" s="8" t="s">
        <v>39</v>
      </c>
      <c r="E495" s="8" t="s">
        <v>650</v>
      </c>
      <c r="F495" s="10" t="s">
        <v>651</v>
      </c>
      <c r="G495" s="10" t="s">
        <v>42</v>
      </c>
      <c r="H495" s="10" t="s">
        <v>438</v>
      </c>
      <c r="I495" s="10" t="s">
        <v>157</v>
      </c>
      <c r="J495" s="10" t="s">
        <v>88</v>
      </c>
      <c r="K495" s="10" t="s">
        <v>45</v>
      </c>
      <c r="L495" s="10" t="s">
        <v>99</v>
      </c>
      <c r="M495" s="10" t="s">
        <v>1474</v>
      </c>
      <c r="N495" s="11">
        <v>669.9</v>
      </c>
      <c r="O495" s="12">
        <v>4</v>
      </c>
      <c r="P495" s="13">
        <v>0.15</v>
      </c>
      <c r="Q495" s="11">
        <v>194.29</v>
      </c>
    </row>
    <row r="496" spans="1:17" x14ac:dyDescent="0.3">
      <c r="A496" s="2" t="s">
        <v>1475</v>
      </c>
      <c r="B496" s="3">
        <v>44848</v>
      </c>
      <c r="C496" s="3">
        <v>44852</v>
      </c>
      <c r="D496" s="2" t="s">
        <v>39</v>
      </c>
      <c r="E496" s="2" t="s">
        <v>688</v>
      </c>
      <c r="F496" s="4" t="s">
        <v>689</v>
      </c>
      <c r="G496" s="4" t="s">
        <v>42</v>
      </c>
      <c r="H496" s="4" t="s">
        <v>438</v>
      </c>
      <c r="I496" s="4" t="s">
        <v>157</v>
      </c>
      <c r="J496" s="4" t="s">
        <v>88</v>
      </c>
      <c r="K496" s="4" t="s">
        <v>25</v>
      </c>
      <c r="L496" s="4" t="s">
        <v>26</v>
      </c>
      <c r="M496" s="4" t="s">
        <v>1476</v>
      </c>
      <c r="N496" s="5">
        <v>3549.64</v>
      </c>
      <c r="O496" s="6">
        <v>4</v>
      </c>
      <c r="P496" s="7">
        <v>0.5</v>
      </c>
      <c r="Q496" s="5">
        <v>-2135.2600000000002</v>
      </c>
    </row>
    <row r="497" spans="1:17" x14ac:dyDescent="0.3">
      <c r="A497" s="8" t="s">
        <v>1477</v>
      </c>
      <c r="B497" s="9">
        <v>44591</v>
      </c>
      <c r="C497" s="9">
        <v>44597</v>
      </c>
      <c r="D497" s="8" t="s">
        <v>29</v>
      </c>
      <c r="E497" s="8" t="s">
        <v>350</v>
      </c>
      <c r="F497" s="10" t="s">
        <v>351</v>
      </c>
      <c r="G497" s="10" t="s">
        <v>42</v>
      </c>
      <c r="H497" s="10" t="s">
        <v>352</v>
      </c>
      <c r="I497" s="10" t="s">
        <v>306</v>
      </c>
      <c r="J497" s="10" t="s">
        <v>34</v>
      </c>
      <c r="K497" s="10" t="s">
        <v>25</v>
      </c>
      <c r="L497" s="10" t="s">
        <v>74</v>
      </c>
      <c r="M497" s="10" t="s">
        <v>1478</v>
      </c>
      <c r="N497" s="11">
        <v>1286.51</v>
      </c>
      <c r="O497" s="12">
        <v>3</v>
      </c>
      <c r="P497" s="13">
        <v>0.4</v>
      </c>
      <c r="Q497" s="11">
        <v>-31.92</v>
      </c>
    </row>
    <row r="498" spans="1:17" x14ac:dyDescent="0.3">
      <c r="A498" s="2" t="s">
        <v>1479</v>
      </c>
      <c r="B498" s="3">
        <v>45272</v>
      </c>
      <c r="C498" s="3">
        <v>45275</v>
      </c>
      <c r="D498" s="2" t="s">
        <v>39</v>
      </c>
      <c r="E498" s="2" t="s">
        <v>618</v>
      </c>
      <c r="F498" s="4" t="s">
        <v>619</v>
      </c>
      <c r="G498" s="4" t="s">
        <v>42</v>
      </c>
      <c r="H498" s="4" t="s">
        <v>260</v>
      </c>
      <c r="I498" s="4" t="s">
        <v>151</v>
      </c>
      <c r="J498" s="4" t="s">
        <v>34</v>
      </c>
      <c r="K498" s="4" t="s">
        <v>45</v>
      </c>
      <c r="L498" s="4" t="s">
        <v>46</v>
      </c>
      <c r="M498" s="4" t="s">
        <v>1480</v>
      </c>
      <c r="N498" s="5">
        <v>4491.84</v>
      </c>
      <c r="O498" s="6">
        <v>9</v>
      </c>
      <c r="P498" s="7">
        <v>0.3</v>
      </c>
      <c r="Q498" s="5">
        <v>316.93</v>
      </c>
    </row>
    <row r="499" spans="1:17" x14ac:dyDescent="0.3">
      <c r="A499" s="8" t="s">
        <v>1481</v>
      </c>
      <c r="B499" s="9">
        <v>44443</v>
      </c>
      <c r="C499" s="9">
        <v>44448</v>
      </c>
      <c r="D499" s="8" t="s">
        <v>73</v>
      </c>
      <c r="E499" s="8" t="s">
        <v>340</v>
      </c>
      <c r="F499" s="10" t="s">
        <v>341</v>
      </c>
      <c r="G499" s="10" t="s">
        <v>21</v>
      </c>
      <c r="H499" s="10" t="s">
        <v>139</v>
      </c>
      <c r="I499" s="10" t="s">
        <v>140</v>
      </c>
      <c r="J499" s="10" t="s">
        <v>24</v>
      </c>
      <c r="K499" s="10" t="s">
        <v>35</v>
      </c>
      <c r="L499" s="10" t="s">
        <v>110</v>
      </c>
      <c r="M499" s="10" t="s">
        <v>1482</v>
      </c>
      <c r="N499" s="11">
        <v>198.41</v>
      </c>
      <c r="O499" s="12">
        <v>7</v>
      </c>
      <c r="P499" s="13">
        <v>0.2</v>
      </c>
      <c r="Q499" s="11">
        <v>44.93</v>
      </c>
    </row>
    <row r="500" spans="1:17" x14ac:dyDescent="0.3">
      <c r="A500" s="2" t="s">
        <v>1483</v>
      </c>
      <c r="B500" s="3">
        <v>45119</v>
      </c>
      <c r="C500" s="3">
        <v>45123</v>
      </c>
      <c r="D500" s="2" t="s">
        <v>39</v>
      </c>
      <c r="E500" s="2" t="s">
        <v>380</v>
      </c>
      <c r="F500" s="4" t="s">
        <v>381</v>
      </c>
      <c r="G500" s="4" t="s">
        <v>51</v>
      </c>
      <c r="H500" s="4" t="s">
        <v>156</v>
      </c>
      <c r="I500" s="4" t="s">
        <v>157</v>
      </c>
      <c r="J500" s="4" t="s">
        <v>88</v>
      </c>
      <c r="K500" s="4" t="s">
        <v>25</v>
      </c>
      <c r="L500" s="4" t="s">
        <v>124</v>
      </c>
      <c r="M500" s="4" t="s">
        <v>1484</v>
      </c>
      <c r="N500" s="5">
        <v>8206.7000000000007</v>
      </c>
      <c r="O500" s="6">
        <v>5</v>
      </c>
      <c r="P500" s="7">
        <v>0</v>
      </c>
      <c r="Q500" s="5">
        <v>2200.91</v>
      </c>
    </row>
    <row r="501" spans="1:17" x14ac:dyDescent="0.3">
      <c r="A501" s="8" t="s">
        <v>1485</v>
      </c>
      <c r="B501" s="9">
        <v>45110</v>
      </c>
      <c r="C501" s="9">
        <v>45113</v>
      </c>
      <c r="D501" s="8" t="s">
        <v>73</v>
      </c>
      <c r="E501" s="8" t="s">
        <v>281</v>
      </c>
      <c r="F501" s="10" t="s">
        <v>282</v>
      </c>
      <c r="G501" s="10" t="s">
        <v>21</v>
      </c>
      <c r="H501" s="10" t="s">
        <v>250</v>
      </c>
      <c r="I501" s="10" t="s">
        <v>251</v>
      </c>
      <c r="J501" s="10" t="s">
        <v>88</v>
      </c>
      <c r="K501" s="10" t="s">
        <v>25</v>
      </c>
      <c r="L501" s="10" t="s">
        <v>74</v>
      </c>
      <c r="M501" s="10" t="s">
        <v>1486</v>
      </c>
      <c r="N501" s="11">
        <v>652.24</v>
      </c>
      <c r="O501" s="12">
        <v>4</v>
      </c>
      <c r="P501" s="13">
        <v>0</v>
      </c>
      <c r="Q501" s="11">
        <v>271.33</v>
      </c>
    </row>
    <row r="502" spans="1:17" x14ac:dyDescent="0.3">
      <c r="A502" s="2" t="s">
        <v>1487</v>
      </c>
      <c r="B502" s="3">
        <v>44319</v>
      </c>
      <c r="C502" s="3">
        <v>44323</v>
      </c>
      <c r="D502" s="2" t="s">
        <v>73</v>
      </c>
      <c r="E502" s="2" t="s">
        <v>163</v>
      </c>
      <c r="F502" s="4" t="s">
        <v>164</v>
      </c>
      <c r="G502" s="4" t="s">
        <v>21</v>
      </c>
      <c r="H502" s="4" t="s">
        <v>165</v>
      </c>
      <c r="I502" s="4" t="s">
        <v>44</v>
      </c>
      <c r="J502" s="4" t="s">
        <v>24</v>
      </c>
      <c r="K502" s="4" t="s">
        <v>45</v>
      </c>
      <c r="L502" s="4" t="s">
        <v>46</v>
      </c>
      <c r="M502" s="4" t="s">
        <v>1488</v>
      </c>
      <c r="N502" s="5">
        <v>2010.76</v>
      </c>
      <c r="O502" s="6">
        <v>7</v>
      </c>
      <c r="P502" s="7">
        <v>0.05</v>
      </c>
      <c r="Q502" s="5">
        <v>594.41999999999996</v>
      </c>
    </row>
    <row r="503" spans="1:17" x14ac:dyDescent="0.3">
      <c r="A503" s="8" t="s">
        <v>1489</v>
      </c>
      <c r="B503" s="9">
        <v>45501</v>
      </c>
      <c r="C503" s="9">
        <v>45504</v>
      </c>
      <c r="D503" s="8" t="s">
        <v>18</v>
      </c>
      <c r="E503" s="8" t="s">
        <v>528</v>
      </c>
      <c r="F503" s="10" t="s">
        <v>529</v>
      </c>
      <c r="G503" s="10" t="s">
        <v>51</v>
      </c>
      <c r="H503" s="10" t="s">
        <v>530</v>
      </c>
      <c r="I503" s="10" t="s">
        <v>373</v>
      </c>
      <c r="J503" s="10" t="s">
        <v>34</v>
      </c>
      <c r="K503" s="10" t="s">
        <v>35</v>
      </c>
      <c r="L503" s="10" t="s">
        <v>81</v>
      </c>
      <c r="M503" s="10" t="s">
        <v>1490</v>
      </c>
      <c r="N503" s="11">
        <v>77.7</v>
      </c>
      <c r="O503" s="12">
        <v>3</v>
      </c>
      <c r="P503" s="13">
        <v>0</v>
      </c>
      <c r="Q503" s="11">
        <v>41.47</v>
      </c>
    </row>
    <row r="504" spans="1:17" x14ac:dyDescent="0.3">
      <c r="A504" s="2" t="s">
        <v>1491</v>
      </c>
      <c r="B504" s="3">
        <v>45467</v>
      </c>
      <c r="C504" s="3">
        <v>45470</v>
      </c>
      <c r="D504" s="2" t="s">
        <v>73</v>
      </c>
      <c r="E504" s="2" t="s">
        <v>120</v>
      </c>
      <c r="F504" s="4" t="s">
        <v>121</v>
      </c>
      <c r="G504" s="4" t="s">
        <v>21</v>
      </c>
      <c r="H504" s="4" t="s">
        <v>122</v>
      </c>
      <c r="I504" s="4" t="s">
        <v>123</v>
      </c>
      <c r="J504" s="4" t="s">
        <v>24</v>
      </c>
      <c r="K504" s="4" t="s">
        <v>35</v>
      </c>
      <c r="L504" s="4" t="s">
        <v>36</v>
      </c>
      <c r="M504" s="4" t="s">
        <v>831</v>
      </c>
      <c r="N504" s="5">
        <v>632.07000000000005</v>
      </c>
      <c r="O504" s="6">
        <v>9</v>
      </c>
      <c r="P504" s="7">
        <v>0.5</v>
      </c>
      <c r="Q504" s="5">
        <v>-137.04</v>
      </c>
    </row>
    <row r="505" spans="1:17" x14ac:dyDescent="0.3">
      <c r="A505" s="8" t="s">
        <v>1492</v>
      </c>
      <c r="B505" s="9">
        <v>45326</v>
      </c>
      <c r="C505" s="9">
        <v>45329</v>
      </c>
      <c r="D505" s="8" t="s">
        <v>73</v>
      </c>
      <c r="E505" s="8" t="s">
        <v>350</v>
      </c>
      <c r="F505" s="10" t="s">
        <v>351</v>
      </c>
      <c r="G505" s="10" t="s">
        <v>42</v>
      </c>
      <c r="H505" s="10" t="s">
        <v>352</v>
      </c>
      <c r="I505" s="10" t="s">
        <v>306</v>
      </c>
      <c r="J505" s="10" t="s">
        <v>34</v>
      </c>
      <c r="K505" s="10" t="s">
        <v>45</v>
      </c>
      <c r="L505" s="10" t="s">
        <v>61</v>
      </c>
      <c r="M505" s="10" t="s">
        <v>1493</v>
      </c>
      <c r="N505" s="11">
        <v>3615.93</v>
      </c>
      <c r="O505" s="12">
        <v>9</v>
      </c>
      <c r="P505" s="13">
        <v>0.15</v>
      </c>
      <c r="Q505" s="11">
        <v>40.28</v>
      </c>
    </row>
    <row r="506" spans="1:17" x14ac:dyDescent="0.3">
      <c r="A506" s="2" t="s">
        <v>1494</v>
      </c>
      <c r="B506" s="3">
        <v>44245</v>
      </c>
      <c r="C506" s="3">
        <v>44250</v>
      </c>
      <c r="D506" s="2" t="s">
        <v>29</v>
      </c>
      <c r="E506" s="2" t="s">
        <v>785</v>
      </c>
      <c r="F506" s="4" t="s">
        <v>786</v>
      </c>
      <c r="G506" s="4" t="s">
        <v>51</v>
      </c>
      <c r="H506" s="4" t="s">
        <v>422</v>
      </c>
      <c r="I506" s="4" t="s">
        <v>423</v>
      </c>
      <c r="J506" s="4" t="s">
        <v>88</v>
      </c>
      <c r="K506" s="4" t="s">
        <v>25</v>
      </c>
      <c r="L506" s="4" t="s">
        <v>74</v>
      </c>
      <c r="M506" s="4" t="s">
        <v>1495</v>
      </c>
      <c r="N506" s="5">
        <v>1353.02</v>
      </c>
      <c r="O506" s="6">
        <v>5</v>
      </c>
      <c r="P506" s="7">
        <v>0.1</v>
      </c>
      <c r="Q506" s="5">
        <v>494.77</v>
      </c>
    </row>
    <row r="507" spans="1:17" x14ac:dyDescent="0.3">
      <c r="A507" s="8" t="s">
        <v>1496</v>
      </c>
      <c r="B507" s="9">
        <v>45097</v>
      </c>
      <c r="C507" s="9">
        <v>45099</v>
      </c>
      <c r="D507" s="8" t="s">
        <v>18</v>
      </c>
      <c r="E507" s="8" t="s">
        <v>543</v>
      </c>
      <c r="F507" s="10" t="s">
        <v>544</v>
      </c>
      <c r="G507" s="10" t="s">
        <v>42</v>
      </c>
      <c r="H507" s="10" t="s">
        <v>346</v>
      </c>
      <c r="I507" s="10" t="s">
        <v>347</v>
      </c>
      <c r="J507" s="10" t="s">
        <v>88</v>
      </c>
      <c r="K507" s="10" t="s">
        <v>45</v>
      </c>
      <c r="L507" s="10" t="s">
        <v>99</v>
      </c>
      <c r="M507" s="10" t="s">
        <v>1497</v>
      </c>
      <c r="N507" s="11">
        <v>297.17</v>
      </c>
      <c r="O507" s="12">
        <v>6</v>
      </c>
      <c r="P507" s="13">
        <v>0.2</v>
      </c>
      <c r="Q507" s="11">
        <v>21.43</v>
      </c>
    </row>
    <row r="508" spans="1:17" x14ac:dyDescent="0.3">
      <c r="A508" s="2" t="s">
        <v>1498</v>
      </c>
      <c r="B508" s="3">
        <v>44721</v>
      </c>
      <c r="C508" s="3">
        <v>44727</v>
      </c>
      <c r="D508" s="2" t="s">
        <v>29</v>
      </c>
      <c r="E508" s="2" t="s">
        <v>588</v>
      </c>
      <c r="F508" s="4" t="s">
        <v>589</v>
      </c>
      <c r="G508" s="4" t="s">
        <v>42</v>
      </c>
      <c r="H508" s="4" t="s">
        <v>397</v>
      </c>
      <c r="I508" s="4" t="s">
        <v>33</v>
      </c>
      <c r="J508" s="4" t="s">
        <v>34</v>
      </c>
      <c r="K508" s="4" t="s">
        <v>45</v>
      </c>
      <c r="L508" s="4" t="s">
        <v>61</v>
      </c>
      <c r="M508" s="4" t="s">
        <v>1499</v>
      </c>
      <c r="N508" s="5">
        <v>2818.53</v>
      </c>
      <c r="O508" s="6">
        <v>9</v>
      </c>
      <c r="P508" s="7">
        <v>0.5</v>
      </c>
      <c r="Q508" s="5">
        <v>-2436.4</v>
      </c>
    </row>
    <row r="509" spans="1:17" x14ac:dyDescent="0.3">
      <c r="A509" s="8" t="s">
        <v>1500</v>
      </c>
      <c r="B509" s="9">
        <v>45261</v>
      </c>
      <c r="C509" s="9">
        <v>45265</v>
      </c>
      <c r="D509" s="8" t="s">
        <v>73</v>
      </c>
      <c r="E509" s="8" t="s">
        <v>1258</v>
      </c>
      <c r="F509" s="10" t="s">
        <v>1259</v>
      </c>
      <c r="G509" s="10" t="s">
        <v>21</v>
      </c>
      <c r="H509" s="10" t="s">
        <v>438</v>
      </c>
      <c r="I509" s="10" t="s">
        <v>157</v>
      </c>
      <c r="J509" s="10" t="s">
        <v>88</v>
      </c>
      <c r="K509" s="10" t="s">
        <v>45</v>
      </c>
      <c r="L509" s="10" t="s">
        <v>117</v>
      </c>
      <c r="M509" s="10" t="s">
        <v>1501</v>
      </c>
      <c r="N509" s="11">
        <v>1645.02</v>
      </c>
      <c r="O509" s="12">
        <v>6</v>
      </c>
      <c r="P509" s="13">
        <v>0</v>
      </c>
      <c r="Q509" s="11">
        <v>469.58</v>
      </c>
    </row>
    <row r="510" spans="1:17" x14ac:dyDescent="0.3">
      <c r="A510" s="2" t="s">
        <v>1502</v>
      </c>
      <c r="B510" s="3">
        <v>45318</v>
      </c>
      <c r="C510" s="3">
        <v>45321</v>
      </c>
      <c r="D510" s="2" t="s">
        <v>73</v>
      </c>
      <c r="E510" s="2" t="s">
        <v>57</v>
      </c>
      <c r="F510" s="4" t="s">
        <v>58</v>
      </c>
      <c r="G510" s="4" t="s">
        <v>42</v>
      </c>
      <c r="H510" s="4" t="s">
        <v>59</v>
      </c>
      <c r="I510" s="4" t="s">
        <v>60</v>
      </c>
      <c r="J510" s="4" t="s">
        <v>54</v>
      </c>
      <c r="K510" s="4" t="s">
        <v>45</v>
      </c>
      <c r="L510" s="4" t="s">
        <v>61</v>
      </c>
      <c r="M510" s="4" t="s">
        <v>1503</v>
      </c>
      <c r="N510" s="5">
        <v>2531.04</v>
      </c>
      <c r="O510" s="6">
        <v>10</v>
      </c>
      <c r="P510" s="7">
        <v>0.4</v>
      </c>
      <c r="Q510" s="5">
        <v>-1233.95</v>
      </c>
    </row>
    <row r="511" spans="1:17" x14ac:dyDescent="0.3">
      <c r="A511" s="8" t="s">
        <v>1504</v>
      </c>
      <c r="B511" s="9">
        <v>45595</v>
      </c>
      <c r="C511" s="9">
        <v>45596</v>
      </c>
      <c r="D511" s="8" t="s">
        <v>18</v>
      </c>
      <c r="E511" s="8" t="s">
        <v>329</v>
      </c>
      <c r="F511" s="10" t="s">
        <v>330</v>
      </c>
      <c r="G511" s="10" t="s">
        <v>42</v>
      </c>
      <c r="H511" s="10" t="s">
        <v>66</v>
      </c>
      <c r="I511" s="10" t="s">
        <v>67</v>
      </c>
      <c r="J511" s="10" t="s">
        <v>34</v>
      </c>
      <c r="K511" s="10" t="s">
        <v>35</v>
      </c>
      <c r="L511" s="10" t="s">
        <v>110</v>
      </c>
      <c r="M511" s="10" t="s">
        <v>1505</v>
      </c>
      <c r="N511" s="11">
        <v>179.83</v>
      </c>
      <c r="O511" s="12">
        <v>7</v>
      </c>
      <c r="P511" s="13">
        <v>0</v>
      </c>
      <c r="Q511" s="11">
        <v>69.680000000000007</v>
      </c>
    </row>
    <row r="512" spans="1:17" x14ac:dyDescent="0.3">
      <c r="A512" s="2" t="s">
        <v>1506</v>
      </c>
      <c r="B512" s="3">
        <v>45238</v>
      </c>
      <c r="C512" s="3">
        <v>45243</v>
      </c>
      <c r="D512" s="2" t="s">
        <v>73</v>
      </c>
      <c r="E512" s="2" t="s">
        <v>1152</v>
      </c>
      <c r="F512" s="4" t="s">
        <v>1153</v>
      </c>
      <c r="G512" s="4" t="s">
        <v>42</v>
      </c>
      <c r="H512" s="4" t="s">
        <v>1091</v>
      </c>
      <c r="I512" s="4" t="s">
        <v>23</v>
      </c>
      <c r="J512" s="4" t="s">
        <v>24</v>
      </c>
      <c r="K512" s="4" t="s">
        <v>45</v>
      </c>
      <c r="L512" s="4" t="s">
        <v>46</v>
      </c>
      <c r="M512" s="4" t="s">
        <v>1507</v>
      </c>
      <c r="N512" s="5">
        <v>3373.25</v>
      </c>
      <c r="O512" s="6">
        <v>10</v>
      </c>
      <c r="P512" s="7">
        <v>0.5</v>
      </c>
      <c r="Q512" s="5">
        <v>-1160.44</v>
      </c>
    </row>
    <row r="513" spans="1:17" x14ac:dyDescent="0.3">
      <c r="A513" s="8" t="s">
        <v>1508</v>
      </c>
      <c r="B513" s="9">
        <v>45369</v>
      </c>
      <c r="C513" s="9">
        <v>45375</v>
      </c>
      <c r="D513" s="8" t="s">
        <v>29</v>
      </c>
      <c r="E513" s="8" t="s">
        <v>678</v>
      </c>
      <c r="F513" s="10" t="s">
        <v>679</v>
      </c>
      <c r="G513" s="10" t="s">
        <v>51</v>
      </c>
      <c r="H513" s="10" t="s">
        <v>122</v>
      </c>
      <c r="I513" s="10" t="s">
        <v>123</v>
      </c>
      <c r="J513" s="10" t="s">
        <v>24</v>
      </c>
      <c r="K513" s="10" t="s">
        <v>35</v>
      </c>
      <c r="L513" s="10" t="s">
        <v>36</v>
      </c>
      <c r="M513" s="10" t="s">
        <v>1509</v>
      </c>
      <c r="N513" s="11">
        <v>864.05</v>
      </c>
      <c r="O513" s="12">
        <v>7</v>
      </c>
      <c r="P513" s="13">
        <v>0.5</v>
      </c>
      <c r="Q513" s="11">
        <v>-107.91</v>
      </c>
    </row>
    <row r="514" spans="1:17" x14ac:dyDescent="0.3">
      <c r="A514" s="2" t="s">
        <v>1510</v>
      </c>
      <c r="B514" s="3">
        <v>44463</v>
      </c>
      <c r="C514" s="3">
        <v>44466</v>
      </c>
      <c r="D514" s="2" t="s">
        <v>18</v>
      </c>
      <c r="E514" s="2" t="s">
        <v>697</v>
      </c>
      <c r="F514" s="4" t="s">
        <v>698</v>
      </c>
      <c r="G514" s="4" t="s">
        <v>21</v>
      </c>
      <c r="H514" s="4" t="s">
        <v>319</v>
      </c>
      <c r="I514" s="4" t="s">
        <v>194</v>
      </c>
      <c r="J514" s="4" t="s">
        <v>34</v>
      </c>
      <c r="K514" s="4" t="s">
        <v>25</v>
      </c>
      <c r="L514" s="4" t="s">
        <v>68</v>
      </c>
      <c r="M514" s="4" t="s">
        <v>1511</v>
      </c>
      <c r="N514" s="5">
        <v>289.06</v>
      </c>
      <c r="O514" s="6">
        <v>2</v>
      </c>
      <c r="P514" s="7">
        <v>0</v>
      </c>
      <c r="Q514" s="5">
        <v>99.14</v>
      </c>
    </row>
    <row r="515" spans="1:17" x14ac:dyDescent="0.3">
      <c r="A515" s="8" t="s">
        <v>1512</v>
      </c>
      <c r="B515" s="9">
        <v>45177</v>
      </c>
      <c r="C515" s="9">
        <v>45182</v>
      </c>
      <c r="D515" s="8" t="s">
        <v>29</v>
      </c>
      <c r="E515" s="8" t="s">
        <v>1352</v>
      </c>
      <c r="F515" s="10" t="s">
        <v>1353</v>
      </c>
      <c r="G515" s="10" t="s">
        <v>42</v>
      </c>
      <c r="H515" s="10" t="s">
        <v>207</v>
      </c>
      <c r="I515" s="10" t="s">
        <v>60</v>
      </c>
      <c r="J515" s="10" t="s">
        <v>54</v>
      </c>
      <c r="K515" s="10" t="s">
        <v>25</v>
      </c>
      <c r="L515" s="10" t="s">
        <v>124</v>
      </c>
      <c r="M515" s="10" t="s">
        <v>1513</v>
      </c>
      <c r="N515" s="11">
        <v>22157.32</v>
      </c>
      <c r="O515" s="12">
        <v>8</v>
      </c>
      <c r="P515" s="13">
        <v>0.15</v>
      </c>
      <c r="Q515" s="11">
        <v>1817.85</v>
      </c>
    </row>
    <row r="516" spans="1:17" x14ac:dyDescent="0.3">
      <c r="A516" s="2" t="s">
        <v>1514</v>
      </c>
      <c r="B516" s="3">
        <v>45199</v>
      </c>
      <c r="C516" s="3">
        <v>45204</v>
      </c>
      <c r="D516" s="2" t="s">
        <v>29</v>
      </c>
      <c r="E516" s="2" t="s">
        <v>463</v>
      </c>
      <c r="F516" s="4" t="s">
        <v>464</v>
      </c>
      <c r="G516" s="4" t="s">
        <v>51</v>
      </c>
      <c r="H516" s="4" t="s">
        <v>465</v>
      </c>
      <c r="I516" s="4" t="s">
        <v>423</v>
      </c>
      <c r="J516" s="4" t="s">
        <v>88</v>
      </c>
      <c r="K516" s="4" t="s">
        <v>35</v>
      </c>
      <c r="L516" s="4" t="s">
        <v>229</v>
      </c>
      <c r="M516" s="4" t="s">
        <v>1515</v>
      </c>
      <c r="N516" s="5">
        <v>7.47</v>
      </c>
      <c r="O516" s="6">
        <v>3</v>
      </c>
      <c r="P516" s="7">
        <v>0.5</v>
      </c>
      <c r="Q516" s="5">
        <v>-0.93</v>
      </c>
    </row>
    <row r="517" spans="1:17" x14ac:dyDescent="0.3">
      <c r="A517" s="8" t="s">
        <v>1516</v>
      </c>
      <c r="B517" s="9">
        <v>45338</v>
      </c>
      <c r="C517" s="9">
        <v>45339</v>
      </c>
      <c r="D517" s="8" t="s">
        <v>18</v>
      </c>
      <c r="E517" s="8" t="s">
        <v>707</v>
      </c>
      <c r="F517" s="10" t="s">
        <v>708</v>
      </c>
      <c r="G517" s="10" t="s">
        <v>51</v>
      </c>
      <c r="H517" s="10" t="s">
        <v>386</v>
      </c>
      <c r="I517" s="10" t="s">
        <v>347</v>
      </c>
      <c r="J517" s="10" t="s">
        <v>88</v>
      </c>
      <c r="K517" s="10" t="s">
        <v>35</v>
      </c>
      <c r="L517" s="10" t="s">
        <v>229</v>
      </c>
      <c r="M517" s="10" t="s">
        <v>1517</v>
      </c>
      <c r="N517" s="11">
        <v>131.94</v>
      </c>
      <c r="O517" s="12">
        <v>7</v>
      </c>
      <c r="P517" s="13">
        <v>0.05</v>
      </c>
      <c r="Q517" s="11">
        <v>61.65</v>
      </c>
    </row>
    <row r="518" spans="1:17" x14ac:dyDescent="0.3">
      <c r="A518" s="2" t="s">
        <v>1518</v>
      </c>
      <c r="B518" s="3">
        <v>44960</v>
      </c>
      <c r="C518" s="3">
        <v>44963</v>
      </c>
      <c r="D518" s="2" t="s">
        <v>39</v>
      </c>
      <c r="E518" s="2" t="s">
        <v>584</v>
      </c>
      <c r="F518" s="4" t="s">
        <v>585</v>
      </c>
      <c r="G518" s="4" t="s">
        <v>42</v>
      </c>
      <c r="H518" s="4" t="s">
        <v>250</v>
      </c>
      <c r="I518" s="4" t="s">
        <v>251</v>
      </c>
      <c r="J518" s="4" t="s">
        <v>88</v>
      </c>
      <c r="K518" s="4" t="s">
        <v>35</v>
      </c>
      <c r="L518" s="4" t="s">
        <v>229</v>
      </c>
      <c r="M518" s="4" t="s">
        <v>1519</v>
      </c>
      <c r="N518" s="5">
        <v>66.59</v>
      </c>
      <c r="O518" s="6">
        <v>7</v>
      </c>
      <c r="P518" s="7">
        <v>0.1</v>
      </c>
      <c r="Q518" s="5">
        <v>33.39</v>
      </c>
    </row>
    <row r="519" spans="1:17" x14ac:dyDescent="0.3">
      <c r="A519" s="8" t="s">
        <v>1520</v>
      </c>
      <c r="B519" s="9">
        <v>44952</v>
      </c>
      <c r="C519" s="9">
        <v>44959</v>
      </c>
      <c r="D519" s="8" t="s">
        <v>29</v>
      </c>
      <c r="E519" s="8" t="s">
        <v>1521</v>
      </c>
      <c r="F519" s="10" t="s">
        <v>1522</v>
      </c>
      <c r="G519" s="10" t="s">
        <v>51</v>
      </c>
      <c r="H519" s="10" t="s">
        <v>305</v>
      </c>
      <c r="I519" s="10" t="s">
        <v>306</v>
      </c>
      <c r="J519" s="10" t="s">
        <v>34</v>
      </c>
      <c r="K519" s="10" t="s">
        <v>25</v>
      </c>
      <c r="L519" s="10" t="s">
        <v>124</v>
      </c>
      <c r="M519" s="10" t="s">
        <v>1523</v>
      </c>
      <c r="N519" s="11">
        <v>2113.5300000000002</v>
      </c>
      <c r="O519" s="12">
        <v>5</v>
      </c>
      <c r="P519" s="13">
        <v>0.5</v>
      </c>
      <c r="Q519" s="11">
        <v>-950.51</v>
      </c>
    </row>
    <row r="520" spans="1:17" x14ac:dyDescent="0.3">
      <c r="A520" s="2" t="s">
        <v>1524</v>
      </c>
      <c r="B520" s="3">
        <v>44736</v>
      </c>
      <c r="C520" s="3">
        <v>44738</v>
      </c>
      <c r="D520" s="2" t="s">
        <v>18</v>
      </c>
      <c r="E520" s="2" t="s">
        <v>484</v>
      </c>
      <c r="F520" s="4" t="s">
        <v>485</v>
      </c>
      <c r="G520" s="4" t="s">
        <v>21</v>
      </c>
      <c r="H520" s="4" t="s">
        <v>86</v>
      </c>
      <c r="I520" s="4" t="s">
        <v>87</v>
      </c>
      <c r="J520" s="4" t="s">
        <v>88</v>
      </c>
      <c r="K520" s="4" t="s">
        <v>45</v>
      </c>
      <c r="L520" s="4" t="s">
        <v>99</v>
      </c>
      <c r="M520" s="4" t="s">
        <v>1525</v>
      </c>
      <c r="N520" s="5">
        <v>1069.44</v>
      </c>
      <c r="O520" s="6">
        <v>6</v>
      </c>
      <c r="P520" s="7">
        <v>0</v>
      </c>
      <c r="Q520" s="5">
        <v>351.5</v>
      </c>
    </row>
    <row r="521" spans="1:17" x14ac:dyDescent="0.3">
      <c r="A521" s="8" t="s">
        <v>1526</v>
      </c>
      <c r="B521" s="9">
        <v>45589</v>
      </c>
      <c r="C521" s="9">
        <v>45591</v>
      </c>
      <c r="D521" s="8" t="s">
        <v>18</v>
      </c>
      <c r="E521" s="8" t="s">
        <v>717</v>
      </c>
      <c r="F521" s="10" t="s">
        <v>718</v>
      </c>
      <c r="G521" s="10" t="s">
        <v>51</v>
      </c>
      <c r="H521" s="10" t="s">
        <v>86</v>
      </c>
      <c r="I521" s="10" t="s">
        <v>87</v>
      </c>
      <c r="J521" s="10" t="s">
        <v>88</v>
      </c>
      <c r="K521" s="10" t="s">
        <v>45</v>
      </c>
      <c r="L521" s="10" t="s">
        <v>46</v>
      </c>
      <c r="M521" s="10" t="s">
        <v>1527</v>
      </c>
      <c r="N521" s="11">
        <v>887.98</v>
      </c>
      <c r="O521" s="12">
        <v>8</v>
      </c>
      <c r="P521" s="13">
        <v>0.1</v>
      </c>
      <c r="Q521" s="11">
        <v>231.21</v>
      </c>
    </row>
    <row r="522" spans="1:17" x14ac:dyDescent="0.3">
      <c r="A522" s="2" t="s">
        <v>1528</v>
      </c>
      <c r="B522" s="3">
        <v>45493</v>
      </c>
      <c r="C522" s="3">
        <v>45498</v>
      </c>
      <c r="D522" s="2" t="s">
        <v>29</v>
      </c>
      <c r="E522" s="2" t="s">
        <v>463</v>
      </c>
      <c r="F522" s="4" t="s">
        <v>464</v>
      </c>
      <c r="G522" s="4" t="s">
        <v>51</v>
      </c>
      <c r="H522" s="4" t="s">
        <v>465</v>
      </c>
      <c r="I522" s="4" t="s">
        <v>423</v>
      </c>
      <c r="J522" s="4" t="s">
        <v>88</v>
      </c>
      <c r="K522" s="4" t="s">
        <v>45</v>
      </c>
      <c r="L522" s="4" t="s">
        <v>117</v>
      </c>
      <c r="M522" s="4" t="s">
        <v>1334</v>
      </c>
      <c r="N522" s="5">
        <v>2530.36</v>
      </c>
      <c r="O522" s="6">
        <v>7</v>
      </c>
      <c r="P522" s="7">
        <v>0</v>
      </c>
      <c r="Q522" s="5">
        <v>853.49</v>
      </c>
    </row>
    <row r="523" spans="1:17" x14ac:dyDescent="0.3">
      <c r="A523" s="8" t="s">
        <v>1529</v>
      </c>
      <c r="B523" s="9">
        <v>44793</v>
      </c>
      <c r="C523" s="9">
        <v>44799</v>
      </c>
      <c r="D523" s="8" t="s">
        <v>29</v>
      </c>
      <c r="E523" s="8" t="s">
        <v>969</v>
      </c>
      <c r="F523" s="10" t="s">
        <v>970</v>
      </c>
      <c r="G523" s="10" t="s">
        <v>42</v>
      </c>
      <c r="H523" s="10" t="s">
        <v>79</v>
      </c>
      <c r="I523" s="10" t="s">
        <v>80</v>
      </c>
      <c r="J523" s="10" t="s">
        <v>54</v>
      </c>
      <c r="K523" s="10" t="s">
        <v>45</v>
      </c>
      <c r="L523" s="10" t="s">
        <v>117</v>
      </c>
      <c r="M523" s="10" t="s">
        <v>217</v>
      </c>
      <c r="N523" s="11">
        <v>555.79</v>
      </c>
      <c r="O523" s="12">
        <v>7</v>
      </c>
      <c r="P523" s="13">
        <v>0.1</v>
      </c>
      <c r="Q523" s="11">
        <v>140.22</v>
      </c>
    </row>
    <row r="524" spans="1:17" x14ac:dyDescent="0.3">
      <c r="A524" s="2" t="s">
        <v>1530</v>
      </c>
      <c r="B524" s="3">
        <v>45298</v>
      </c>
      <c r="C524" s="3">
        <v>45302</v>
      </c>
      <c r="D524" s="2" t="s">
        <v>39</v>
      </c>
      <c r="E524" s="2" t="s">
        <v>169</v>
      </c>
      <c r="F524" s="4" t="s">
        <v>170</v>
      </c>
      <c r="G524" s="4" t="s">
        <v>21</v>
      </c>
      <c r="H524" s="4" t="s">
        <v>171</v>
      </c>
      <c r="I524" s="4" t="s">
        <v>172</v>
      </c>
      <c r="J524" s="4" t="s">
        <v>24</v>
      </c>
      <c r="K524" s="4" t="s">
        <v>45</v>
      </c>
      <c r="L524" s="4" t="s">
        <v>99</v>
      </c>
      <c r="M524" s="4" t="s">
        <v>1531</v>
      </c>
      <c r="N524" s="5">
        <v>89.51</v>
      </c>
      <c r="O524" s="6">
        <v>2</v>
      </c>
      <c r="P524" s="7">
        <v>0.4</v>
      </c>
      <c r="Q524" s="5">
        <v>-22.83</v>
      </c>
    </row>
    <row r="525" spans="1:17" x14ac:dyDescent="0.3">
      <c r="A525" s="8" t="s">
        <v>1532</v>
      </c>
      <c r="B525" s="9">
        <v>44335</v>
      </c>
      <c r="C525" s="9">
        <v>44337</v>
      </c>
      <c r="D525" s="8" t="s">
        <v>39</v>
      </c>
      <c r="E525" s="8" t="s">
        <v>370</v>
      </c>
      <c r="F525" s="10" t="s">
        <v>371</v>
      </c>
      <c r="G525" s="10" t="s">
        <v>51</v>
      </c>
      <c r="H525" s="10" t="s">
        <v>372</v>
      </c>
      <c r="I525" s="10" t="s">
        <v>373</v>
      </c>
      <c r="J525" s="10" t="s">
        <v>34</v>
      </c>
      <c r="K525" s="10" t="s">
        <v>25</v>
      </c>
      <c r="L525" s="10" t="s">
        <v>74</v>
      </c>
      <c r="M525" s="10" t="s">
        <v>1533</v>
      </c>
      <c r="N525" s="11">
        <v>3927</v>
      </c>
      <c r="O525" s="12">
        <v>5</v>
      </c>
      <c r="P525" s="13">
        <v>0</v>
      </c>
      <c r="Q525" s="11">
        <v>1582.05</v>
      </c>
    </row>
    <row r="526" spans="1:17" x14ac:dyDescent="0.3">
      <c r="A526" s="2" t="s">
        <v>1534</v>
      </c>
      <c r="B526" s="3">
        <v>44387</v>
      </c>
      <c r="C526" s="3">
        <v>44390</v>
      </c>
      <c r="D526" s="2" t="s">
        <v>18</v>
      </c>
      <c r="E526" s="2" t="s">
        <v>389</v>
      </c>
      <c r="F526" s="4" t="s">
        <v>390</v>
      </c>
      <c r="G526" s="4" t="s">
        <v>51</v>
      </c>
      <c r="H526" s="4" t="s">
        <v>59</v>
      </c>
      <c r="I526" s="4" t="s">
        <v>60</v>
      </c>
      <c r="J526" s="4" t="s">
        <v>54</v>
      </c>
      <c r="K526" s="4" t="s">
        <v>45</v>
      </c>
      <c r="L526" s="4" t="s">
        <v>99</v>
      </c>
      <c r="M526" s="4" t="s">
        <v>1535</v>
      </c>
      <c r="N526" s="5">
        <v>633.47</v>
      </c>
      <c r="O526" s="6">
        <v>7</v>
      </c>
      <c r="P526" s="7">
        <v>0.3</v>
      </c>
      <c r="Q526" s="5">
        <v>79.56</v>
      </c>
    </row>
    <row r="527" spans="1:17" x14ac:dyDescent="0.3">
      <c r="A527" s="8" t="s">
        <v>1536</v>
      </c>
      <c r="B527" s="9">
        <v>45242</v>
      </c>
      <c r="C527" s="9">
        <v>45245</v>
      </c>
      <c r="D527" s="8" t="s">
        <v>18</v>
      </c>
      <c r="E527" s="8" t="s">
        <v>817</v>
      </c>
      <c r="F527" s="10" t="s">
        <v>818</v>
      </c>
      <c r="G527" s="10" t="s">
        <v>42</v>
      </c>
      <c r="H527" s="10" t="s">
        <v>98</v>
      </c>
      <c r="I527" s="10" t="s">
        <v>80</v>
      </c>
      <c r="J527" s="10" t="s">
        <v>54</v>
      </c>
      <c r="K527" s="10" t="s">
        <v>25</v>
      </c>
      <c r="L527" s="10" t="s">
        <v>124</v>
      </c>
      <c r="M527" s="10" t="s">
        <v>1537</v>
      </c>
      <c r="N527" s="11">
        <v>16675.64</v>
      </c>
      <c r="O527" s="12">
        <v>5</v>
      </c>
      <c r="P527" s="13">
        <v>0.15</v>
      </c>
      <c r="Q527" s="11">
        <v>2510.87</v>
      </c>
    </row>
    <row r="528" spans="1:17" x14ac:dyDescent="0.3">
      <c r="A528" s="2" t="s">
        <v>1538</v>
      </c>
      <c r="B528" s="3">
        <v>44525</v>
      </c>
      <c r="C528" s="3">
        <v>44530</v>
      </c>
      <c r="D528" s="2" t="s">
        <v>73</v>
      </c>
      <c r="E528" s="2" t="s">
        <v>1539</v>
      </c>
      <c r="F528" s="4" t="s">
        <v>1540</v>
      </c>
      <c r="G528" s="4" t="s">
        <v>42</v>
      </c>
      <c r="H528" s="4" t="s">
        <v>324</v>
      </c>
      <c r="I528" s="4" t="s">
        <v>116</v>
      </c>
      <c r="J528" s="4" t="s">
        <v>54</v>
      </c>
      <c r="K528" s="4" t="s">
        <v>45</v>
      </c>
      <c r="L528" s="4" t="s">
        <v>117</v>
      </c>
      <c r="M528" s="4" t="s">
        <v>1541</v>
      </c>
      <c r="N528" s="5">
        <v>1288.05</v>
      </c>
      <c r="O528" s="6">
        <v>5</v>
      </c>
      <c r="P528" s="7">
        <v>0.5</v>
      </c>
      <c r="Q528" s="5">
        <v>-504.02</v>
      </c>
    </row>
    <row r="529" spans="1:17" x14ac:dyDescent="0.3">
      <c r="A529" s="8" t="s">
        <v>1542</v>
      </c>
      <c r="B529" s="9">
        <v>44597</v>
      </c>
      <c r="C529" s="9">
        <v>44603</v>
      </c>
      <c r="D529" s="8" t="s">
        <v>29</v>
      </c>
      <c r="E529" s="8" t="s">
        <v>817</v>
      </c>
      <c r="F529" s="10" t="s">
        <v>818</v>
      </c>
      <c r="G529" s="10" t="s">
        <v>42</v>
      </c>
      <c r="H529" s="10" t="s">
        <v>98</v>
      </c>
      <c r="I529" s="10" t="s">
        <v>80</v>
      </c>
      <c r="J529" s="10" t="s">
        <v>54</v>
      </c>
      <c r="K529" s="10" t="s">
        <v>45</v>
      </c>
      <c r="L529" s="10" t="s">
        <v>61</v>
      </c>
      <c r="M529" s="10" t="s">
        <v>1543</v>
      </c>
      <c r="N529" s="11">
        <v>3283.8</v>
      </c>
      <c r="O529" s="12">
        <v>5</v>
      </c>
      <c r="P529" s="13">
        <v>0</v>
      </c>
      <c r="Q529" s="11">
        <v>480.87</v>
      </c>
    </row>
    <row r="530" spans="1:17" x14ac:dyDescent="0.3">
      <c r="A530" s="2" t="s">
        <v>1544</v>
      </c>
      <c r="B530" s="3">
        <v>44655</v>
      </c>
      <c r="C530" s="3">
        <v>44659</v>
      </c>
      <c r="D530" s="2" t="s">
        <v>39</v>
      </c>
      <c r="E530" s="2" t="s">
        <v>717</v>
      </c>
      <c r="F530" s="4" t="s">
        <v>718</v>
      </c>
      <c r="G530" s="4" t="s">
        <v>51</v>
      </c>
      <c r="H530" s="4" t="s">
        <v>86</v>
      </c>
      <c r="I530" s="4" t="s">
        <v>87</v>
      </c>
      <c r="J530" s="4" t="s">
        <v>88</v>
      </c>
      <c r="K530" s="4" t="s">
        <v>35</v>
      </c>
      <c r="L530" s="4" t="s">
        <v>36</v>
      </c>
      <c r="M530" s="4" t="s">
        <v>1545</v>
      </c>
      <c r="N530" s="5">
        <v>832.5</v>
      </c>
      <c r="O530" s="6">
        <v>9</v>
      </c>
      <c r="P530" s="7">
        <v>0.5</v>
      </c>
      <c r="Q530" s="5">
        <v>-192.81</v>
      </c>
    </row>
    <row r="531" spans="1:17" x14ac:dyDescent="0.3">
      <c r="A531" s="8" t="s">
        <v>1546</v>
      </c>
      <c r="B531" s="9">
        <v>44963</v>
      </c>
      <c r="C531" s="9">
        <v>44966</v>
      </c>
      <c r="D531" s="8" t="s">
        <v>39</v>
      </c>
      <c r="E531" s="8" t="s">
        <v>1025</v>
      </c>
      <c r="F531" s="10" t="s">
        <v>1026</v>
      </c>
      <c r="G531" s="10" t="s">
        <v>21</v>
      </c>
      <c r="H531" s="10" t="s">
        <v>412</v>
      </c>
      <c r="I531" s="10" t="s">
        <v>178</v>
      </c>
      <c r="J531" s="10" t="s">
        <v>24</v>
      </c>
      <c r="K531" s="10" t="s">
        <v>45</v>
      </c>
      <c r="L531" s="10" t="s">
        <v>117</v>
      </c>
      <c r="M531" s="10" t="s">
        <v>1547</v>
      </c>
      <c r="N531" s="11">
        <v>2247.6999999999998</v>
      </c>
      <c r="O531" s="12">
        <v>5</v>
      </c>
      <c r="P531" s="13">
        <v>0.05</v>
      </c>
      <c r="Q531" s="11">
        <v>555.27</v>
      </c>
    </row>
    <row r="532" spans="1:17" x14ac:dyDescent="0.3">
      <c r="A532" s="2" t="s">
        <v>1548</v>
      </c>
      <c r="B532" s="3">
        <v>44744</v>
      </c>
      <c r="C532" s="3">
        <v>44745</v>
      </c>
      <c r="D532" s="2" t="s">
        <v>18</v>
      </c>
      <c r="E532" s="2" t="s">
        <v>838</v>
      </c>
      <c r="F532" s="4" t="s">
        <v>839</v>
      </c>
      <c r="G532" s="4" t="s">
        <v>51</v>
      </c>
      <c r="H532" s="4" t="s">
        <v>438</v>
      </c>
      <c r="I532" s="4" t="s">
        <v>157</v>
      </c>
      <c r="J532" s="4" t="s">
        <v>88</v>
      </c>
      <c r="K532" s="4" t="s">
        <v>35</v>
      </c>
      <c r="L532" s="4" t="s">
        <v>166</v>
      </c>
      <c r="M532" s="4" t="s">
        <v>1549</v>
      </c>
      <c r="N532" s="5">
        <v>396.66</v>
      </c>
      <c r="O532" s="6">
        <v>6</v>
      </c>
      <c r="P532" s="7">
        <v>0.05</v>
      </c>
      <c r="Q532" s="5">
        <v>106.62</v>
      </c>
    </row>
    <row r="533" spans="1:17" x14ac:dyDescent="0.3">
      <c r="A533" s="8" t="s">
        <v>1550</v>
      </c>
      <c r="B533" s="9">
        <v>44342</v>
      </c>
      <c r="C533" s="9">
        <v>44343</v>
      </c>
      <c r="D533" s="8" t="s">
        <v>18</v>
      </c>
      <c r="E533" s="8" t="s">
        <v>642</v>
      </c>
      <c r="F533" s="10" t="s">
        <v>643</v>
      </c>
      <c r="G533" s="10" t="s">
        <v>51</v>
      </c>
      <c r="H533" s="10" t="s">
        <v>171</v>
      </c>
      <c r="I533" s="10" t="s">
        <v>172</v>
      </c>
      <c r="J533" s="10" t="s">
        <v>24</v>
      </c>
      <c r="K533" s="10" t="s">
        <v>45</v>
      </c>
      <c r="L533" s="10" t="s">
        <v>61</v>
      </c>
      <c r="M533" s="10" t="s">
        <v>1551</v>
      </c>
      <c r="N533" s="11">
        <v>714.7</v>
      </c>
      <c r="O533" s="12">
        <v>10</v>
      </c>
      <c r="P533" s="13">
        <v>0.5</v>
      </c>
      <c r="Q533" s="11">
        <v>-673.37</v>
      </c>
    </row>
    <row r="534" spans="1:17" x14ac:dyDescent="0.3">
      <c r="A534" s="2" t="s">
        <v>1552</v>
      </c>
      <c r="B534" s="3">
        <v>44674</v>
      </c>
      <c r="C534" s="3">
        <v>44679</v>
      </c>
      <c r="D534" s="2" t="s">
        <v>29</v>
      </c>
      <c r="E534" s="2" t="s">
        <v>96</v>
      </c>
      <c r="F534" s="4" t="s">
        <v>97</v>
      </c>
      <c r="G534" s="4" t="s">
        <v>21</v>
      </c>
      <c r="H534" s="4" t="s">
        <v>98</v>
      </c>
      <c r="I534" s="4" t="s">
        <v>80</v>
      </c>
      <c r="J534" s="4" t="s">
        <v>54</v>
      </c>
      <c r="K534" s="4" t="s">
        <v>25</v>
      </c>
      <c r="L534" s="4" t="s">
        <v>74</v>
      </c>
      <c r="M534" s="4" t="s">
        <v>1553</v>
      </c>
      <c r="N534" s="5">
        <v>6784.83</v>
      </c>
      <c r="O534" s="6">
        <v>9</v>
      </c>
      <c r="P534" s="7">
        <v>0</v>
      </c>
      <c r="Q534" s="5">
        <v>2316.56</v>
      </c>
    </row>
    <row r="535" spans="1:17" x14ac:dyDescent="0.3">
      <c r="A535" s="8" t="s">
        <v>1554</v>
      </c>
      <c r="B535" s="9">
        <v>45097</v>
      </c>
      <c r="C535" s="9">
        <v>45099</v>
      </c>
      <c r="D535" s="8" t="s">
        <v>18</v>
      </c>
      <c r="E535" s="8" t="s">
        <v>303</v>
      </c>
      <c r="F535" s="10" t="s">
        <v>304</v>
      </c>
      <c r="G535" s="10" t="s">
        <v>42</v>
      </c>
      <c r="H535" s="10" t="s">
        <v>305</v>
      </c>
      <c r="I535" s="10" t="s">
        <v>306</v>
      </c>
      <c r="J535" s="10" t="s">
        <v>34</v>
      </c>
      <c r="K535" s="10" t="s">
        <v>25</v>
      </c>
      <c r="L535" s="10" t="s">
        <v>68</v>
      </c>
      <c r="M535" s="10" t="s">
        <v>1555</v>
      </c>
      <c r="N535" s="11">
        <v>1043.6400000000001</v>
      </c>
      <c r="O535" s="12">
        <v>9</v>
      </c>
      <c r="P535" s="13">
        <v>0</v>
      </c>
      <c r="Q535" s="11">
        <v>469.25</v>
      </c>
    </row>
    <row r="536" spans="1:17" x14ac:dyDescent="0.3">
      <c r="A536" s="2" t="s">
        <v>1556</v>
      </c>
      <c r="B536" s="3">
        <v>44422</v>
      </c>
      <c r="C536" s="3">
        <v>44425</v>
      </c>
      <c r="D536" s="2" t="s">
        <v>73</v>
      </c>
      <c r="E536" s="2" t="s">
        <v>175</v>
      </c>
      <c r="F536" s="4" t="s">
        <v>176</v>
      </c>
      <c r="G536" s="4" t="s">
        <v>51</v>
      </c>
      <c r="H536" s="4" t="s">
        <v>177</v>
      </c>
      <c r="I536" s="4" t="s">
        <v>178</v>
      </c>
      <c r="J536" s="4" t="s">
        <v>24</v>
      </c>
      <c r="K536" s="4" t="s">
        <v>25</v>
      </c>
      <c r="L536" s="4" t="s">
        <v>74</v>
      </c>
      <c r="M536" s="4" t="s">
        <v>1557</v>
      </c>
      <c r="N536" s="5">
        <v>782.33</v>
      </c>
      <c r="O536" s="6">
        <v>2</v>
      </c>
      <c r="P536" s="7">
        <v>0.3</v>
      </c>
      <c r="Q536" s="5">
        <v>148.49</v>
      </c>
    </row>
    <row r="537" spans="1:17" x14ac:dyDescent="0.3">
      <c r="A537" s="8" t="s">
        <v>1558</v>
      </c>
      <c r="B537" s="9">
        <v>44425</v>
      </c>
      <c r="C537" s="9">
        <v>44430</v>
      </c>
      <c r="D537" s="8" t="s">
        <v>29</v>
      </c>
      <c r="E537" s="8" t="s">
        <v>415</v>
      </c>
      <c r="F537" s="10" t="s">
        <v>416</v>
      </c>
      <c r="G537" s="10" t="s">
        <v>42</v>
      </c>
      <c r="H537" s="10" t="s">
        <v>417</v>
      </c>
      <c r="I537" s="10" t="s">
        <v>123</v>
      </c>
      <c r="J537" s="10" t="s">
        <v>24</v>
      </c>
      <c r="K537" s="10" t="s">
        <v>45</v>
      </c>
      <c r="L537" s="10" t="s">
        <v>117</v>
      </c>
      <c r="M537" s="10" t="s">
        <v>1559</v>
      </c>
      <c r="N537" s="11">
        <v>194.59</v>
      </c>
      <c r="O537" s="12">
        <v>2</v>
      </c>
      <c r="P537" s="13">
        <v>0.2</v>
      </c>
      <c r="Q537" s="11">
        <v>12.03</v>
      </c>
    </row>
    <row r="538" spans="1:17" x14ac:dyDescent="0.3">
      <c r="A538" s="2" t="s">
        <v>1560</v>
      </c>
      <c r="B538" s="3">
        <v>44538</v>
      </c>
      <c r="C538" s="3">
        <v>44543</v>
      </c>
      <c r="D538" s="2" t="s">
        <v>29</v>
      </c>
      <c r="E538" s="2" t="s">
        <v>566</v>
      </c>
      <c r="F538" s="4" t="s">
        <v>567</v>
      </c>
      <c r="G538" s="4" t="s">
        <v>21</v>
      </c>
      <c r="H538" s="4" t="s">
        <v>156</v>
      </c>
      <c r="I538" s="4" t="s">
        <v>157</v>
      </c>
      <c r="J538" s="4" t="s">
        <v>88</v>
      </c>
      <c r="K538" s="4" t="s">
        <v>35</v>
      </c>
      <c r="L538" s="4" t="s">
        <v>229</v>
      </c>
      <c r="M538" s="4" t="s">
        <v>1561</v>
      </c>
      <c r="N538" s="5">
        <v>108.03</v>
      </c>
      <c r="O538" s="6">
        <v>8</v>
      </c>
      <c r="P538" s="7">
        <v>0.2</v>
      </c>
      <c r="Q538" s="5">
        <v>34.590000000000003</v>
      </c>
    </row>
    <row r="539" spans="1:17" x14ac:dyDescent="0.3">
      <c r="A539" s="8" t="s">
        <v>1562</v>
      </c>
      <c r="B539" s="9">
        <v>44423</v>
      </c>
      <c r="C539" s="9">
        <v>44428</v>
      </c>
      <c r="D539" s="8" t="s">
        <v>73</v>
      </c>
      <c r="E539" s="8" t="s">
        <v>453</v>
      </c>
      <c r="F539" s="10" t="s">
        <v>454</v>
      </c>
      <c r="G539" s="10" t="s">
        <v>21</v>
      </c>
      <c r="H539" s="10" t="s">
        <v>386</v>
      </c>
      <c r="I539" s="10" t="s">
        <v>347</v>
      </c>
      <c r="J539" s="10" t="s">
        <v>88</v>
      </c>
      <c r="K539" s="10" t="s">
        <v>25</v>
      </c>
      <c r="L539" s="10" t="s">
        <v>68</v>
      </c>
      <c r="M539" s="10" t="s">
        <v>1563</v>
      </c>
      <c r="N539" s="11">
        <v>238.84</v>
      </c>
      <c r="O539" s="12">
        <v>7</v>
      </c>
      <c r="P539" s="13">
        <v>0.2</v>
      </c>
      <c r="Q539" s="11">
        <v>76.09</v>
      </c>
    </row>
    <row r="540" spans="1:17" x14ac:dyDescent="0.3">
      <c r="A540" s="2" t="s">
        <v>1564</v>
      </c>
      <c r="B540" s="3">
        <v>44249</v>
      </c>
      <c r="C540" s="3">
        <v>44252</v>
      </c>
      <c r="D540" s="2" t="s">
        <v>73</v>
      </c>
      <c r="E540" s="2" t="s">
        <v>1162</v>
      </c>
      <c r="F540" s="4" t="s">
        <v>1163</v>
      </c>
      <c r="G540" s="4" t="s">
        <v>21</v>
      </c>
      <c r="H540" s="4" t="s">
        <v>386</v>
      </c>
      <c r="I540" s="4" t="s">
        <v>347</v>
      </c>
      <c r="J540" s="4" t="s">
        <v>88</v>
      </c>
      <c r="K540" s="4" t="s">
        <v>45</v>
      </c>
      <c r="L540" s="4" t="s">
        <v>61</v>
      </c>
      <c r="M540" s="4" t="s">
        <v>1565</v>
      </c>
      <c r="N540" s="5">
        <v>1190.7</v>
      </c>
      <c r="O540" s="6">
        <v>10</v>
      </c>
      <c r="P540" s="7">
        <v>0.3</v>
      </c>
      <c r="Q540" s="5">
        <v>-258.45999999999998</v>
      </c>
    </row>
    <row r="541" spans="1:17" x14ac:dyDescent="0.3">
      <c r="A541" s="8" t="s">
        <v>1566</v>
      </c>
      <c r="B541" s="9">
        <v>45622</v>
      </c>
      <c r="C541" s="9">
        <v>45624</v>
      </c>
      <c r="D541" s="8" t="s">
        <v>18</v>
      </c>
      <c r="E541" s="8" t="s">
        <v>175</v>
      </c>
      <c r="F541" s="10" t="s">
        <v>176</v>
      </c>
      <c r="G541" s="10" t="s">
        <v>51</v>
      </c>
      <c r="H541" s="10" t="s">
        <v>177</v>
      </c>
      <c r="I541" s="10" t="s">
        <v>178</v>
      </c>
      <c r="J541" s="10" t="s">
        <v>24</v>
      </c>
      <c r="K541" s="10" t="s">
        <v>45</v>
      </c>
      <c r="L541" s="10" t="s">
        <v>117</v>
      </c>
      <c r="M541" s="10" t="s">
        <v>1567</v>
      </c>
      <c r="N541" s="11">
        <v>274.75</v>
      </c>
      <c r="O541" s="12">
        <v>3</v>
      </c>
      <c r="P541" s="13">
        <v>0.2</v>
      </c>
      <c r="Q541" s="11">
        <v>14.67</v>
      </c>
    </row>
    <row r="542" spans="1:17" x14ac:dyDescent="0.3">
      <c r="A542" s="2" t="s">
        <v>1568</v>
      </c>
      <c r="B542" s="3">
        <v>44305</v>
      </c>
      <c r="C542" s="3">
        <v>44309</v>
      </c>
      <c r="D542" s="2" t="s">
        <v>73</v>
      </c>
      <c r="E542" s="2" t="s">
        <v>350</v>
      </c>
      <c r="F542" s="4" t="s">
        <v>351</v>
      </c>
      <c r="G542" s="4" t="s">
        <v>42</v>
      </c>
      <c r="H542" s="4" t="s">
        <v>352</v>
      </c>
      <c r="I542" s="4" t="s">
        <v>306</v>
      </c>
      <c r="J542" s="4" t="s">
        <v>34</v>
      </c>
      <c r="K542" s="4" t="s">
        <v>25</v>
      </c>
      <c r="L542" s="4" t="s">
        <v>68</v>
      </c>
      <c r="M542" s="4" t="s">
        <v>1569</v>
      </c>
      <c r="N542" s="5">
        <v>279.36</v>
      </c>
      <c r="O542" s="6">
        <v>10</v>
      </c>
      <c r="P542" s="7">
        <v>0.4</v>
      </c>
      <c r="Q542" s="5">
        <v>-5.73</v>
      </c>
    </row>
    <row r="543" spans="1:17" x14ac:dyDescent="0.3">
      <c r="A543" s="8" t="s">
        <v>1570</v>
      </c>
      <c r="B543" s="9">
        <v>45059</v>
      </c>
      <c r="C543" s="9">
        <v>45064</v>
      </c>
      <c r="D543" s="8" t="s">
        <v>29</v>
      </c>
      <c r="E543" s="8" t="s">
        <v>205</v>
      </c>
      <c r="F543" s="10" t="s">
        <v>206</v>
      </c>
      <c r="G543" s="10" t="s">
        <v>51</v>
      </c>
      <c r="H543" s="10" t="s">
        <v>207</v>
      </c>
      <c r="I543" s="10" t="s">
        <v>60</v>
      </c>
      <c r="J543" s="10" t="s">
        <v>54</v>
      </c>
      <c r="K543" s="10" t="s">
        <v>45</v>
      </c>
      <c r="L543" s="10" t="s">
        <v>46</v>
      </c>
      <c r="M543" s="10" t="s">
        <v>1490</v>
      </c>
      <c r="N543" s="11">
        <v>5263.68</v>
      </c>
      <c r="O543" s="12">
        <v>8</v>
      </c>
      <c r="P543" s="13">
        <v>0</v>
      </c>
      <c r="Q543" s="11">
        <v>1429.4</v>
      </c>
    </row>
    <row r="544" spans="1:17" x14ac:dyDescent="0.3">
      <c r="A544" s="2" t="s">
        <v>1571</v>
      </c>
      <c r="B544" s="3">
        <v>44648</v>
      </c>
      <c r="C544" s="3">
        <v>44650</v>
      </c>
      <c r="D544" s="2" t="s">
        <v>39</v>
      </c>
      <c r="E544" s="2" t="s">
        <v>547</v>
      </c>
      <c r="F544" s="4" t="s">
        <v>548</v>
      </c>
      <c r="G544" s="4" t="s">
        <v>51</v>
      </c>
      <c r="H544" s="4" t="s">
        <v>156</v>
      </c>
      <c r="I544" s="4" t="s">
        <v>157</v>
      </c>
      <c r="J544" s="4" t="s">
        <v>88</v>
      </c>
      <c r="K544" s="4" t="s">
        <v>25</v>
      </c>
      <c r="L544" s="4" t="s">
        <v>74</v>
      </c>
      <c r="M544" s="4" t="s">
        <v>1572</v>
      </c>
      <c r="N544" s="5">
        <v>406.3</v>
      </c>
      <c r="O544" s="6">
        <v>2</v>
      </c>
      <c r="P544" s="7">
        <v>0.5</v>
      </c>
      <c r="Q544" s="5">
        <v>-36.520000000000003</v>
      </c>
    </row>
    <row r="545" spans="1:17" x14ac:dyDescent="0.3">
      <c r="A545" s="8" t="s">
        <v>1573</v>
      </c>
      <c r="B545" s="9">
        <v>45601</v>
      </c>
      <c r="C545" s="9">
        <v>45604</v>
      </c>
      <c r="D545" s="8" t="s">
        <v>73</v>
      </c>
      <c r="E545" s="8" t="s">
        <v>662</v>
      </c>
      <c r="F545" s="10" t="s">
        <v>663</v>
      </c>
      <c r="G545" s="10" t="s">
        <v>21</v>
      </c>
      <c r="H545" s="10" t="s">
        <v>104</v>
      </c>
      <c r="I545" s="10" t="s">
        <v>105</v>
      </c>
      <c r="J545" s="10" t="s">
        <v>88</v>
      </c>
      <c r="K545" s="10" t="s">
        <v>35</v>
      </c>
      <c r="L545" s="10" t="s">
        <v>229</v>
      </c>
      <c r="M545" s="10" t="s">
        <v>1358</v>
      </c>
      <c r="N545" s="11">
        <v>95.6</v>
      </c>
      <c r="O545" s="12">
        <v>10</v>
      </c>
      <c r="P545" s="13">
        <v>0</v>
      </c>
      <c r="Q545" s="11">
        <v>38.56</v>
      </c>
    </row>
    <row r="546" spans="1:17" x14ac:dyDescent="0.3">
      <c r="A546" s="2" t="s">
        <v>1574</v>
      </c>
      <c r="B546" s="3">
        <v>44438</v>
      </c>
      <c r="C546" s="3">
        <v>44444</v>
      </c>
      <c r="D546" s="2" t="s">
        <v>29</v>
      </c>
      <c r="E546" s="2" t="s">
        <v>40</v>
      </c>
      <c r="F546" s="4" t="s">
        <v>41</v>
      </c>
      <c r="G546" s="4" t="s">
        <v>42</v>
      </c>
      <c r="H546" s="4" t="s">
        <v>43</v>
      </c>
      <c r="I546" s="4" t="s">
        <v>44</v>
      </c>
      <c r="J546" s="4" t="s">
        <v>24</v>
      </c>
      <c r="K546" s="4" t="s">
        <v>25</v>
      </c>
      <c r="L546" s="4" t="s">
        <v>74</v>
      </c>
      <c r="M546" s="4" t="s">
        <v>772</v>
      </c>
      <c r="N546" s="5">
        <v>228.51</v>
      </c>
      <c r="O546" s="6">
        <v>1</v>
      </c>
      <c r="P546" s="7">
        <v>0</v>
      </c>
      <c r="Q546" s="5">
        <v>83.98</v>
      </c>
    </row>
    <row r="547" spans="1:17" x14ac:dyDescent="0.3">
      <c r="A547" s="8" t="s">
        <v>1575</v>
      </c>
      <c r="B547" s="9">
        <v>45041</v>
      </c>
      <c r="C547" s="9">
        <v>45046</v>
      </c>
      <c r="D547" s="8" t="s">
        <v>73</v>
      </c>
      <c r="E547" s="8" t="s">
        <v>350</v>
      </c>
      <c r="F547" s="10" t="s">
        <v>351</v>
      </c>
      <c r="G547" s="10" t="s">
        <v>42</v>
      </c>
      <c r="H547" s="10" t="s">
        <v>352</v>
      </c>
      <c r="I547" s="10" t="s">
        <v>306</v>
      </c>
      <c r="J547" s="10" t="s">
        <v>34</v>
      </c>
      <c r="K547" s="10" t="s">
        <v>45</v>
      </c>
      <c r="L547" s="10" t="s">
        <v>46</v>
      </c>
      <c r="M547" s="10" t="s">
        <v>1576</v>
      </c>
      <c r="N547" s="11">
        <v>1368.26</v>
      </c>
      <c r="O547" s="12">
        <v>2</v>
      </c>
      <c r="P547" s="13">
        <v>0</v>
      </c>
      <c r="Q547" s="11">
        <v>421.02</v>
      </c>
    </row>
    <row r="548" spans="1:17" x14ac:dyDescent="0.3">
      <c r="A548" s="2" t="s">
        <v>1577</v>
      </c>
      <c r="B548" s="3">
        <v>44639</v>
      </c>
      <c r="C548" s="3">
        <v>44641</v>
      </c>
      <c r="D548" s="2" t="s">
        <v>18</v>
      </c>
      <c r="E548" s="2" t="s">
        <v>1578</v>
      </c>
      <c r="F548" s="4" t="s">
        <v>1579</v>
      </c>
      <c r="G548" s="4" t="s">
        <v>51</v>
      </c>
      <c r="H548" s="4" t="s">
        <v>207</v>
      </c>
      <c r="I548" s="4" t="s">
        <v>60</v>
      </c>
      <c r="J548" s="4" t="s">
        <v>54</v>
      </c>
      <c r="K548" s="4" t="s">
        <v>45</v>
      </c>
      <c r="L548" s="4" t="s">
        <v>46</v>
      </c>
      <c r="M548" s="4" t="s">
        <v>1580</v>
      </c>
      <c r="N548" s="5">
        <v>740.69</v>
      </c>
      <c r="O548" s="6">
        <v>1</v>
      </c>
      <c r="P548" s="7">
        <v>0.05</v>
      </c>
      <c r="Q548" s="5">
        <v>294.64</v>
      </c>
    </row>
    <row r="549" spans="1:17" x14ac:dyDescent="0.3">
      <c r="A549" s="8" t="s">
        <v>1581</v>
      </c>
      <c r="B549" s="9">
        <v>44758</v>
      </c>
      <c r="C549" s="9">
        <v>44762</v>
      </c>
      <c r="D549" s="8" t="s">
        <v>73</v>
      </c>
      <c r="E549" s="8" t="s">
        <v>1582</v>
      </c>
      <c r="F549" s="10" t="s">
        <v>1583</v>
      </c>
      <c r="G549" s="10" t="s">
        <v>21</v>
      </c>
      <c r="H549" s="10" t="s">
        <v>52</v>
      </c>
      <c r="I549" s="10" t="s">
        <v>53</v>
      </c>
      <c r="J549" s="10" t="s">
        <v>54</v>
      </c>
      <c r="K549" s="10" t="s">
        <v>35</v>
      </c>
      <c r="L549" s="10" t="s">
        <v>166</v>
      </c>
      <c r="M549" s="10" t="s">
        <v>1584</v>
      </c>
      <c r="N549" s="11">
        <v>1008.9</v>
      </c>
      <c r="O549" s="12">
        <v>9</v>
      </c>
      <c r="P549" s="13">
        <v>0</v>
      </c>
      <c r="Q549" s="11">
        <v>356.43</v>
      </c>
    </row>
    <row r="550" spans="1:17" x14ac:dyDescent="0.3">
      <c r="A550" s="2" t="s">
        <v>1585</v>
      </c>
      <c r="B550" s="3">
        <v>44668</v>
      </c>
      <c r="C550" s="3">
        <v>44674</v>
      </c>
      <c r="D550" s="2" t="s">
        <v>29</v>
      </c>
      <c r="E550" s="2" t="s">
        <v>223</v>
      </c>
      <c r="F550" s="4" t="s">
        <v>224</v>
      </c>
      <c r="G550" s="4" t="s">
        <v>21</v>
      </c>
      <c r="H550" s="4" t="s">
        <v>59</v>
      </c>
      <c r="I550" s="4" t="s">
        <v>60</v>
      </c>
      <c r="J550" s="4" t="s">
        <v>54</v>
      </c>
      <c r="K550" s="4" t="s">
        <v>45</v>
      </c>
      <c r="L550" s="4" t="s">
        <v>117</v>
      </c>
      <c r="M550" s="4" t="s">
        <v>1586</v>
      </c>
      <c r="N550" s="5">
        <v>1621.86</v>
      </c>
      <c r="O550" s="6">
        <v>5</v>
      </c>
      <c r="P550" s="7">
        <v>0.3</v>
      </c>
      <c r="Q550" s="5">
        <v>-53.32</v>
      </c>
    </row>
    <row r="551" spans="1:17" x14ac:dyDescent="0.3">
      <c r="A551" s="8" t="s">
        <v>1587</v>
      </c>
      <c r="B551" s="9">
        <v>44555</v>
      </c>
      <c r="C551" s="9">
        <v>44556</v>
      </c>
      <c r="D551" s="8" t="s">
        <v>18</v>
      </c>
      <c r="E551" s="8" t="s">
        <v>19</v>
      </c>
      <c r="F551" s="10" t="s">
        <v>20</v>
      </c>
      <c r="G551" s="10" t="s">
        <v>21</v>
      </c>
      <c r="H551" s="10" t="s">
        <v>22</v>
      </c>
      <c r="I551" s="10" t="s">
        <v>23</v>
      </c>
      <c r="J551" s="10" t="s">
        <v>24</v>
      </c>
      <c r="K551" s="10" t="s">
        <v>25</v>
      </c>
      <c r="L551" s="10" t="s">
        <v>74</v>
      </c>
      <c r="M551" s="10" t="s">
        <v>1588</v>
      </c>
      <c r="N551" s="11">
        <v>1188.08</v>
      </c>
      <c r="O551" s="12">
        <v>5</v>
      </c>
      <c r="P551" s="13">
        <v>0.2</v>
      </c>
      <c r="Q551" s="11">
        <v>240.46</v>
      </c>
    </row>
    <row r="552" spans="1:17" x14ac:dyDescent="0.3">
      <c r="A552" s="2" t="s">
        <v>1589</v>
      </c>
      <c r="B552" s="3">
        <v>44250</v>
      </c>
      <c r="C552" s="3">
        <v>44254</v>
      </c>
      <c r="D552" s="2" t="s">
        <v>39</v>
      </c>
      <c r="E552" s="2" t="s">
        <v>181</v>
      </c>
      <c r="F552" s="4" t="s">
        <v>182</v>
      </c>
      <c r="G552" s="4" t="s">
        <v>21</v>
      </c>
      <c r="H552" s="4" t="s">
        <v>183</v>
      </c>
      <c r="I552" s="4" t="s">
        <v>184</v>
      </c>
      <c r="J552" s="4" t="s">
        <v>54</v>
      </c>
      <c r="K552" s="4" t="s">
        <v>25</v>
      </c>
      <c r="L552" s="4" t="s">
        <v>26</v>
      </c>
      <c r="M552" s="4" t="s">
        <v>1590</v>
      </c>
      <c r="N552" s="5">
        <v>1724.48</v>
      </c>
      <c r="O552" s="6">
        <v>4</v>
      </c>
      <c r="P552" s="7">
        <v>0</v>
      </c>
      <c r="Q552" s="5">
        <v>446.56</v>
      </c>
    </row>
    <row r="553" spans="1:17" x14ac:dyDescent="0.3">
      <c r="A553" s="8" t="s">
        <v>1591</v>
      </c>
      <c r="B553" s="9">
        <v>45275</v>
      </c>
      <c r="C553" s="9">
        <v>45282</v>
      </c>
      <c r="D553" s="8" t="s">
        <v>29</v>
      </c>
      <c r="E553" s="8" t="s">
        <v>175</v>
      </c>
      <c r="F553" s="10" t="s">
        <v>176</v>
      </c>
      <c r="G553" s="10" t="s">
        <v>51</v>
      </c>
      <c r="H553" s="10" t="s">
        <v>177</v>
      </c>
      <c r="I553" s="10" t="s">
        <v>178</v>
      </c>
      <c r="J553" s="10" t="s">
        <v>24</v>
      </c>
      <c r="K553" s="10" t="s">
        <v>45</v>
      </c>
      <c r="L553" s="10" t="s">
        <v>117</v>
      </c>
      <c r="M553" s="10" t="s">
        <v>1592</v>
      </c>
      <c r="N553" s="11">
        <v>110.93</v>
      </c>
      <c r="O553" s="12">
        <v>2</v>
      </c>
      <c r="P553" s="13">
        <v>0.4</v>
      </c>
      <c r="Q553" s="11">
        <v>-30.2</v>
      </c>
    </row>
    <row r="554" spans="1:17" x14ac:dyDescent="0.3">
      <c r="A554" s="2" t="s">
        <v>1593</v>
      </c>
      <c r="B554" s="3">
        <v>44945</v>
      </c>
      <c r="C554" s="3">
        <v>44948</v>
      </c>
      <c r="D554" s="2" t="s">
        <v>73</v>
      </c>
      <c r="E554" s="2" t="s">
        <v>991</v>
      </c>
      <c r="F554" s="4" t="s">
        <v>992</v>
      </c>
      <c r="G554" s="4" t="s">
        <v>42</v>
      </c>
      <c r="H554" s="4" t="s">
        <v>43</v>
      </c>
      <c r="I554" s="4" t="s">
        <v>44</v>
      </c>
      <c r="J554" s="4" t="s">
        <v>24</v>
      </c>
      <c r="K554" s="4" t="s">
        <v>45</v>
      </c>
      <c r="L554" s="4" t="s">
        <v>46</v>
      </c>
      <c r="M554" s="4" t="s">
        <v>1594</v>
      </c>
      <c r="N554" s="5">
        <v>4233.2</v>
      </c>
      <c r="O554" s="6">
        <v>10</v>
      </c>
      <c r="P554" s="7">
        <v>0</v>
      </c>
      <c r="Q554" s="5">
        <v>1799.83</v>
      </c>
    </row>
    <row r="555" spans="1:17" x14ac:dyDescent="0.3">
      <c r="A555" s="8" t="s">
        <v>1595</v>
      </c>
      <c r="B555" s="9">
        <v>44506</v>
      </c>
      <c r="C555" s="9">
        <v>44508</v>
      </c>
      <c r="D555" s="8" t="s">
        <v>18</v>
      </c>
      <c r="E555" s="8" t="s">
        <v>512</v>
      </c>
      <c r="F555" s="10" t="s">
        <v>513</v>
      </c>
      <c r="G555" s="10" t="s">
        <v>21</v>
      </c>
      <c r="H555" s="10" t="s">
        <v>104</v>
      </c>
      <c r="I555" s="10" t="s">
        <v>105</v>
      </c>
      <c r="J555" s="10" t="s">
        <v>88</v>
      </c>
      <c r="K555" s="10" t="s">
        <v>35</v>
      </c>
      <c r="L555" s="10" t="s">
        <v>36</v>
      </c>
      <c r="M555" s="10" t="s">
        <v>1596</v>
      </c>
      <c r="N555" s="11">
        <v>1931.1</v>
      </c>
      <c r="O555" s="12">
        <v>10</v>
      </c>
      <c r="P555" s="13">
        <v>0</v>
      </c>
      <c r="Q555" s="11">
        <v>684.34</v>
      </c>
    </row>
    <row r="556" spans="1:17" x14ac:dyDescent="0.3">
      <c r="A556" s="2" t="s">
        <v>1597</v>
      </c>
      <c r="B556" s="3">
        <v>44648</v>
      </c>
      <c r="C556" s="3">
        <v>44652</v>
      </c>
      <c r="D556" s="2" t="s">
        <v>73</v>
      </c>
      <c r="E556" s="2" t="s">
        <v>614</v>
      </c>
      <c r="F556" s="4" t="s">
        <v>615</v>
      </c>
      <c r="G556" s="4" t="s">
        <v>21</v>
      </c>
      <c r="H556" s="4" t="s">
        <v>139</v>
      </c>
      <c r="I556" s="4" t="s">
        <v>140</v>
      </c>
      <c r="J556" s="4" t="s">
        <v>24</v>
      </c>
      <c r="K556" s="4" t="s">
        <v>35</v>
      </c>
      <c r="L556" s="4" t="s">
        <v>166</v>
      </c>
      <c r="M556" s="4" t="s">
        <v>1598</v>
      </c>
      <c r="N556" s="5">
        <v>88.74</v>
      </c>
      <c r="O556" s="6">
        <v>1</v>
      </c>
      <c r="P556" s="7">
        <v>0</v>
      </c>
      <c r="Q556" s="5">
        <v>19.829999999999998</v>
      </c>
    </row>
    <row r="557" spans="1:17" x14ac:dyDescent="0.3">
      <c r="A557" s="8" t="s">
        <v>1599</v>
      </c>
      <c r="B557" s="9">
        <v>45314</v>
      </c>
      <c r="C557" s="9">
        <v>45318</v>
      </c>
      <c r="D557" s="8" t="s">
        <v>73</v>
      </c>
      <c r="E557" s="8" t="s">
        <v>364</v>
      </c>
      <c r="F557" s="10" t="s">
        <v>365</v>
      </c>
      <c r="G557" s="10" t="s">
        <v>42</v>
      </c>
      <c r="H557" s="10" t="s">
        <v>193</v>
      </c>
      <c r="I557" s="10" t="s">
        <v>194</v>
      </c>
      <c r="J557" s="10" t="s">
        <v>34</v>
      </c>
      <c r="K557" s="10" t="s">
        <v>35</v>
      </c>
      <c r="L557" s="10" t="s">
        <v>295</v>
      </c>
      <c r="M557" s="10" t="s">
        <v>1600</v>
      </c>
      <c r="N557" s="11">
        <v>200.88</v>
      </c>
      <c r="O557" s="12">
        <v>6</v>
      </c>
      <c r="P557" s="13">
        <v>0.5</v>
      </c>
      <c r="Q557" s="11">
        <v>16.670000000000002</v>
      </c>
    </row>
    <row r="558" spans="1:17" x14ac:dyDescent="0.3">
      <c r="A558" s="2" t="s">
        <v>1601</v>
      </c>
      <c r="B558" s="3">
        <v>45307</v>
      </c>
      <c r="C558" s="3">
        <v>45310</v>
      </c>
      <c r="D558" s="2" t="s">
        <v>73</v>
      </c>
      <c r="E558" s="2" t="s">
        <v>547</v>
      </c>
      <c r="F558" s="4" t="s">
        <v>548</v>
      </c>
      <c r="G558" s="4" t="s">
        <v>51</v>
      </c>
      <c r="H558" s="4" t="s">
        <v>156</v>
      </c>
      <c r="I558" s="4" t="s">
        <v>157</v>
      </c>
      <c r="J558" s="4" t="s">
        <v>88</v>
      </c>
      <c r="K558" s="4" t="s">
        <v>45</v>
      </c>
      <c r="L558" s="4" t="s">
        <v>117</v>
      </c>
      <c r="M558" s="4" t="s">
        <v>1602</v>
      </c>
      <c r="N558" s="5">
        <v>711.4</v>
      </c>
      <c r="O558" s="6">
        <v>5</v>
      </c>
      <c r="P558" s="7">
        <v>0.5</v>
      </c>
      <c r="Q558" s="5">
        <v>-274.14999999999998</v>
      </c>
    </row>
    <row r="559" spans="1:17" x14ac:dyDescent="0.3">
      <c r="A559" s="8" t="s">
        <v>1603</v>
      </c>
      <c r="B559" s="9">
        <v>44797</v>
      </c>
      <c r="C559" s="9">
        <v>44798</v>
      </c>
      <c r="D559" s="8" t="s">
        <v>18</v>
      </c>
      <c r="E559" s="8" t="s">
        <v>628</v>
      </c>
      <c r="F559" s="10" t="s">
        <v>629</v>
      </c>
      <c r="G559" s="10" t="s">
        <v>42</v>
      </c>
      <c r="H559" s="10" t="s">
        <v>32</v>
      </c>
      <c r="I559" s="10" t="s">
        <v>33</v>
      </c>
      <c r="J559" s="10" t="s">
        <v>34</v>
      </c>
      <c r="K559" s="10" t="s">
        <v>35</v>
      </c>
      <c r="L559" s="10" t="s">
        <v>36</v>
      </c>
      <c r="M559" s="10" t="s">
        <v>1604</v>
      </c>
      <c r="N559" s="11">
        <v>50.78</v>
      </c>
      <c r="O559" s="12">
        <v>1</v>
      </c>
      <c r="P559" s="13">
        <v>0.4</v>
      </c>
      <c r="Q559" s="11">
        <v>-3.78</v>
      </c>
    </row>
    <row r="560" spans="1:17" x14ac:dyDescent="0.3">
      <c r="A560" s="2" t="s">
        <v>1605</v>
      </c>
      <c r="B560" s="3">
        <v>45236</v>
      </c>
      <c r="C560" s="3">
        <v>45242</v>
      </c>
      <c r="D560" s="2" t="s">
        <v>29</v>
      </c>
      <c r="E560" s="2" t="s">
        <v>745</v>
      </c>
      <c r="F560" s="4" t="s">
        <v>746</v>
      </c>
      <c r="G560" s="4" t="s">
        <v>51</v>
      </c>
      <c r="H560" s="4" t="s">
        <v>465</v>
      </c>
      <c r="I560" s="4" t="s">
        <v>423</v>
      </c>
      <c r="J560" s="4" t="s">
        <v>88</v>
      </c>
      <c r="K560" s="4" t="s">
        <v>35</v>
      </c>
      <c r="L560" s="4" t="s">
        <v>89</v>
      </c>
      <c r="M560" s="4" t="s">
        <v>1606</v>
      </c>
      <c r="N560" s="5">
        <v>487.35</v>
      </c>
      <c r="O560" s="6">
        <v>5</v>
      </c>
      <c r="P560" s="7">
        <v>0.5</v>
      </c>
      <c r="Q560" s="5">
        <v>-76.989999999999995</v>
      </c>
    </row>
    <row r="561" spans="1:17" x14ac:dyDescent="0.3">
      <c r="A561" s="8" t="s">
        <v>1607</v>
      </c>
      <c r="B561" s="9">
        <v>44602</v>
      </c>
      <c r="C561" s="9">
        <v>44604</v>
      </c>
      <c r="D561" s="8" t="s">
        <v>18</v>
      </c>
      <c r="E561" s="8" t="s">
        <v>566</v>
      </c>
      <c r="F561" s="10" t="s">
        <v>567</v>
      </c>
      <c r="G561" s="10" t="s">
        <v>21</v>
      </c>
      <c r="H561" s="10" t="s">
        <v>156</v>
      </c>
      <c r="I561" s="10" t="s">
        <v>157</v>
      </c>
      <c r="J561" s="10" t="s">
        <v>88</v>
      </c>
      <c r="K561" s="10" t="s">
        <v>25</v>
      </c>
      <c r="L561" s="10" t="s">
        <v>74</v>
      </c>
      <c r="M561" s="10" t="s">
        <v>1608</v>
      </c>
      <c r="N561" s="11">
        <v>1877.55</v>
      </c>
      <c r="O561" s="12">
        <v>3</v>
      </c>
      <c r="P561" s="13">
        <v>0</v>
      </c>
      <c r="Q561" s="11">
        <v>719.2</v>
      </c>
    </row>
    <row r="562" spans="1:17" x14ac:dyDescent="0.3">
      <c r="A562" s="2" t="s">
        <v>1609</v>
      </c>
      <c r="B562" s="3">
        <v>44622</v>
      </c>
      <c r="C562" s="3">
        <v>44624</v>
      </c>
      <c r="D562" s="2" t="s">
        <v>18</v>
      </c>
      <c r="E562" s="2" t="s">
        <v>670</v>
      </c>
      <c r="F562" s="4" t="s">
        <v>671</v>
      </c>
      <c r="G562" s="4" t="s">
        <v>21</v>
      </c>
      <c r="H562" s="4" t="s">
        <v>465</v>
      </c>
      <c r="I562" s="4" t="s">
        <v>423</v>
      </c>
      <c r="J562" s="4" t="s">
        <v>88</v>
      </c>
      <c r="K562" s="4" t="s">
        <v>25</v>
      </c>
      <c r="L562" s="4" t="s">
        <v>74</v>
      </c>
      <c r="M562" s="4" t="s">
        <v>1610</v>
      </c>
      <c r="N562" s="5">
        <v>154.44999999999999</v>
      </c>
      <c r="O562" s="6">
        <v>1</v>
      </c>
      <c r="P562" s="7">
        <v>0.4</v>
      </c>
      <c r="Q562" s="5">
        <v>-5</v>
      </c>
    </row>
    <row r="563" spans="1:17" x14ac:dyDescent="0.3">
      <c r="A563" s="8" t="s">
        <v>1611</v>
      </c>
      <c r="B563" s="9">
        <v>44556</v>
      </c>
      <c r="C563" s="9">
        <v>44559</v>
      </c>
      <c r="D563" s="8" t="s">
        <v>73</v>
      </c>
      <c r="E563" s="8" t="s">
        <v>40</v>
      </c>
      <c r="F563" s="10" t="s">
        <v>41</v>
      </c>
      <c r="G563" s="10" t="s">
        <v>42</v>
      </c>
      <c r="H563" s="10" t="s">
        <v>43</v>
      </c>
      <c r="I563" s="10" t="s">
        <v>44</v>
      </c>
      <c r="J563" s="10" t="s">
        <v>24</v>
      </c>
      <c r="K563" s="10" t="s">
        <v>35</v>
      </c>
      <c r="L563" s="10" t="s">
        <v>158</v>
      </c>
      <c r="M563" s="10" t="s">
        <v>1612</v>
      </c>
      <c r="N563" s="11">
        <v>168.41</v>
      </c>
      <c r="O563" s="12">
        <v>3</v>
      </c>
      <c r="P563" s="13">
        <v>0.4</v>
      </c>
      <c r="Q563" s="11">
        <v>4.03</v>
      </c>
    </row>
    <row r="564" spans="1:17" x14ac:dyDescent="0.3">
      <c r="A564" s="2" t="s">
        <v>1613</v>
      </c>
      <c r="B564" s="3">
        <v>44416</v>
      </c>
      <c r="C564" s="3">
        <v>44420</v>
      </c>
      <c r="D564" s="2" t="s">
        <v>73</v>
      </c>
      <c r="E564" s="2" t="s">
        <v>96</v>
      </c>
      <c r="F564" s="4" t="s">
        <v>97</v>
      </c>
      <c r="G564" s="4" t="s">
        <v>21</v>
      </c>
      <c r="H564" s="4" t="s">
        <v>98</v>
      </c>
      <c r="I564" s="4" t="s">
        <v>80</v>
      </c>
      <c r="J564" s="4" t="s">
        <v>54</v>
      </c>
      <c r="K564" s="4" t="s">
        <v>25</v>
      </c>
      <c r="L564" s="4" t="s">
        <v>74</v>
      </c>
      <c r="M564" s="4" t="s">
        <v>1614</v>
      </c>
      <c r="N564" s="5">
        <v>3121.8</v>
      </c>
      <c r="O564" s="6">
        <v>10</v>
      </c>
      <c r="P564" s="7">
        <v>0</v>
      </c>
      <c r="Q564" s="5">
        <v>1216.42</v>
      </c>
    </row>
    <row r="565" spans="1:17" x14ac:dyDescent="0.3">
      <c r="A565" s="8" t="s">
        <v>1615</v>
      </c>
      <c r="B565" s="9">
        <v>44530</v>
      </c>
      <c r="C565" s="9">
        <v>44535</v>
      </c>
      <c r="D565" s="8" t="s">
        <v>29</v>
      </c>
      <c r="E565" s="8" t="s">
        <v>741</v>
      </c>
      <c r="F565" s="10" t="s">
        <v>742</v>
      </c>
      <c r="G565" s="10" t="s">
        <v>51</v>
      </c>
      <c r="H565" s="10" t="s">
        <v>260</v>
      </c>
      <c r="I565" s="10" t="s">
        <v>151</v>
      </c>
      <c r="J565" s="10" t="s">
        <v>34</v>
      </c>
      <c r="K565" s="10" t="s">
        <v>45</v>
      </c>
      <c r="L565" s="10" t="s">
        <v>46</v>
      </c>
      <c r="M565" s="10" t="s">
        <v>1429</v>
      </c>
      <c r="N565" s="11">
        <v>2046.9</v>
      </c>
      <c r="O565" s="12">
        <v>6</v>
      </c>
      <c r="P565" s="13">
        <v>0</v>
      </c>
      <c r="Q565" s="11">
        <v>801.72</v>
      </c>
    </row>
    <row r="566" spans="1:17" x14ac:dyDescent="0.3">
      <c r="A566" s="2" t="s">
        <v>1616</v>
      </c>
      <c r="B566" s="3">
        <v>44524</v>
      </c>
      <c r="C566" s="3">
        <v>44529</v>
      </c>
      <c r="D566" s="2" t="s">
        <v>29</v>
      </c>
      <c r="E566" s="2" t="s">
        <v>512</v>
      </c>
      <c r="F566" s="4" t="s">
        <v>513</v>
      </c>
      <c r="G566" s="4" t="s">
        <v>21</v>
      </c>
      <c r="H566" s="4" t="s">
        <v>104</v>
      </c>
      <c r="I566" s="4" t="s">
        <v>105</v>
      </c>
      <c r="J566" s="4" t="s">
        <v>88</v>
      </c>
      <c r="K566" s="4" t="s">
        <v>45</v>
      </c>
      <c r="L566" s="4" t="s">
        <v>117</v>
      </c>
      <c r="M566" s="4" t="s">
        <v>1617</v>
      </c>
      <c r="N566" s="5">
        <v>235.14</v>
      </c>
      <c r="O566" s="6">
        <v>3</v>
      </c>
      <c r="P566" s="7">
        <v>0.3</v>
      </c>
      <c r="Q566" s="5">
        <v>-6.58</v>
      </c>
    </row>
    <row r="567" spans="1:17" x14ac:dyDescent="0.3">
      <c r="A567" s="8" t="s">
        <v>1618</v>
      </c>
      <c r="B567" s="9">
        <v>44438</v>
      </c>
      <c r="C567" s="9">
        <v>44441</v>
      </c>
      <c r="D567" s="8" t="s">
        <v>39</v>
      </c>
      <c r="E567" s="8" t="s">
        <v>628</v>
      </c>
      <c r="F567" s="10" t="s">
        <v>629</v>
      </c>
      <c r="G567" s="10" t="s">
        <v>42</v>
      </c>
      <c r="H567" s="10" t="s">
        <v>32</v>
      </c>
      <c r="I567" s="10" t="s">
        <v>33</v>
      </c>
      <c r="J567" s="10" t="s">
        <v>34</v>
      </c>
      <c r="K567" s="10" t="s">
        <v>35</v>
      </c>
      <c r="L567" s="10" t="s">
        <v>216</v>
      </c>
      <c r="M567" s="10" t="s">
        <v>1619</v>
      </c>
      <c r="N567" s="11">
        <v>53.42</v>
      </c>
      <c r="O567" s="12">
        <v>4</v>
      </c>
      <c r="P567" s="13">
        <v>0.4</v>
      </c>
      <c r="Q567" s="11">
        <v>-0.55000000000000004</v>
      </c>
    </row>
    <row r="568" spans="1:17" x14ac:dyDescent="0.3">
      <c r="A568" s="2" t="s">
        <v>1620</v>
      </c>
      <c r="B568" s="3">
        <v>44286</v>
      </c>
      <c r="C568" s="3">
        <v>44290</v>
      </c>
      <c r="D568" s="2" t="s">
        <v>73</v>
      </c>
      <c r="E568" s="2" t="s">
        <v>1047</v>
      </c>
      <c r="F568" s="4" t="s">
        <v>1048</v>
      </c>
      <c r="G568" s="4" t="s">
        <v>42</v>
      </c>
      <c r="H568" s="4" t="s">
        <v>79</v>
      </c>
      <c r="I568" s="4" t="s">
        <v>80</v>
      </c>
      <c r="J568" s="4" t="s">
        <v>54</v>
      </c>
      <c r="K568" s="4" t="s">
        <v>35</v>
      </c>
      <c r="L568" s="4" t="s">
        <v>166</v>
      </c>
      <c r="M568" s="4" t="s">
        <v>1621</v>
      </c>
      <c r="N568" s="5">
        <v>180.94</v>
      </c>
      <c r="O568" s="6">
        <v>3</v>
      </c>
      <c r="P568" s="7">
        <v>0.2</v>
      </c>
      <c r="Q568" s="5">
        <v>20.8</v>
      </c>
    </row>
    <row r="569" spans="1:17" x14ac:dyDescent="0.3">
      <c r="A569" s="8" t="s">
        <v>1622</v>
      </c>
      <c r="B569" s="9">
        <v>44744</v>
      </c>
      <c r="C569" s="9">
        <v>44751</v>
      </c>
      <c r="D569" s="8" t="s">
        <v>29</v>
      </c>
      <c r="E569" s="8" t="s">
        <v>813</v>
      </c>
      <c r="F569" s="10" t="s">
        <v>814</v>
      </c>
      <c r="G569" s="10" t="s">
        <v>51</v>
      </c>
      <c r="H569" s="10" t="s">
        <v>134</v>
      </c>
      <c r="I569" s="10" t="s">
        <v>87</v>
      </c>
      <c r="J569" s="10" t="s">
        <v>88</v>
      </c>
      <c r="K569" s="10" t="s">
        <v>45</v>
      </c>
      <c r="L569" s="10" t="s">
        <v>117</v>
      </c>
      <c r="M569" s="10" t="s">
        <v>1623</v>
      </c>
      <c r="N569" s="11">
        <v>987.98</v>
      </c>
      <c r="O569" s="12">
        <v>3</v>
      </c>
      <c r="P569" s="13">
        <v>0.2</v>
      </c>
      <c r="Q569" s="11">
        <v>85.44</v>
      </c>
    </row>
    <row r="570" spans="1:17" x14ac:dyDescent="0.3">
      <c r="A570" s="2" t="s">
        <v>1624</v>
      </c>
      <c r="B570" s="3">
        <v>45312</v>
      </c>
      <c r="C570" s="3">
        <v>45315</v>
      </c>
      <c r="D570" s="2" t="s">
        <v>18</v>
      </c>
      <c r="E570" s="2" t="s">
        <v>874</v>
      </c>
      <c r="F570" s="4" t="s">
        <v>875</v>
      </c>
      <c r="G570" s="4" t="s">
        <v>51</v>
      </c>
      <c r="H570" s="4" t="s">
        <v>59</v>
      </c>
      <c r="I570" s="4" t="s">
        <v>60</v>
      </c>
      <c r="J570" s="4" t="s">
        <v>54</v>
      </c>
      <c r="K570" s="4" t="s">
        <v>45</v>
      </c>
      <c r="L570" s="4" t="s">
        <v>46</v>
      </c>
      <c r="M570" s="4" t="s">
        <v>1625</v>
      </c>
      <c r="N570" s="5">
        <v>2185.5700000000002</v>
      </c>
      <c r="O570" s="6">
        <v>5</v>
      </c>
      <c r="P570" s="7">
        <v>0.3</v>
      </c>
      <c r="Q570" s="5">
        <v>69.430000000000007</v>
      </c>
    </row>
    <row r="571" spans="1:17" x14ac:dyDescent="0.3">
      <c r="A571" s="8" t="s">
        <v>1626</v>
      </c>
      <c r="B571" s="9">
        <v>44342</v>
      </c>
      <c r="C571" s="9">
        <v>44346</v>
      </c>
      <c r="D571" s="8" t="s">
        <v>39</v>
      </c>
      <c r="E571" s="8" t="s">
        <v>809</v>
      </c>
      <c r="F571" s="10" t="s">
        <v>810</v>
      </c>
      <c r="G571" s="10" t="s">
        <v>42</v>
      </c>
      <c r="H571" s="10" t="s">
        <v>352</v>
      </c>
      <c r="I571" s="10" t="s">
        <v>306</v>
      </c>
      <c r="J571" s="10" t="s">
        <v>34</v>
      </c>
      <c r="K571" s="10" t="s">
        <v>25</v>
      </c>
      <c r="L571" s="10" t="s">
        <v>26</v>
      </c>
      <c r="M571" s="10" t="s">
        <v>1627</v>
      </c>
      <c r="N571" s="11">
        <v>1628.62</v>
      </c>
      <c r="O571" s="12">
        <v>5</v>
      </c>
      <c r="P571" s="13">
        <v>0.5</v>
      </c>
      <c r="Q571" s="11">
        <v>-844.19</v>
      </c>
    </row>
    <row r="572" spans="1:17" x14ac:dyDescent="0.3">
      <c r="A572" s="2" t="s">
        <v>1628</v>
      </c>
      <c r="B572" s="3">
        <v>44822</v>
      </c>
      <c r="C572" s="3">
        <v>44825</v>
      </c>
      <c r="D572" s="2" t="s">
        <v>18</v>
      </c>
      <c r="E572" s="2" t="s">
        <v>77</v>
      </c>
      <c r="F572" s="4" t="s">
        <v>78</v>
      </c>
      <c r="G572" s="4" t="s">
        <v>21</v>
      </c>
      <c r="H572" s="4" t="s">
        <v>79</v>
      </c>
      <c r="I572" s="4" t="s">
        <v>80</v>
      </c>
      <c r="J572" s="4" t="s">
        <v>54</v>
      </c>
      <c r="K572" s="4" t="s">
        <v>25</v>
      </c>
      <c r="L572" s="4" t="s">
        <v>26</v>
      </c>
      <c r="M572" s="4" t="s">
        <v>1629</v>
      </c>
      <c r="N572" s="5">
        <v>9934.9</v>
      </c>
      <c r="O572" s="6">
        <v>8</v>
      </c>
      <c r="P572" s="7">
        <v>0.3</v>
      </c>
      <c r="Q572" s="5">
        <v>-1098.5</v>
      </c>
    </row>
    <row r="573" spans="1:17" x14ac:dyDescent="0.3">
      <c r="A573" s="8" t="s">
        <v>1630</v>
      </c>
      <c r="B573" s="9">
        <v>44490</v>
      </c>
      <c r="C573" s="9">
        <v>44495</v>
      </c>
      <c r="D573" s="8" t="s">
        <v>29</v>
      </c>
      <c r="E573" s="8" t="s">
        <v>504</v>
      </c>
      <c r="F573" s="10" t="s">
        <v>505</v>
      </c>
      <c r="G573" s="10" t="s">
        <v>42</v>
      </c>
      <c r="H573" s="10" t="s">
        <v>150</v>
      </c>
      <c r="I573" s="10" t="s">
        <v>151</v>
      </c>
      <c r="J573" s="10" t="s">
        <v>34</v>
      </c>
      <c r="K573" s="10" t="s">
        <v>25</v>
      </c>
      <c r="L573" s="10" t="s">
        <v>68</v>
      </c>
      <c r="M573" s="10" t="s">
        <v>1631</v>
      </c>
      <c r="N573" s="11">
        <v>373.77</v>
      </c>
      <c r="O573" s="12">
        <v>5</v>
      </c>
      <c r="P573" s="13">
        <v>0.5</v>
      </c>
      <c r="Q573" s="11">
        <v>-38.29</v>
      </c>
    </row>
    <row r="574" spans="1:17" x14ac:dyDescent="0.3">
      <c r="A574" s="2" t="s">
        <v>1632</v>
      </c>
      <c r="B574" s="3">
        <v>44993</v>
      </c>
      <c r="C574" s="3">
        <v>45000</v>
      </c>
      <c r="D574" s="2" t="s">
        <v>29</v>
      </c>
      <c r="E574" s="2" t="s">
        <v>537</v>
      </c>
      <c r="F574" s="4" t="s">
        <v>538</v>
      </c>
      <c r="G574" s="4" t="s">
        <v>42</v>
      </c>
      <c r="H574" s="4" t="s">
        <v>115</v>
      </c>
      <c r="I574" s="4" t="s">
        <v>116</v>
      </c>
      <c r="J574" s="4" t="s">
        <v>54</v>
      </c>
      <c r="K574" s="4" t="s">
        <v>45</v>
      </c>
      <c r="L574" s="4" t="s">
        <v>117</v>
      </c>
      <c r="M574" s="4" t="s">
        <v>1633</v>
      </c>
      <c r="N574" s="5">
        <v>34.81</v>
      </c>
      <c r="O574" s="6">
        <v>1</v>
      </c>
      <c r="P574" s="7">
        <v>0.5</v>
      </c>
      <c r="Q574" s="5">
        <v>-12.41</v>
      </c>
    </row>
    <row r="575" spans="1:17" x14ac:dyDescent="0.3">
      <c r="A575" s="8" t="s">
        <v>1634</v>
      </c>
      <c r="B575" s="9">
        <v>44899</v>
      </c>
      <c r="C575" s="9">
        <v>44902</v>
      </c>
      <c r="D575" s="8" t="s">
        <v>39</v>
      </c>
      <c r="E575" s="8" t="s">
        <v>692</v>
      </c>
      <c r="F575" s="10" t="s">
        <v>693</v>
      </c>
      <c r="G575" s="10" t="s">
        <v>21</v>
      </c>
      <c r="H575" s="10" t="s">
        <v>694</v>
      </c>
      <c r="I575" s="10" t="s">
        <v>67</v>
      </c>
      <c r="J575" s="10" t="s">
        <v>34</v>
      </c>
      <c r="K575" s="10" t="s">
        <v>35</v>
      </c>
      <c r="L575" s="10" t="s">
        <v>295</v>
      </c>
      <c r="M575" s="10" t="s">
        <v>1635</v>
      </c>
      <c r="N575" s="11">
        <v>282.45999999999998</v>
      </c>
      <c r="O575" s="12">
        <v>4</v>
      </c>
      <c r="P575" s="13">
        <v>0.1</v>
      </c>
      <c r="Q575" s="11">
        <v>130.66999999999999</v>
      </c>
    </row>
    <row r="576" spans="1:17" x14ac:dyDescent="0.3">
      <c r="A576" s="2" t="s">
        <v>1636</v>
      </c>
      <c r="B576" s="3">
        <v>44393</v>
      </c>
      <c r="C576" s="3">
        <v>44396</v>
      </c>
      <c r="D576" s="2" t="s">
        <v>39</v>
      </c>
      <c r="E576" s="2" t="s">
        <v>723</v>
      </c>
      <c r="F576" s="4" t="s">
        <v>724</v>
      </c>
      <c r="G576" s="4" t="s">
        <v>21</v>
      </c>
      <c r="H576" s="4" t="s">
        <v>98</v>
      </c>
      <c r="I576" s="4" t="s">
        <v>80</v>
      </c>
      <c r="J576" s="4" t="s">
        <v>54</v>
      </c>
      <c r="K576" s="4" t="s">
        <v>45</v>
      </c>
      <c r="L576" s="4" t="s">
        <v>61</v>
      </c>
      <c r="M576" s="4" t="s">
        <v>1637</v>
      </c>
      <c r="N576" s="5">
        <v>6022.24</v>
      </c>
      <c r="O576" s="6">
        <v>7</v>
      </c>
      <c r="P576" s="7">
        <v>0</v>
      </c>
      <c r="Q576" s="5">
        <v>191.76</v>
      </c>
    </row>
    <row r="577" spans="1:17" x14ac:dyDescent="0.3">
      <c r="A577" s="8" t="s">
        <v>1638</v>
      </c>
      <c r="B577" s="9">
        <v>44965</v>
      </c>
      <c r="C577" s="9">
        <v>44971</v>
      </c>
      <c r="D577" s="8" t="s">
        <v>29</v>
      </c>
      <c r="E577" s="8" t="s">
        <v>1330</v>
      </c>
      <c r="F577" s="10" t="s">
        <v>1331</v>
      </c>
      <c r="G577" s="10" t="s">
        <v>51</v>
      </c>
      <c r="H577" s="10" t="s">
        <v>52</v>
      </c>
      <c r="I577" s="10" t="s">
        <v>53</v>
      </c>
      <c r="J577" s="10" t="s">
        <v>54</v>
      </c>
      <c r="K577" s="10" t="s">
        <v>35</v>
      </c>
      <c r="L577" s="10" t="s">
        <v>158</v>
      </c>
      <c r="M577" s="10" t="s">
        <v>1639</v>
      </c>
      <c r="N577" s="11">
        <v>850.62</v>
      </c>
      <c r="O577" s="12">
        <v>8</v>
      </c>
      <c r="P577" s="13">
        <v>0.2</v>
      </c>
      <c r="Q577" s="11">
        <v>216.7</v>
      </c>
    </row>
    <row r="578" spans="1:17" x14ac:dyDescent="0.3">
      <c r="A578" s="2" t="s">
        <v>1640</v>
      </c>
      <c r="B578" s="3">
        <v>44692</v>
      </c>
      <c r="C578" s="3">
        <v>44697</v>
      </c>
      <c r="D578" s="2" t="s">
        <v>73</v>
      </c>
      <c r="E578" s="2" t="s">
        <v>528</v>
      </c>
      <c r="F578" s="4" t="s">
        <v>529</v>
      </c>
      <c r="G578" s="4" t="s">
        <v>51</v>
      </c>
      <c r="H578" s="4" t="s">
        <v>530</v>
      </c>
      <c r="I578" s="4" t="s">
        <v>373</v>
      </c>
      <c r="J578" s="4" t="s">
        <v>34</v>
      </c>
      <c r="K578" s="4" t="s">
        <v>45</v>
      </c>
      <c r="L578" s="4" t="s">
        <v>99</v>
      </c>
      <c r="M578" s="4" t="s">
        <v>1641</v>
      </c>
      <c r="N578" s="5">
        <v>658.22</v>
      </c>
      <c r="O578" s="6">
        <v>7</v>
      </c>
      <c r="P578" s="7">
        <v>0.3</v>
      </c>
      <c r="Q578" s="5">
        <v>-22.29</v>
      </c>
    </row>
    <row r="579" spans="1:17" x14ac:dyDescent="0.3">
      <c r="A579" s="8" t="s">
        <v>1642</v>
      </c>
      <c r="B579" s="9">
        <v>44725</v>
      </c>
      <c r="C579" s="9">
        <v>44729</v>
      </c>
      <c r="D579" s="8" t="s">
        <v>39</v>
      </c>
      <c r="E579" s="8" t="s">
        <v>132</v>
      </c>
      <c r="F579" s="10" t="s">
        <v>133</v>
      </c>
      <c r="G579" s="10" t="s">
        <v>21</v>
      </c>
      <c r="H579" s="10" t="s">
        <v>134</v>
      </c>
      <c r="I579" s="10" t="s">
        <v>87</v>
      </c>
      <c r="J579" s="10" t="s">
        <v>88</v>
      </c>
      <c r="K579" s="10" t="s">
        <v>45</v>
      </c>
      <c r="L579" s="10" t="s">
        <v>46</v>
      </c>
      <c r="M579" s="10" t="s">
        <v>1643</v>
      </c>
      <c r="N579" s="11">
        <v>1790.46</v>
      </c>
      <c r="O579" s="12">
        <v>7</v>
      </c>
      <c r="P579" s="13">
        <v>0.3</v>
      </c>
      <c r="Q579" s="11">
        <v>105.73</v>
      </c>
    </row>
    <row r="580" spans="1:17" x14ac:dyDescent="0.3">
      <c r="A580" s="2" t="s">
        <v>1644</v>
      </c>
      <c r="B580" s="3">
        <v>45178</v>
      </c>
      <c r="C580" s="3">
        <v>45183</v>
      </c>
      <c r="D580" s="2" t="s">
        <v>73</v>
      </c>
      <c r="E580" s="2" t="s">
        <v>954</v>
      </c>
      <c r="F580" s="4" t="s">
        <v>955</v>
      </c>
      <c r="G580" s="4" t="s">
        <v>51</v>
      </c>
      <c r="H580" s="4" t="s">
        <v>386</v>
      </c>
      <c r="I580" s="4" t="s">
        <v>347</v>
      </c>
      <c r="J580" s="4" t="s">
        <v>88</v>
      </c>
      <c r="K580" s="4" t="s">
        <v>45</v>
      </c>
      <c r="L580" s="4" t="s">
        <v>61</v>
      </c>
      <c r="M580" s="4" t="s">
        <v>443</v>
      </c>
      <c r="N580" s="5">
        <v>1048.52</v>
      </c>
      <c r="O580" s="6">
        <v>2</v>
      </c>
      <c r="P580" s="7">
        <v>0.3</v>
      </c>
      <c r="Q580" s="5">
        <v>-341.57</v>
      </c>
    </row>
    <row r="581" spans="1:17" x14ac:dyDescent="0.3">
      <c r="A581" s="8" t="s">
        <v>1645</v>
      </c>
      <c r="B581" s="9">
        <v>45514</v>
      </c>
      <c r="C581" s="9">
        <v>45516</v>
      </c>
      <c r="D581" s="8" t="s">
        <v>39</v>
      </c>
      <c r="E581" s="8" t="s">
        <v>717</v>
      </c>
      <c r="F581" s="10" t="s">
        <v>718</v>
      </c>
      <c r="G581" s="10" t="s">
        <v>51</v>
      </c>
      <c r="H581" s="10" t="s">
        <v>86</v>
      </c>
      <c r="I581" s="10" t="s">
        <v>87</v>
      </c>
      <c r="J581" s="10" t="s">
        <v>88</v>
      </c>
      <c r="K581" s="10" t="s">
        <v>25</v>
      </c>
      <c r="L581" s="10" t="s">
        <v>74</v>
      </c>
      <c r="M581" s="10" t="s">
        <v>1646</v>
      </c>
      <c r="N581" s="11">
        <v>232.72</v>
      </c>
      <c r="O581" s="12">
        <v>2</v>
      </c>
      <c r="P581" s="13">
        <v>0.1</v>
      </c>
      <c r="Q581" s="11">
        <v>69.959999999999994</v>
      </c>
    </row>
    <row r="582" spans="1:17" x14ac:dyDescent="0.3">
      <c r="A582" s="2" t="s">
        <v>1647</v>
      </c>
      <c r="B582" s="3">
        <v>45299</v>
      </c>
      <c r="C582" s="3">
        <v>45302</v>
      </c>
      <c r="D582" s="2" t="s">
        <v>18</v>
      </c>
      <c r="E582" s="2" t="s">
        <v>420</v>
      </c>
      <c r="F582" s="4" t="s">
        <v>421</v>
      </c>
      <c r="G582" s="4" t="s">
        <v>51</v>
      </c>
      <c r="H582" s="4" t="s">
        <v>422</v>
      </c>
      <c r="I582" s="4" t="s">
        <v>423</v>
      </c>
      <c r="J582" s="4" t="s">
        <v>88</v>
      </c>
      <c r="K582" s="4" t="s">
        <v>25</v>
      </c>
      <c r="L582" s="4" t="s">
        <v>124</v>
      </c>
      <c r="M582" s="4" t="s">
        <v>1648</v>
      </c>
      <c r="N582" s="5">
        <v>15156.06</v>
      </c>
      <c r="O582" s="6">
        <v>5</v>
      </c>
      <c r="P582" s="7">
        <v>0.05</v>
      </c>
      <c r="Q582" s="5">
        <v>4409.49</v>
      </c>
    </row>
    <row r="583" spans="1:17" x14ac:dyDescent="0.3">
      <c r="A583" s="8" t="s">
        <v>1649</v>
      </c>
      <c r="B583" s="9">
        <v>45623</v>
      </c>
      <c r="C583" s="9">
        <v>45625</v>
      </c>
      <c r="D583" s="8" t="s">
        <v>18</v>
      </c>
      <c r="E583" s="8" t="s">
        <v>30</v>
      </c>
      <c r="F583" s="10" t="s">
        <v>31</v>
      </c>
      <c r="G583" s="10" t="s">
        <v>21</v>
      </c>
      <c r="H583" s="10" t="s">
        <v>32</v>
      </c>
      <c r="I583" s="10" t="s">
        <v>33</v>
      </c>
      <c r="J583" s="10"/>
      <c r="K583" s="10" t="s">
        <v>45</v>
      </c>
      <c r="L583" s="10" t="s">
        <v>61</v>
      </c>
      <c r="M583" s="10" t="s">
        <v>1650</v>
      </c>
      <c r="N583" s="11">
        <v>103.42</v>
      </c>
      <c r="O583" s="12">
        <v>1</v>
      </c>
      <c r="P583" s="13">
        <v>0</v>
      </c>
      <c r="Q583" s="11">
        <v>11.78</v>
      </c>
    </row>
    <row r="584" spans="1:17" x14ac:dyDescent="0.3">
      <c r="A584" s="2" t="s">
        <v>1651</v>
      </c>
      <c r="B584" s="3">
        <v>45041</v>
      </c>
      <c r="C584" s="3">
        <v>45045</v>
      </c>
      <c r="D584" s="2" t="s">
        <v>39</v>
      </c>
      <c r="E584" s="2" t="s">
        <v>813</v>
      </c>
      <c r="F584" s="4" t="s">
        <v>814</v>
      </c>
      <c r="G584" s="4" t="s">
        <v>51</v>
      </c>
      <c r="H584" s="4" t="s">
        <v>134</v>
      </c>
      <c r="I584" s="4" t="s">
        <v>87</v>
      </c>
      <c r="J584" s="4" t="s">
        <v>88</v>
      </c>
      <c r="K584" s="4" t="s">
        <v>45</v>
      </c>
      <c r="L584" s="4" t="s">
        <v>61</v>
      </c>
      <c r="M584" s="4" t="s">
        <v>1652</v>
      </c>
      <c r="N584" s="5">
        <v>2306.33</v>
      </c>
      <c r="O584" s="6">
        <v>4</v>
      </c>
      <c r="P584" s="7">
        <v>0.05</v>
      </c>
      <c r="Q584" s="5">
        <v>4.79</v>
      </c>
    </row>
    <row r="585" spans="1:17" x14ac:dyDescent="0.3">
      <c r="A585" s="8" t="s">
        <v>1653</v>
      </c>
      <c r="B585" s="9">
        <v>44716</v>
      </c>
      <c r="C585" s="9">
        <v>44720</v>
      </c>
      <c r="D585" s="8" t="s">
        <v>39</v>
      </c>
      <c r="E585" s="8" t="s">
        <v>864</v>
      </c>
      <c r="F585" s="10" t="s">
        <v>865</v>
      </c>
      <c r="G585" s="10" t="s">
        <v>21</v>
      </c>
      <c r="H585" s="10" t="s">
        <v>177</v>
      </c>
      <c r="I585" s="10" t="s">
        <v>178</v>
      </c>
      <c r="J585" s="10" t="s">
        <v>24</v>
      </c>
      <c r="K585" s="10" t="s">
        <v>35</v>
      </c>
      <c r="L585" s="10" t="s">
        <v>295</v>
      </c>
      <c r="M585" s="10" t="s">
        <v>1654</v>
      </c>
      <c r="N585" s="11">
        <v>77.209999999999994</v>
      </c>
      <c r="O585" s="12">
        <v>3</v>
      </c>
      <c r="P585" s="13">
        <v>0.2</v>
      </c>
      <c r="Q585" s="11">
        <v>26.61</v>
      </c>
    </row>
    <row r="586" spans="1:17" x14ac:dyDescent="0.3">
      <c r="A586" s="2" t="s">
        <v>1655</v>
      </c>
      <c r="B586" s="3">
        <v>45631</v>
      </c>
      <c r="C586" s="3">
        <v>45635</v>
      </c>
      <c r="D586" s="2" t="s">
        <v>39</v>
      </c>
      <c r="E586" s="2" t="s">
        <v>265</v>
      </c>
      <c r="F586" s="4" t="s">
        <v>266</v>
      </c>
      <c r="G586" s="4" t="s">
        <v>21</v>
      </c>
      <c r="H586" s="4" t="s">
        <v>171</v>
      </c>
      <c r="I586" s="4" t="s">
        <v>172</v>
      </c>
      <c r="J586" s="4" t="s">
        <v>24</v>
      </c>
      <c r="K586" s="4" t="s">
        <v>25</v>
      </c>
      <c r="L586" s="4" t="s">
        <v>26</v>
      </c>
      <c r="M586" s="4" t="s">
        <v>1656</v>
      </c>
      <c r="N586" s="5">
        <v>4924.47</v>
      </c>
      <c r="O586" s="6">
        <v>6</v>
      </c>
      <c r="P586" s="7">
        <v>0.5</v>
      </c>
      <c r="Q586" s="5">
        <v>-2211.2199999999998</v>
      </c>
    </row>
    <row r="587" spans="1:17" x14ac:dyDescent="0.3">
      <c r="A587" s="8" t="s">
        <v>1657</v>
      </c>
      <c r="B587" s="9">
        <v>44650</v>
      </c>
      <c r="C587" s="9">
        <v>44656</v>
      </c>
      <c r="D587" s="8" t="s">
        <v>29</v>
      </c>
      <c r="E587" s="8" t="s">
        <v>457</v>
      </c>
      <c r="F587" s="10" t="s">
        <v>458</v>
      </c>
      <c r="G587" s="10" t="s">
        <v>51</v>
      </c>
      <c r="H587" s="10" t="s">
        <v>459</v>
      </c>
      <c r="I587" s="10" t="s">
        <v>460</v>
      </c>
      <c r="J587" s="10" t="s">
        <v>54</v>
      </c>
      <c r="K587" s="10" t="s">
        <v>25</v>
      </c>
      <c r="L587" s="10" t="s">
        <v>68</v>
      </c>
      <c r="M587" s="10" t="s">
        <v>1658</v>
      </c>
      <c r="N587" s="11">
        <v>192.15</v>
      </c>
      <c r="O587" s="12">
        <v>6</v>
      </c>
      <c r="P587" s="13">
        <v>0.05</v>
      </c>
      <c r="Q587" s="11">
        <v>72.59</v>
      </c>
    </row>
    <row r="588" spans="1:17" x14ac:dyDescent="0.3">
      <c r="A588" s="2" t="s">
        <v>1659</v>
      </c>
      <c r="B588" s="3">
        <v>45421</v>
      </c>
      <c r="C588" s="3">
        <v>45426</v>
      </c>
      <c r="D588" s="2" t="s">
        <v>29</v>
      </c>
      <c r="E588" s="2" t="s">
        <v>1064</v>
      </c>
      <c r="F588" s="4" t="s">
        <v>1065</v>
      </c>
      <c r="G588" s="4" t="s">
        <v>51</v>
      </c>
      <c r="H588" s="4" t="s">
        <v>122</v>
      </c>
      <c r="I588" s="4" t="s">
        <v>123</v>
      </c>
      <c r="J588" s="4" t="s">
        <v>24</v>
      </c>
      <c r="K588" s="4" t="s">
        <v>45</v>
      </c>
      <c r="L588" s="4" t="s">
        <v>117</v>
      </c>
      <c r="M588" s="4" t="s">
        <v>1660</v>
      </c>
      <c r="N588" s="5">
        <v>163.34</v>
      </c>
      <c r="O588" s="6">
        <v>2</v>
      </c>
      <c r="P588" s="7">
        <v>0.5</v>
      </c>
      <c r="Q588" s="5">
        <v>-47.49</v>
      </c>
    </row>
    <row r="589" spans="1:17" x14ac:dyDescent="0.3">
      <c r="A589" s="8" t="s">
        <v>1661</v>
      </c>
      <c r="B589" s="9">
        <v>44211</v>
      </c>
      <c r="C589" s="9">
        <v>44216</v>
      </c>
      <c r="D589" s="8" t="s">
        <v>29</v>
      </c>
      <c r="E589" s="8" t="s">
        <v>533</v>
      </c>
      <c r="F589" s="10" t="s">
        <v>534</v>
      </c>
      <c r="G589" s="10" t="s">
        <v>42</v>
      </c>
      <c r="H589" s="10" t="s">
        <v>145</v>
      </c>
      <c r="I589" s="10" t="s">
        <v>140</v>
      </c>
      <c r="J589" s="10" t="s">
        <v>24</v>
      </c>
      <c r="K589" s="10" t="s">
        <v>45</v>
      </c>
      <c r="L589" s="10" t="s">
        <v>117</v>
      </c>
      <c r="M589" s="10" t="s">
        <v>1662</v>
      </c>
      <c r="N589" s="11">
        <v>625.67999999999995</v>
      </c>
      <c r="O589" s="12">
        <v>2</v>
      </c>
      <c r="P589" s="13">
        <v>0</v>
      </c>
      <c r="Q589" s="11">
        <v>219.13</v>
      </c>
    </row>
    <row r="590" spans="1:17" x14ac:dyDescent="0.3">
      <c r="A590" s="2" t="s">
        <v>1663</v>
      </c>
      <c r="B590" s="3">
        <v>44305</v>
      </c>
      <c r="C590" s="3">
        <v>44311</v>
      </c>
      <c r="D590" s="2" t="s">
        <v>29</v>
      </c>
      <c r="E590" s="2" t="s">
        <v>389</v>
      </c>
      <c r="F590" s="4" t="s">
        <v>390</v>
      </c>
      <c r="G590" s="4" t="s">
        <v>51</v>
      </c>
      <c r="H590" s="4" t="s">
        <v>59</v>
      </c>
      <c r="I590" s="4" t="s">
        <v>60</v>
      </c>
      <c r="J590" s="4" t="s">
        <v>54</v>
      </c>
      <c r="K590" s="4" t="s">
        <v>35</v>
      </c>
      <c r="L590" s="4" t="s">
        <v>81</v>
      </c>
      <c r="M590" s="4" t="s">
        <v>1664</v>
      </c>
      <c r="N590" s="5">
        <v>58.77</v>
      </c>
      <c r="O590" s="6">
        <v>3</v>
      </c>
      <c r="P590" s="7">
        <v>0</v>
      </c>
      <c r="Q590" s="5">
        <v>33.15</v>
      </c>
    </row>
    <row r="591" spans="1:17" x14ac:dyDescent="0.3">
      <c r="A591" s="8" t="s">
        <v>1665</v>
      </c>
      <c r="B591" s="9">
        <v>44357</v>
      </c>
      <c r="C591" s="9">
        <v>44360</v>
      </c>
      <c r="D591" s="8" t="s">
        <v>73</v>
      </c>
      <c r="E591" s="8" t="s">
        <v>132</v>
      </c>
      <c r="F591" s="10" t="s">
        <v>133</v>
      </c>
      <c r="G591" s="10" t="s">
        <v>21</v>
      </c>
      <c r="H591" s="10" t="s">
        <v>134</v>
      </c>
      <c r="I591" s="10" t="s">
        <v>87</v>
      </c>
      <c r="J591" s="10" t="s">
        <v>88</v>
      </c>
      <c r="K591" s="10" t="s">
        <v>45</v>
      </c>
      <c r="L591" s="10" t="s">
        <v>46</v>
      </c>
      <c r="M591" s="10" t="s">
        <v>1666</v>
      </c>
      <c r="N591" s="11">
        <v>1153.53</v>
      </c>
      <c r="O591" s="12">
        <v>7</v>
      </c>
      <c r="P591" s="13">
        <v>0.5</v>
      </c>
      <c r="Q591" s="11">
        <v>-340.97</v>
      </c>
    </row>
    <row r="592" spans="1:17" x14ac:dyDescent="0.3">
      <c r="A592" s="2" t="s">
        <v>1667</v>
      </c>
      <c r="B592" s="3">
        <v>44835</v>
      </c>
      <c r="C592" s="3">
        <v>44838</v>
      </c>
      <c r="D592" s="2" t="s">
        <v>18</v>
      </c>
      <c r="E592" s="2" t="s">
        <v>1582</v>
      </c>
      <c r="F592" s="4" t="s">
        <v>1583</v>
      </c>
      <c r="G592" s="4" t="s">
        <v>21</v>
      </c>
      <c r="H592" s="4" t="s">
        <v>52</v>
      </c>
      <c r="I592" s="4" t="s">
        <v>53</v>
      </c>
      <c r="J592" s="4" t="s">
        <v>54</v>
      </c>
      <c r="K592" s="4" t="s">
        <v>25</v>
      </c>
      <c r="L592" s="4" t="s">
        <v>74</v>
      </c>
      <c r="M592" s="4" t="s">
        <v>1668</v>
      </c>
      <c r="N592" s="5">
        <v>519.48</v>
      </c>
      <c r="O592" s="6">
        <v>3</v>
      </c>
      <c r="P592" s="7">
        <v>0</v>
      </c>
      <c r="Q592" s="5">
        <v>233.93</v>
      </c>
    </row>
    <row r="593" spans="1:17" x14ac:dyDescent="0.3">
      <c r="A593" s="8" t="s">
        <v>1669</v>
      </c>
      <c r="B593" s="9">
        <v>44791</v>
      </c>
      <c r="C593" s="9">
        <v>44794</v>
      </c>
      <c r="D593" s="8" t="s">
        <v>73</v>
      </c>
      <c r="E593" s="8" t="s">
        <v>1284</v>
      </c>
      <c r="F593" s="10" t="s">
        <v>1285</v>
      </c>
      <c r="G593" s="10" t="s">
        <v>21</v>
      </c>
      <c r="H593" s="10" t="s">
        <v>150</v>
      </c>
      <c r="I593" s="10" t="s">
        <v>151</v>
      </c>
      <c r="J593" s="10" t="s">
        <v>34</v>
      </c>
      <c r="K593" s="10" t="s">
        <v>25</v>
      </c>
      <c r="L593" s="10" t="s">
        <v>74</v>
      </c>
      <c r="M593" s="10" t="s">
        <v>106</v>
      </c>
      <c r="N593" s="11">
        <v>613.85</v>
      </c>
      <c r="O593" s="12">
        <v>3</v>
      </c>
      <c r="P593" s="13">
        <v>0.5</v>
      </c>
      <c r="Q593" s="11">
        <v>-94.82</v>
      </c>
    </row>
    <row r="594" spans="1:17" x14ac:dyDescent="0.3">
      <c r="A594" s="2" t="s">
        <v>1670</v>
      </c>
      <c r="B594" s="3">
        <v>45624</v>
      </c>
      <c r="C594" s="3">
        <v>45626</v>
      </c>
      <c r="D594" s="2" t="s">
        <v>18</v>
      </c>
      <c r="E594" s="2" t="s">
        <v>1152</v>
      </c>
      <c r="F594" s="4" t="s">
        <v>1153</v>
      </c>
      <c r="G594" s="4" t="s">
        <v>42</v>
      </c>
      <c r="H594" s="4" t="s">
        <v>1091</v>
      </c>
      <c r="I594" s="4" t="s">
        <v>23</v>
      </c>
      <c r="J594" s="4" t="s">
        <v>24</v>
      </c>
      <c r="K594" s="4" t="s">
        <v>25</v>
      </c>
      <c r="L594" s="4" t="s">
        <v>26</v>
      </c>
      <c r="M594" s="4" t="s">
        <v>1671</v>
      </c>
      <c r="N594" s="5">
        <v>5725.27</v>
      </c>
      <c r="O594" s="6">
        <v>6</v>
      </c>
      <c r="P594" s="7">
        <v>0.3</v>
      </c>
      <c r="Q594" s="5">
        <v>-940.07</v>
      </c>
    </row>
    <row r="595" spans="1:17" x14ac:dyDescent="0.3">
      <c r="A595" s="8" t="s">
        <v>1672</v>
      </c>
      <c r="B595" s="9">
        <v>44407</v>
      </c>
      <c r="C595" s="9">
        <v>44412</v>
      </c>
      <c r="D595" s="8" t="s">
        <v>29</v>
      </c>
      <c r="E595" s="8" t="s">
        <v>426</v>
      </c>
      <c r="F595" s="10" t="s">
        <v>427</v>
      </c>
      <c r="G595" s="10" t="s">
        <v>42</v>
      </c>
      <c r="H595" s="10" t="s">
        <v>412</v>
      </c>
      <c r="I595" s="10" t="s">
        <v>178</v>
      </c>
      <c r="J595" s="10" t="s">
        <v>24</v>
      </c>
      <c r="K595" s="10" t="s">
        <v>35</v>
      </c>
      <c r="L595" s="10" t="s">
        <v>89</v>
      </c>
      <c r="M595" s="10" t="s">
        <v>1673</v>
      </c>
      <c r="N595" s="11">
        <v>264.52</v>
      </c>
      <c r="O595" s="12">
        <v>2</v>
      </c>
      <c r="P595" s="13">
        <v>0.15</v>
      </c>
      <c r="Q595" s="11">
        <v>40.450000000000003</v>
      </c>
    </row>
    <row r="596" spans="1:17" x14ac:dyDescent="0.3">
      <c r="A596" s="2" t="s">
        <v>1181</v>
      </c>
      <c r="B596" s="3">
        <v>45164</v>
      </c>
      <c r="C596" s="3">
        <v>45171</v>
      </c>
      <c r="D596" s="2" t="s">
        <v>29</v>
      </c>
      <c r="E596" s="2" t="s">
        <v>1078</v>
      </c>
      <c r="F596" s="4" t="s">
        <v>1079</v>
      </c>
      <c r="G596" s="4" t="s">
        <v>42</v>
      </c>
      <c r="H596" s="4" t="s">
        <v>115</v>
      </c>
      <c r="I596" s="4" t="s">
        <v>116</v>
      </c>
      <c r="J596" s="4" t="s">
        <v>54</v>
      </c>
      <c r="K596" s="4" t="s">
        <v>25</v>
      </c>
      <c r="L596" s="4" t="s">
        <v>124</v>
      </c>
      <c r="M596" s="4" t="s">
        <v>1182</v>
      </c>
      <c r="N596" s="5">
        <v>2660.39</v>
      </c>
      <c r="O596" s="6">
        <v>1</v>
      </c>
      <c r="P596" s="7">
        <v>0</v>
      </c>
      <c r="Q596" s="5">
        <v>702</v>
      </c>
    </row>
    <row r="597" spans="1:17" x14ac:dyDescent="0.3">
      <c r="A597" s="8" t="s">
        <v>1674</v>
      </c>
      <c r="B597" s="9">
        <v>45602</v>
      </c>
      <c r="C597" s="9">
        <v>45606</v>
      </c>
      <c r="D597" s="8" t="s">
        <v>39</v>
      </c>
      <c r="E597" s="8" t="s">
        <v>1578</v>
      </c>
      <c r="F597" s="10" t="s">
        <v>1579</v>
      </c>
      <c r="G597" s="10" t="s">
        <v>51</v>
      </c>
      <c r="H597" s="10" t="s">
        <v>207</v>
      </c>
      <c r="I597" s="10" t="s">
        <v>60</v>
      </c>
      <c r="J597" s="10" t="s">
        <v>54</v>
      </c>
      <c r="K597" s="10" t="s">
        <v>45</v>
      </c>
      <c r="L597" s="10" t="s">
        <v>46</v>
      </c>
      <c r="M597" s="10" t="s">
        <v>1675</v>
      </c>
      <c r="N597" s="11">
        <v>4037.83</v>
      </c>
      <c r="O597" s="12">
        <v>8</v>
      </c>
      <c r="P597" s="13">
        <v>0.1</v>
      </c>
      <c r="Q597" s="11">
        <v>1365.89</v>
      </c>
    </row>
    <row r="598" spans="1:17" x14ac:dyDescent="0.3">
      <c r="A598" s="2" t="s">
        <v>1676</v>
      </c>
      <c r="B598" s="3">
        <v>44990</v>
      </c>
      <c r="C598" s="3">
        <v>44993</v>
      </c>
      <c r="D598" s="2" t="s">
        <v>18</v>
      </c>
      <c r="E598" s="2" t="s">
        <v>181</v>
      </c>
      <c r="F598" s="4" t="s">
        <v>182</v>
      </c>
      <c r="G598" s="4" t="s">
        <v>21</v>
      </c>
      <c r="H598" s="4" t="s">
        <v>183</v>
      </c>
      <c r="I598" s="4" t="s">
        <v>184</v>
      </c>
      <c r="J598" s="4" t="s">
        <v>54</v>
      </c>
      <c r="K598" s="4" t="s">
        <v>25</v>
      </c>
      <c r="L598" s="4" t="s">
        <v>74</v>
      </c>
      <c r="M598" s="4" t="s">
        <v>1677</v>
      </c>
      <c r="N598" s="5">
        <v>1064.75</v>
      </c>
      <c r="O598" s="6">
        <v>5</v>
      </c>
      <c r="P598" s="7">
        <v>0</v>
      </c>
      <c r="Q598" s="5">
        <v>331.95</v>
      </c>
    </row>
    <row r="599" spans="1:17" x14ac:dyDescent="0.3">
      <c r="A599" s="8" t="s">
        <v>1678</v>
      </c>
      <c r="B599" s="9">
        <v>44602</v>
      </c>
      <c r="C599" s="9">
        <v>44603</v>
      </c>
      <c r="D599" s="8" t="s">
        <v>18</v>
      </c>
      <c r="E599" s="8" t="s">
        <v>717</v>
      </c>
      <c r="F599" s="10" t="s">
        <v>718</v>
      </c>
      <c r="G599" s="10" t="s">
        <v>51</v>
      </c>
      <c r="H599" s="10" t="s">
        <v>86</v>
      </c>
      <c r="I599" s="10" t="s">
        <v>87</v>
      </c>
      <c r="J599" s="10" t="s">
        <v>88</v>
      </c>
      <c r="K599" s="10" t="s">
        <v>35</v>
      </c>
      <c r="L599" s="10" t="s">
        <v>295</v>
      </c>
      <c r="M599" s="10" t="s">
        <v>1679</v>
      </c>
      <c r="N599" s="11">
        <v>106.8</v>
      </c>
      <c r="O599" s="12">
        <v>6</v>
      </c>
      <c r="P599" s="13">
        <v>0</v>
      </c>
      <c r="Q599" s="11">
        <v>49.91</v>
      </c>
    </row>
    <row r="600" spans="1:17" x14ac:dyDescent="0.3">
      <c r="A600" s="2" t="s">
        <v>1680</v>
      </c>
      <c r="B600" s="3">
        <v>45442</v>
      </c>
      <c r="C600" s="3">
        <v>45445</v>
      </c>
      <c r="D600" s="2" t="s">
        <v>18</v>
      </c>
      <c r="E600" s="2" t="s">
        <v>864</v>
      </c>
      <c r="F600" s="4" t="s">
        <v>865</v>
      </c>
      <c r="G600" s="4" t="s">
        <v>21</v>
      </c>
      <c r="H600" s="4" t="s">
        <v>177</v>
      </c>
      <c r="I600" s="4" t="s">
        <v>178</v>
      </c>
      <c r="J600" s="4" t="s">
        <v>24</v>
      </c>
      <c r="K600" s="4" t="s">
        <v>35</v>
      </c>
      <c r="L600" s="4" t="s">
        <v>89</v>
      </c>
      <c r="M600" s="4" t="s">
        <v>1681</v>
      </c>
      <c r="N600" s="5">
        <v>1500.58</v>
      </c>
      <c r="O600" s="6">
        <v>7</v>
      </c>
      <c r="P600" s="7">
        <v>0.2</v>
      </c>
      <c r="Q600" s="5">
        <v>198.47</v>
      </c>
    </row>
    <row r="601" spans="1:17" x14ac:dyDescent="0.3">
      <c r="A601" s="8" t="s">
        <v>1682</v>
      </c>
      <c r="B601" s="9">
        <v>45377</v>
      </c>
      <c r="C601" s="9">
        <v>45378</v>
      </c>
      <c r="D601" s="8" t="s">
        <v>18</v>
      </c>
      <c r="E601" s="8" t="s">
        <v>1025</v>
      </c>
      <c r="F601" s="10" t="s">
        <v>1026</v>
      </c>
      <c r="G601" s="10" t="s">
        <v>21</v>
      </c>
      <c r="H601" s="10" t="s">
        <v>412</v>
      </c>
      <c r="I601" s="10" t="s">
        <v>178</v>
      </c>
      <c r="J601" s="10" t="s">
        <v>24</v>
      </c>
      <c r="K601" s="10" t="s">
        <v>25</v>
      </c>
      <c r="L601" s="10" t="s">
        <v>68</v>
      </c>
      <c r="M601" s="10" t="s">
        <v>1683</v>
      </c>
      <c r="N601" s="11">
        <v>615.45000000000005</v>
      </c>
      <c r="O601" s="12">
        <v>5</v>
      </c>
      <c r="P601" s="13">
        <v>0</v>
      </c>
      <c r="Q601" s="11">
        <v>223.45</v>
      </c>
    </row>
    <row r="602" spans="1:17" x14ac:dyDescent="0.3">
      <c r="A602" s="2" t="s">
        <v>1684</v>
      </c>
      <c r="B602" s="3">
        <v>44495</v>
      </c>
      <c r="C602" s="3">
        <v>44500</v>
      </c>
      <c r="D602" s="2" t="s">
        <v>29</v>
      </c>
      <c r="E602" s="2" t="s">
        <v>628</v>
      </c>
      <c r="F602" s="4" t="s">
        <v>629</v>
      </c>
      <c r="G602" s="4" t="s">
        <v>42</v>
      </c>
      <c r="H602" s="4" t="s">
        <v>32</v>
      </c>
      <c r="I602" s="4" t="s">
        <v>33</v>
      </c>
      <c r="J602" s="4" t="s">
        <v>34</v>
      </c>
      <c r="K602" s="4" t="s">
        <v>25</v>
      </c>
      <c r="L602" s="4" t="s">
        <v>74</v>
      </c>
      <c r="M602" s="4" t="s">
        <v>1685</v>
      </c>
      <c r="N602" s="5">
        <v>722.34</v>
      </c>
      <c r="O602" s="6">
        <v>5</v>
      </c>
      <c r="P602" s="7">
        <v>0.1</v>
      </c>
      <c r="Q602" s="5">
        <v>254.47</v>
      </c>
    </row>
    <row r="603" spans="1:17" x14ac:dyDescent="0.3">
      <c r="A603" s="8" t="s">
        <v>1686</v>
      </c>
      <c r="B603" s="9">
        <v>45595</v>
      </c>
      <c r="C603" s="9">
        <v>45600</v>
      </c>
      <c r="D603" s="8" t="s">
        <v>29</v>
      </c>
      <c r="E603" s="8" t="s">
        <v>1352</v>
      </c>
      <c r="F603" s="10" t="s">
        <v>1353</v>
      </c>
      <c r="G603" s="10" t="s">
        <v>42</v>
      </c>
      <c r="H603" s="10" t="s">
        <v>207</v>
      </c>
      <c r="I603" s="10" t="s">
        <v>60</v>
      </c>
      <c r="J603" s="10" t="s">
        <v>54</v>
      </c>
      <c r="K603" s="10" t="s">
        <v>25</v>
      </c>
      <c r="L603" s="10" t="s">
        <v>124</v>
      </c>
      <c r="M603" s="10" t="s">
        <v>1687</v>
      </c>
      <c r="N603" s="11">
        <v>11418.26</v>
      </c>
      <c r="O603" s="12">
        <v>4</v>
      </c>
      <c r="P603" s="13">
        <v>0.1</v>
      </c>
      <c r="Q603" s="11">
        <v>2006.94</v>
      </c>
    </row>
    <row r="604" spans="1:17" x14ac:dyDescent="0.3">
      <c r="A604" s="2" t="s">
        <v>1688</v>
      </c>
      <c r="B604" s="3">
        <v>45463</v>
      </c>
      <c r="C604" s="3">
        <v>45466</v>
      </c>
      <c r="D604" s="2" t="s">
        <v>73</v>
      </c>
      <c r="E604" s="2" t="s">
        <v>102</v>
      </c>
      <c r="F604" s="4" t="s">
        <v>103</v>
      </c>
      <c r="G604" s="4" t="s">
        <v>42</v>
      </c>
      <c r="H604" s="4" t="s">
        <v>104</v>
      </c>
      <c r="I604" s="4" t="s">
        <v>105</v>
      </c>
      <c r="J604" s="4" t="s">
        <v>88</v>
      </c>
      <c r="K604" s="4" t="s">
        <v>45</v>
      </c>
      <c r="L604" s="4" t="s">
        <v>117</v>
      </c>
      <c r="M604" s="4" t="s">
        <v>1689</v>
      </c>
      <c r="N604" s="5">
        <v>1745.76</v>
      </c>
      <c r="O604" s="6">
        <v>8</v>
      </c>
      <c r="P604" s="7">
        <v>0.4</v>
      </c>
      <c r="Q604" s="5">
        <v>-280.3</v>
      </c>
    </row>
    <row r="605" spans="1:17" x14ac:dyDescent="0.3">
      <c r="A605" s="8" t="s">
        <v>1690</v>
      </c>
      <c r="B605" s="9">
        <v>45018</v>
      </c>
      <c r="C605" s="9">
        <v>45023</v>
      </c>
      <c r="D605" s="8" t="s">
        <v>29</v>
      </c>
      <c r="E605" s="8" t="s">
        <v>1148</v>
      </c>
      <c r="F605" s="10" t="s">
        <v>1149</v>
      </c>
      <c r="G605" s="10" t="s">
        <v>51</v>
      </c>
      <c r="H605" s="10" t="s">
        <v>150</v>
      </c>
      <c r="I605" s="10" t="s">
        <v>151</v>
      </c>
      <c r="J605" s="10" t="s">
        <v>34</v>
      </c>
      <c r="K605" s="10" t="s">
        <v>25</v>
      </c>
      <c r="L605" s="10" t="s">
        <v>74</v>
      </c>
      <c r="M605" s="10" t="s">
        <v>1691</v>
      </c>
      <c r="N605" s="11">
        <v>3253.88</v>
      </c>
      <c r="O605" s="12">
        <v>8</v>
      </c>
      <c r="P605" s="13">
        <v>0.3</v>
      </c>
      <c r="Q605" s="11">
        <v>544.16999999999996</v>
      </c>
    </row>
    <row r="606" spans="1:17" x14ac:dyDescent="0.3">
      <c r="A606" s="2" t="s">
        <v>1692</v>
      </c>
      <c r="B606" s="3">
        <v>45171</v>
      </c>
      <c r="C606" s="3">
        <v>45175</v>
      </c>
      <c r="D606" s="2" t="s">
        <v>39</v>
      </c>
      <c r="E606" s="2" t="s">
        <v>420</v>
      </c>
      <c r="F606" s="4" t="s">
        <v>421</v>
      </c>
      <c r="G606" s="4" t="s">
        <v>51</v>
      </c>
      <c r="H606" s="4" t="s">
        <v>422</v>
      </c>
      <c r="I606" s="4" t="s">
        <v>423</v>
      </c>
      <c r="J606" s="4" t="s">
        <v>88</v>
      </c>
      <c r="K606" s="4" t="s">
        <v>25</v>
      </c>
      <c r="L606" s="4" t="s">
        <v>124</v>
      </c>
      <c r="M606" s="4" t="s">
        <v>1693</v>
      </c>
      <c r="N606" s="5">
        <v>3767.33</v>
      </c>
      <c r="O606" s="6">
        <v>4</v>
      </c>
      <c r="P606" s="7">
        <v>1.37</v>
      </c>
      <c r="Q606" s="5">
        <v>-1080.78</v>
      </c>
    </row>
    <row r="607" spans="1:17" x14ac:dyDescent="0.3">
      <c r="A607" s="8" t="s">
        <v>1694</v>
      </c>
      <c r="B607" s="9">
        <v>44714</v>
      </c>
      <c r="C607" s="9">
        <v>44716</v>
      </c>
      <c r="D607" s="8" t="s">
        <v>18</v>
      </c>
      <c r="E607" s="8" t="s">
        <v>741</v>
      </c>
      <c r="F607" s="10" t="s">
        <v>742</v>
      </c>
      <c r="G607" s="10" t="s">
        <v>51</v>
      </c>
      <c r="H607" s="10" t="s">
        <v>260</v>
      </c>
      <c r="I607" s="10" t="s">
        <v>151</v>
      </c>
      <c r="J607" s="10" t="s">
        <v>34</v>
      </c>
      <c r="K607" s="10" t="s">
        <v>25</v>
      </c>
      <c r="L607" s="10" t="s">
        <v>74</v>
      </c>
      <c r="M607" s="10" t="s">
        <v>1695</v>
      </c>
      <c r="N607" s="11">
        <v>1924.62</v>
      </c>
      <c r="O607" s="12">
        <v>10</v>
      </c>
      <c r="P607" s="13">
        <v>0.4</v>
      </c>
      <c r="Q607" s="11">
        <v>89.95</v>
      </c>
    </row>
    <row r="608" spans="1:17" x14ac:dyDescent="0.3">
      <c r="A608" s="2" t="s">
        <v>1696</v>
      </c>
      <c r="B608" s="3">
        <v>44519</v>
      </c>
      <c r="C608" s="3">
        <v>44523</v>
      </c>
      <c r="D608" s="2" t="s">
        <v>39</v>
      </c>
      <c r="E608" s="2" t="s">
        <v>997</v>
      </c>
      <c r="F608" s="4" t="s">
        <v>998</v>
      </c>
      <c r="G608" s="4" t="s">
        <v>21</v>
      </c>
      <c r="H608" s="4" t="s">
        <v>357</v>
      </c>
      <c r="I608" s="4" t="s">
        <v>251</v>
      </c>
      <c r="J608" s="4" t="s">
        <v>88</v>
      </c>
      <c r="K608" s="4" t="s">
        <v>45</v>
      </c>
      <c r="L608" s="4" t="s">
        <v>117</v>
      </c>
      <c r="M608" s="4" t="s">
        <v>564</v>
      </c>
      <c r="N608" s="5">
        <v>438.9</v>
      </c>
      <c r="O608" s="6">
        <v>5</v>
      </c>
      <c r="P608" s="7">
        <v>0.05</v>
      </c>
      <c r="Q608" s="5">
        <v>132.11000000000001</v>
      </c>
    </row>
    <row r="609" spans="1:17" x14ac:dyDescent="0.3">
      <c r="A609" s="8" t="s">
        <v>1697</v>
      </c>
      <c r="B609" s="9">
        <v>44313</v>
      </c>
      <c r="C609" s="9">
        <v>44318</v>
      </c>
      <c r="D609" s="8" t="s">
        <v>73</v>
      </c>
      <c r="E609" s="8" t="s">
        <v>1089</v>
      </c>
      <c r="F609" s="10" t="s">
        <v>1090</v>
      </c>
      <c r="G609" s="10" t="s">
        <v>51</v>
      </c>
      <c r="H609" s="10" t="s">
        <v>1091</v>
      </c>
      <c r="I609" s="10" t="s">
        <v>23</v>
      </c>
      <c r="J609" s="10" t="s">
        <v>24</v>
      </c>
      <c r="K609" s="10" t="s">
        <v>35</v>
      </c>
      <c r="L609" s="10" t="s">
        <v>166</v>
      </c>
      <c r="M609" s="10" t="s">
        <v>1698</v>
      </c>
      <c r="N609" s="11">
        <v>28.38</v>
      </c>
      <c r="O609" s="12">
        <v>1</v>
      </c>
      <c r="P609" s="13">
        <v>0.5</v>
      </c>
      <c r="Q609" s="11">
        <v>-15.69</v>
      </c>
    </row>
    <row r="610" spans="1:17" x14ac:dyDescent="0.3">
      <c r="A610" s="2" t="s">
        <v>1699</v>
      </c>
      <c r="B610" s="3">
        <v>45193</v>
      </c>
      <c r="C610" s="3">
        <v>45196</v>
      </c>
      <c r="D610" s="2" t="s">
        <v>39</v>
      </c>
      <c r="E610" s="2" t="s">
        <v>763</v>
      </c>
      <c r="F610" s="4" t="s">
        <v>764</v>
      </c>
      <c r="G610" s="4" t="s">
        <v>21</v>
      </c>
      <c r="H610" s="4" t="s">
        <v>765</v>
      </c>
      <c r="I610" s="4" t="s">
        <v>105</v>
      </c>
      <c r="J610" s="4" t="s">
        <v>88</v>
      </c>
      <c r="K610" s="4" t="s">
        <v>35</v>
      </c>
      <c r="L610" s="4" t="s">
        <v>295</v>
      </c>
      <c r="M610" s="4" t="s">
        <v>1700</v>
      </c>
      <c r="N610" s="5">
        <v>54.2</v>
      </c>
      <c r="O610" s="6">
        <v>4</v>
      </c>
      <c r="P610" s="7">
        <v>0</v>
      </c>
      <c r="Q610" s="5">
        <v>26.56</v>
      </c>
    </row>
    <row r="611" spans="1:17" x14ac:dyDescent="0.3">
      <c r="A611" s="8" t="s">
        <v>1701</v>
      </c>
      <c r="B611" s="9">
        <v>45431</v>
      </c>
      <c r="C611" s="9">
        <v>45432</v>
      </c>
      <c r="D611" s="8" t="s">
        <v>18</v>
      </c>
      <c r="E611" s="8" t="s">
        <v>210</v>
      </c>
      <c r="F611" s="10" t="s">
        <v>211</v>
      </c>
      <c r="G611" s="10" t="s">
        <v>42</v>
      </c>
      <c r="H611" s="10" t="s">
        <v>86</v>
      </c>
      <c r="I611" s="10" t="s">
        <v>87</v>
      </c>
      <c r="J611" s="10" t="s">
        <v>88</v>
      </c>
      <c r="K611" s="10" t="s">
        <v>35</v>
      </c>
      <c r="L611" s="10" t="s">
        <v>110</v>
      </c>
      <c r="M611" s="10" t="s">
        <v>1702</v>
      </c>
      <c r="N611" s="11">
        <v>31.86</v>
      </c>
      <c r="O611" s="12">
        <v>6</v>
      </c>
      <c r="P611" s="13">
        <v>0.1</v>
      </c>
      <c r="Q611" s="11">
        <v>13.49</v>
      </c>
    </row>
    <row r="612" spans="1:17" x14ac:dyDescent="0.3">
      <c r="A612" s="2" t="s">
        <v>1703</v>
      </c>
      <c r="B612" s="3">
        <v>45133</v>
      </c>
      <c r="C612" s="3">
        <v>45140</v>
      </c>
      <c r="D612" s="2" t="s">
        <v>29</v>
      </c>
      <c r="E612" s="2" t="s">
        <v>426</v>
      </c>
      <c r="F612" s="4" t="s">
        <v>427</v>
      </c>
      <c r="G612" s="4" t="s">
        <v>42</v>
      </c>
      <c r="H612" s="4" t="s">
        <v>412</v>
      </c>
      <c r="I612" s="4" t="s">
        <v>178</v>
      </c>
      <c r="J612" s="4" t="s">
        <v>24</v>
      </c>
      <c r="K612" s="4" t="s">
        <v>35</v>
      </c>
      <c r="L612" s="4" t="s">
        <v>216</v>
      </c>
      <c r="M612" s="4" t="s">
        <v>1704</v>
      </c>
      <c r="N612" s="5">
        <v>206.15</v>
      </c>
      <c r="O612" s="6">
        <v>7</v>
      </c>
      <c r="P612" s="7">
        <v>0</v>
      </c>
      <c r="Q612" s="5">
        <v>108.34</v>
      </c>
    </row>
    <row r="613" spans="1:17" x14ac:dyDescent="0.3">
      <c r="A613" s="8" t="s">
        <v>1705</v>
      </c>
      <c r="B613" s="9">
        <v>44849</v>
      </c>
      <c r="C613" s="9">
        <v>44856</v>
      </c>
      <c r="D613" s="8" t="s">
        <v>29</v>
      </c>
      <c r="E613" s="8" t="s">
        <v>1011</v>
      </c>
      <c r="F613" s="10" t="s">
        <v>1012</v>
      </c>
      <c r="G613" s="10" t="s">
        <v>21</v>
      </c>
      <c r="H613" s="10" t="s">
        <v>59</v>
      </c>
      <c r="I613" s="10" t="s">
        <v>60</v>
      </c>
      <c r="J613" s="10" t="s">
        <v>54</v>
      </c>
      <c r="K613" s="10" t="s">
        <v>35</v>
      </c>
      <c r="L613" s="10" t="s">
        <v>295</v>
      </c>
      <c r="M613" s="10" t="s">
        <v>1706</v>
      </c>
      <c r="N613" s="11">
        <v>249.23</v>
      </c>
      <c r="O613" s="12">
        <v>7</v>
      </c>
      <c r="P613" s="13">
        <v>0.5</v>
      </c>
      <c r="Q613" s="11">
        <v>-19.71</v>
      </c>
    </row>
    <row r="614" spans="1:17" x14ac:dyDescent="0.3">
      <c r="A614" s="2" t="s">
        <v>1707</v>
      </c>
      <c r="B614" s="3">
        <v>44354</v>
      </c>
      <c r="C614" s="3">
        <v>44359</v>
      </c>
      <c r="D614" s="2" t="s">
        <v>29</v>
      </c>
      <c r="E614" s="2" t="s">
        <v>1708</v>
      </c>
      <c r="F614" s="4" t="s">
        <v>1709</v>
      </c>
      <c r="G614" s="4" t="s">
        <v>51</v>
      </c>
      <c r="H614" s="4" t="s">
        <v>177</v>
      </c>
      <c r="I614" s="4" t="s">
        <v>178</v>
      </c>
      <c r="J614" s="4" t="s">
        <v>24</v>
      </c>
      <c r="K614" s="4" t="s">
        <v>35</v>
      </c>
      <c r="L614" s="4" t="s">
        <v>216</v>
      </c>
      <c r="M614" s="4" t="s">
        <v>1710</v>
      </c>
      <c r="N614" s="5">
        <v>20.440000000000001</v>
      </c>
      <c r="O614" s="6">
        <v>3</v>
      </c>
      <c r="P614" s="7">
        <v>0.1</v>
      </c>
      <c r="Q614" s="5">
        <v>6.28</v>
      </c>
    </row>
    <row r="615" spans="1:17" x14ac:dyDescent="0.3">
      <c r="A615" s="8" t="s">
        <v>1711</v>
      </c>
      <c r="B615" s="9">
        <v>45341</v>
      </c>
      <c r="C615" s="9">
        <v>45345</v>
      </c>
      <c r="D615" s="8" t="s">
        <v>73</v>
      </c>
      <c r="E615" s="8" t="s">
        <v>1052</v>
      </c>
      <c r="F615" s="10" t="s">
        <v>1053</v>
      </c>
      <c r="G615" s="10" t="s">
        <v>42</v>
      </c>
      <c r="H615" s="10" t="s">
        <v>694</v>
      </c>
      <c r="I615" s="10" t="s">
        <v>67</v>
      </c>
      <c r="J615" s="10" t="s">
        <v>34</v>
      </c>
      <c r="K615" s="10" t="s">
        <v>25</v>
      </c>
      <c r="L615" s="10" t="s">
        <v>68</v>
      </c>
      <c r="M615" s="10" t="s">
        <v>1712</v>
      </c>
      <c r="N615" s="11">
        <v>351.98</v>
      </c>
      <c r="O615" s="12">
        <v>4</v>
      </c>
      <c r="P615" s="13">
        <v>0.5</v>
      </c>
      <c r="Q615" s="11">
        <v>-95.66</v>
      </c>
    </row>
    <row r="616" spans="1:17" x14ac:dyDescent="0.3">
      <c r="A616" s="2" t="s">
        <v>1713</v>
      </c>
      <c r="B616" s="3">
        <v>44939</v>
      </c>
      <c r="C616" s="3">
        <v>44943</v>
      </c>
      <c r="D616" s="2" t="s">
        <v>73</v>
      </c>
      <c r="E616" s="2" t="s">
        <v>406</v>
      </c>
      <c r="F616" s="4" t="s">
        <v>407</v>
      </c>
      <c r="G616" s="4" t="s">
        <v>42</v>
      </c>
      <c r="H616" s="4" t="s">
        <v>165</v>
      </c>
      <c r="I616" s="4" t="s">
        <v>44</v>
      </c>
      <c r="J616" s="4" t="s">
        <v>24</v>
      </c>
      <c r="K616" s="4" t="s">
        <v>45</v>
      </c>
      <c r="L616" s="4" t="s">
        <v>117</v>
      </c>
      <c r="M616" s="4" t="s">
        <v>1545</v>
      </c>
      <c r="N616" s="5">
        <v>3793.58</v>
      </c>
      <c r="O616" s="6">
        <v>8</v>
      </c>
      <c r="P616" s="7">
        <v>0.15</v>
      </c>
      <c r="Q616" s="5">
        <v>714.74</v>
      </c>
    </row>
    <row r="617" spans="1:17" x14ac:dyDescent="0.3">
      <c r="A617" s="8" t="s">
        <v>1714</v>
      </c>
      <c r="B617" s="9">
        <v>44680</v>
      </c>
      <c r="C617" s="9">
        <v>44684</v>
      </c>
      <c r="D617" s="8" t="s">
        <v>73</v>
      </c>
      <c r="E617" s="8" t="s">
        <v>1352</v>
      </c>
      <c r="F617" s="10" t="s">
        <v>1353</v>
      </c>
      <c r="G617" s="10" t="s">
        <v>42</v>
      </c>
      <c r="H617" s="10" t="s">
        <v>207</v>
      </c>
      <c r="I617" s="10" t="s">
        <v>60</v>
      </c>
      <c r="J617" s="10" t="s">
        <v>54</v>
      </c>
      <c r="K617" s="10" t="s">
        <v>25</v>
      </c>
      <c r="L617" s="10" t="s">
        <v>68</v>
      </c>
      <c r="M617" s="10" t="s">
        <v>1715</v>
      </c>
      <c r="N617" s="11">
        <v>952.6</v>
      </c>
      <c r="O617" s="12">
        <v>10</v>
      </c>
      <c r="P617" s="13">
        <v>0</v>
      </c>
      <c r="Q617" s="11">
        <v>388.18</v>
      </c>
    </row>
    <row r="618" spans="1:17" x14ac:dyDescent="0.3">
      <c r="A618" s="2" t="s">
        <v>1716</v>
      </c>
      <c r="B618" s="3">
        <v>45006</v>
      </c>
      <c r="C618" s="3">
        <v>45013</v>
      </c>
      <c r="D618" s="2" t="s">
        <v>29</v>
      </c>
      <c r="E618" s="2" t="s">
        <v>1136</v>
      </c>
      <c r="F618" s="4" t="s">
        <v>1137</v>
      </c>
      <c r="G618" s="4" t="s">
        <v>51</v>
      </c>
      <c r="H618" s="4" t="s">
        <v>386</v>
      </c>
      <c r="I618" s="4" t="s">
        <v>347</v>
      </c>
      <c r="J618" s="4" t="s">
        <v>88</v>
      </c>
      <c r="K618" s="4" t="s">
        <v>35</v>
      </c>
      <c r="L618" s="4" t="s">
        <v>158</v>
      </c>
      <c r="M618" s="4" t="s">
        <v>1717</v>
      </c>
      <c r="N618" s="5">
        <v>394.6</v>
      </c>
      <c r="O618" s="6">
        <v>10</v>
      </c>
      <c r="P618" s="7">
        <v>0.5</v>
      </c>
      <c r="Q618" s="5">
        <v>-59.62</v>
      </c>
    </row>
    <row r="619" spans="1:17" x14ac:dyDescent="0.3">
      <c r="A619" s="8" t="s">
        <v>1718</v>
      </c>
      <c r="B619" s="9">
        <v>45007</v>
      </c>
      <c r="C619" s="9">
        <v>45011</v>
      </c>
      <c r="D619" s="8" t="s">
        <v>39</v>
      </c>
      <c r="E619" s="8" t="s">
        <v>244</v>
      </c>
      <c r="F619" s="10" t="s">
        <v>245</v>
      </c>
      <c r="G619" s="10" t="s">
        <v>42</v>
      </c>
      <c r="H619" s="10" t="s">
        <v>79</v>
      </c>
      <c r="I619" s="10" t="s">
        <v>80</v>
      </c>
      <c r="J619" s="10" t="s">
        <v>54</v>
      </c>
      <c r="K619" s="10" t="s">
        <v>35</v>
      </c>
      <c r="L619" s="10" t="s">
        <v>216</v>
      </c>
      <c r="M619" s="10" t="s">
        <v>1719</v>
      </c>
      <c r="N619" s="11">
        <v>134.96</v>
      </c>
      <c r="O619" s="12">
        <v>10</v>
      </c>
      <c r="P619" s="13">
        <v>0.2</v>
      </c>
      <c r="Q619" s="11">
        <v>41.53</v>
      </c>
    </row>
    <row r="620" spans="1:17" x14ac:dyDescent="0.3">
      <c r="A620" s="2" t="s">
        <v>1720</v>
      </c>
      <c r="B620" s="3">
        <v>44898</v>
      </c>
      <c r="C620" s="3">
        <v>44901</v>
      </c>
      <c r="D620" s="2" t="s">
        <v>73</v>
      </c>
      <c r="E620" s="2" t="s">
        <v>946</v>
      </c>
      <c r="F620" s="4" t="s">
        <v>947</v>
      </c>
      <c r="G620" s="4" t="s">
        <v>21</v>
      </c>
      <c r="H620" s="4" t="s">
        <v>156</v>
      </c>
      <c r="I620" s="4" t="s">
        <v>157</v>
      </c>
      <c r="J620" s="4" t="s">
        <v>88</v>
      </c>
      <c r="K620" s="4" t="s">
        <v>35</v>
      </c>
      <c r="L620" s="4" t="s">
        <v>89</v>
      </c>
      <c r="M620" s="4" t="s">
        <v>1721</v>
      </c>
      <c r="N620" s="5">
        <v>1436</v>
      </c>
      <c r="O620" s="6">
        <v>5</v>
      </c>
      <c r="P620" s="7">
        <v>0</v>
      </c>
      <c r="Q620" s="5">
        <v>531.87</v>
      </c>
    </row>
    <row r="621" spans="1:17" x14ac:dyDescent="0.3">
      <c r="A621" s="8" t="s">
        <v>1722</v>
      </c>
      <c r="B621" s="9">
        <v>45055</v>
      </c>
      <c r="C621" s="9">
        <v>45058</v>
      </c>
      <c r="D621" s="8" t="s">
        <v>18</v>
      </c>
      <c r="E621" s="8" t="s">
        <v>838</v>
      </c>
      <c r="F621" s="10" t="s">
        <v>839</v>
      </c>
      <c r="G621" s="10" t="s">
        <v>51</v>
      </c>
      <c r="H621" s="10" t="s">
        <v>438</v>
      </c>
      <c r="I621" s="10" t="s">
        <v>157</v>
      </c>
      <c r="J621" s="10" t="s">
        <v>88</v>
      </c>
      <c r="K621" s="10" t="s">
        <v>45</v>
      </c>
      <c r="L621" s="10" t="s">
        <v>117</v>
      </c>
      <c r="M621" s="10" t="s">
        <v>1723</v>
      </c>
      <c r="N621" s="11">
        <v>327.83</v>
      </c>
      <c r="O621" s="12">
        <v>1</v>
      </c>
      <c r="P621" s="13">
        <v>0.4</v>
      </c>
      <c r="Q621" s="11">
        <v>-106.88</v>
      </c>
    </row>
    <row r="622" spans="1:17" x14ac:dyDescent="0.3">
      <c r="A622" s="2" t="s">
        <v>1724</v>
      </c>
      <c r="B622" s="3">
        <v>44246</v>
      </c>
      <c r="C622" s="3">
        <v>44249</v>
      </c>
      <c r="D622" s="2" t="s">
        <v>39</v>
      </c>
      <c r="E622" s="2" t="s">
        <v>205</v>
      </c>
      <c r="F622" s="4" t="s">
        <v>206</v>
      </c>
      <c r="G622" s="4" t="s">
        <v>51</v>
      </c>
      <c r="H622" s="4" t="s">
        <v>207</v>
      </c>
      <c r="I622" s="4" t="s">
        <v>60</v>
      </c>
      <c r="J622" s="4" t="s">
        <v>54</v>
      </c>
      <c r="K622" s="4" t="s">
        <v>45</v>
      </c>
      <c r="L622" s="4" t="s">
        <v>99</v>
      </c>
      <c r="M622" s="4" t="s">
        <v>1168</v>
      </c>
      <c r="N622" s="5">
        <v>138.1</v>
      </c>
      <c r="O622" s="6">
        <v>2</v>
      </c>
      <c r="P622" s="7">
        <v>0</v>
      </c>
      <c r="Q622" s="5">
        <v>44.63</v>
      </c>
    </row>
    <row r="623" spans="1:17" x14ac:dyDescent="0.3">
      <c r="A623" s="8" t="s">
        <v>1725</v>
      </c>
      <c r="B623" s="9">
        <v>44625</v>
      </c>
      <c r="C623" s="9">
        <v>44630</v>
      </c>
      <c r="D623" s="8" t="s">
        <v>29</v>
      </c>
      <c r="E623" s="8" t="s">
        <v>77</v>
      </c>
      <c r="F623" s="10" t="s">
        <v>78</v>
      </c>
      <c r="G623" s="10" t="s">
        <v>21</v>
      </c>
      <c r="H623" s="10" t="s">
        <v>79</v>
      </c>
      <c r="I623" s="10" t="s">
        <v>80</v>
      </c>
      <c r="J623" s="10" t="s">
        <v>54</v>
      </c>
      <c r="K623" s="10" t="s">
        <v>45</v>
      </c>
      <c r="L623" s="10" t="s">
        <v>99</v>
      </c>
      <c r="M623" s="10" t="s">
        <v>1726</v>
      </c>
      <c r="N623" s="11">
        <v>304.70999999999998</v>
      </c>
      <c r="O623" s="12">
        <v>7</v>
      </c>
      <c r="P623" s="13">
        <v>0.4</v>
      </c>
      <c r="Q623" s="11">
        <v>-17.05</v>
      </c>
    </row>
    <row r="624" spans="1:17" x14ac:dyDescent="0.3">
      <c r="A624" s="2" t="s">
        <v>1727</v>
      </c>
      <c r="B624" s="3">
        <v>45065</v>
      </c>
      <c r="C624" s="3">
        <v>45069</v>
      </c>
      <c r="D624" s="2" t="s">
        <v>73</v>
      </c>
      <c r="E624" s="2" t="s">
        <v>265</v>
      </c>
      <c r="F624" s="4" t="s">
        <v>266</v>
      </c>
      <c r="G624" s="4" t="s">
        <v>21</v>
      </c>
      <c r="H624" s="4" t="s">
        <v>171</v>
      </c>
      <c r="I624" s="4" t="s">
        <v>172</v>
      </c>
      <c r="J624" s="4" t="s">
        <v>24</v>
      </c>
      <c r="K624" s="4" t="s">
        <v>35</v>
      </c>
      <c r="L624" s="4" t="s">
        <v>89</v>
      </c>
      <c r="M624" s="4" t="s">
        <v>1728</v>
      </c>
      <c r="N624" s="5">
        <v>1469.72</v>
      </c>
      <c r="O624" s="6">
        <v>6</v>
      </c>
      <c r="P624" s="7">
        <v>0.15</v>
      </c>
      <c r="Q624" s="5">
        <v>433.26</v>
      </c>
    </row>
    <row r="625" spans="1:17" x14ac:dyDescent="0.3">
      <c r="A625" s="8" t="s">
        <v>1729</v>
      </c>
      <c r="B625" s="9">
        <v>45417</v>
      </c>
      <c r="C625" s="9">
        <v>45424</v>
      </c>
      <c r="D625" s="8" t="s">
        <v>29</v>
      </c>
      <c r="E625" s="8" t="s">
        <v>1162</v>
      </c>
      <c r="F625" s="10" t="s">
        <v>1163</v>
      </c>
      <c r="G625" s="10" t="s">
        <v>21</v>
      </c>
      <c r="H625" s="10" t="s">
        <v>386</v>
      </c>
      <c r="I625" s="10" t="s">
        <v>347</v>
      </c>
      <c r="J625" s="10" t="s">
        <v>88</v>
      </c>
      <c r="K625" s="10" t="s">
        <v>35</v>
      </c>
      <c r="L625" s="10" t="s">
        <v>89</v>
      </c>
      <c r="M625" s="10" t="s">
        <v>1730</v>
      </c>
      <c r="N625" s="11">
        <v>288.55</v>
      </c>
      <c r="O625" s="12">
        <v>1</v>
      </c>
      <c r="P625" s="13">
        <v>0</v>
      </c>
      <c r="Q625" s="11">
        <v>78.7</v>
      </c>
    </row>
    <row r="626" spans="1:17" x14ac:dyDescent="0.3">
      <c r="A626" s="2" t="s">
        <v>1731</v>
      </c>
      <c r="B626" s="3">
        <v>45611</v>
      </c>
      <c r="C626" s="3">
        <v>45618</v>
      </c>
      <c r="D626" s="2" t="s">
        <v>29</v>
      </c>
      <c r="E626" s="2" t="s">
        <v>30</v>
      </c>
      <c r="F626" s="4" t="s">
        <v>31</v>
      </c>
      <c r="G626" s="4" t="s">
        <v>21</v>
      </c>
      <c r="H626" s="4" t="s">
        <v>32</v>
      </c>
      <c r="I626" s="4" t="s">
        <v>33</v>
      </c>
      <c r="J626" s="4" t="s">
        <v>34</v>
      </c>
      <c r="K626" s="4" t="s">
        <v>45</v>
      </c>
      <c r="L626" s="4" t="s">
        <v>117</v>
      </c>
      <c r="M626" s="4" t="s">
        <v>1732</v>
      </c>
      <c r="N626" s="5">
        <v>1771.85</v>
      </c>
      <c r="O626" s="6">
        <v>10</v>
      </c>
      <c r="P626" s="7">
        <v>0.5</v>
      </c>
      <c r="Q626" s="5">
        <v>-657.67</v>
      </c>
    </row>
    <row r="627" spans="1:17" x14ac:dyDescent="0.3">
      <c r="A627" s="8" t="s">
        <v>1733</v>
      </c>
      <c r="B627" s="9">
        <v>44914</v>
      </c>
      <c r="C627" s="9">
        <v>44918</v>
      </c>
      <c r="D627" s="8" t="s">
        <v>39</v>
      </c>
      <c r="E627" s="8" t="s">
        <v>415</v>
      </c>
      <c r="F627" s="10" t="s">
        <v>416</v>
      </c>
      <c r="G627" s="10" t="s">
        <v>42</v>
      </c>
      <c r="H627" s="10" t="s">
        <v>417</v>
      </c>
      <c r="I627" s="10" t="s">
        <v>123</v>
      </c>
      <c r="J627" s="10" t="s">
        <v>24</v>
      </c>
      <c r="K627" s="10" t="s">
        <v>45</v>
      </c>
      <c r="L627" s="10" t="s">
        <v>61</v>
      </c>
      <c r="M627" s="10" t="s">
        <v>1734</v>
      </c>
      <c r="N627" s="11">
        <v>381.8</v>
      </c>
      <c r="O627" s="12">
        <v>1</v>
      </c>
      <c r="P627" s="13">
        <v>0</v>
      </c>
      <c r="Q627" s="11">
        <v>53.36</v>
      </c>
    </row>
    <row r="628" spans="1:17" x14ac:dyDescent="0.3">
      <c r="A628" s="2" t="s">
        <v>1735</v>
      </c>
      <c r="B628" s="3">
        <v>45054</v>
      </c>
      <c r="C628" s="3">
        <v>45056</v>
      </c>
      <c r="D628" s="2" t="s">
        <v>18</v>
      </c>
      <c r="E628" s="2" t="s">
        <v>954</v>
      </c>
      <c r="F628" s="4" t="s">
        <v>955</v>
      </c>
      <c r="G628" s="4" t="s">
        <v>51</v>
      </c>
      <c r="H628" s="4" t="s">
        <v>386</v>
      </c>
      <c r="I628" s="4" t="s">
        <v>347</v>
      </c>
      <c r="J628" s="4" t="s">
        <v>88</v>
      </c>
      <c r="K628" s="4" t="s">
        <v>35</v>
      </c>
      <c r="L628" s="4" t="s">
        <v>158</v>
      </c>
      <c r="M628" s="4" t="s">
        <v>1736</v>
      </c>
      <c r="N628" s="5">
        <v>783</v>
      </c>
      <c r="O628" s="6">
        <v>8</v>
      </c>
      <c r="P628" s="7">
        <v>0.1</v>
      </c>
      <c r="Q628" s="5">
        <v>277.08999999999997</v>
      </c>
    </row>
    <row r="629" spans="1:17" x14ac:dyDescent="0.3">
      <c r="A629" s="8" t="s">
        <v>1737</v>
      </c>
      <c r="B629" s="9">
        <v>45044</v>
      </c>
      <c r="C629" s="9">
        <v>45046</v>
      </c>
      <c r="D629" s="8" t="s">
        <v>18</v>
      </c>
      <c r="E629" s="8" t="s">
        <v>1136</v>
      </c>
      <c r="F629" s="10" t="s">
        <v>1137</v>
      </c>
      <c r="G629" s="10" t="s">
        <v>51</v>
      </c>
      <c r="H629" s="10" t="s">
        <v>386</v>
      </c>
      <c r="I629" s="10" t="s">
        <v>347</v>
      </c>
      <c r="J629" s="10" t="s">
        <v>88</v>
      </c>
      <c r="K629" s="10" t="s">
        <v>45</v>
      </c>
      <c r="L629" s="10" t="s">
        <v>46</v>
      </c>
      <c r="M629" s="10" t="s">
        <v>1738</v>
      </c>
      <c r="N629" s="11">
        <v>637.74</v>
      </c>
      <c r="O629" s="12">
        <v>3</v>
      </c>
      <c r="P629" s="13">
        <v>0</v>
      </c>
      <c r="Q629" s="11">
        <v>196.12</v>
      </c>
    </row>
    <row r="630" spans="1:17" x14ac:dyDescent="0.3">
      <c r="A630" s="2" t="s">
        <v>1739</v>
      </c>
      <c r="B630" s="3">
        <v>44970</v>
      </c>
      <c r="C630" s="3">
        <v>44976</v>
      </c>
      <c r="D630" s="2" t="s">
        <v>29</v>
      </c>
      <c r="E630" s="2" t="s">
        <v>1539</v>
      </c>
      <c r="F630" s="4"/>
      <c r="G630" s="4" t="s">
        <v>42</v>
      </c>
      <c r="H630" s="4" t="s">
        <v>324</v>
      </c>
      <c r="I630" s="4" t="s">
        <v>116</v>
      </c>
      <c r="J630" s="4" t="s">
        <v>54</v>
      </c>
      <c r="K630" s="4" t="s">
        <v>45</v>
      </c>
      <c r="L630" s="4" t="s">
        <v>61</v>
      </c>
      <c r="M630" s="4" t="s">
        <v>1740</v>
      </c>
      <c r="N630" s="5">
        <v>736.33</v>
      </c>
      <c r="O630" s="6">
        <v>2</v>
      </c>
      <c r="P630" s="7">
        <v>0.05</v>
      </c>
      <c r="Q630" s="5">
        <v>-13.41</v>
      </c>
    </row>
    <row r="631" spans="1:17" x14ac:dyDescent="0.3">
      <c r="A631" s="8" t="s">
        <v>1741</v>
      </c>
      <c r="B631" s="9">
        <v>45508</v>
      </c>
      <c r="C631" s="9">
        <v>45514</v>
      </c>
      <c r="D631" s="8" t="s">
        <v>29</v>
      </c>
      <c r="E631" s="8" t="s">
        <v>406</v>
      </c>
      <c r="F631" s="10" t="s">
        <v>407</v>
      </c>
      <c r="G631" s="10" t="s">
        <v>42</v>
      </c>
      <c r="H631" s="10" t="s">
        <v>165</v>
      </c>
      <c r="I631" s="10" t="s">
        <v>44</v>
      </c>
      <c r="J631" s="10" t="s">
        <v>24</v>
      </c>
      <c r="K631" s="10" t="s">
        <v>35</v>
      </c>
      <c r="L631" s="10" t="s">
        <v>216</v>
      </c>
      <c r="M631" s="10" t="s">
        <v>1742</v>
      </c>
      <c r="N631" s="11">
        <v>239.69</v>
      </c>
      <c r="O631" s="12">
        <v>9</v>
      </c>
      <c r="P631" s="13">
        <v>0.2</v>
      </c>
      <c r="Q631" s="11">
        <v>95.71</v>
      </c>
    </row>
    <row r="632" spans="1:17" x14ac:dyDescent="0.3">
      <c r="A632" s="2" t="s">
        <v>1743</v>
      </c>
      <c r="B632" s="3">
        <v>44386</v>
      </c>
      <c r="C632" s="3">
        <v>44388</v>
      </c>
      <c r="D632" s="2" t="s">
        <v>18</v>
      </c>
      <c r="E632" s="2" t="s">
        <v>1089</v>
      </c>
      <c r="F632" s="4" t="s">
        <v>1090</v>
      </c>
      <c r="G632" s="4" t="s">
        <v>51</v>
      </c>
      <c r="H632" s="4" t="s">
        <v>1091</v>
      </c>
      <c r="I632" s="4" t="s">
        <v>23</v>
      </c>
      <c r="J632" s="4" t="s">
        <v>24</v>
      </c>
      <c r="K632" s="4" t="s">
        <v>45</v>
      </c>
      <c r="L632" s="4" t="s">
        <v>99</v>
      </c>
      <c r="M632" s="4" t="s">
        <v>1744</v>
      </c>
      <c r="N632" s="5">
        <v>570.1</v>
      </c>
      <c r="O632" s="6">
        <v>10</v>
      </c>
      <c r="P632" s="7">
        <v>0</v>
      </c>
      <c r="Q632" s="5">
        <v>226.91</v>
      </c>
    </row>
    <row r="633" spans="1:17" x14ac:dyDescent="0.3">
      <c r="A633" s="8" t="s">
        <v>1745</v>
      </c>
      <c r="B633" s="9">
        <v>44267</v>
      </c>
      <c r="C633" s="9">
        <v>44271</v>
      </c>
      <c r="D633" s="8" t="s">
        <v>73</v>
      </c>
      <c r="E633" s="8" t="s">
        <v>1078</v>
      </c>
      <c r="F633" s="10" t="s">
        <v>1079</v>
      </c>
      <c r="G633" s="10" t="s">
        <v>42</v>
      </c>
      <c r="H633" s="10" t="s">
        <v>115</v>
      </c>
      <c r="I633" s="10" t="s">
        <v>116</v>
      </c>
      <c r="J633" s="10" t="s">
        <v>54</v>
      </c>
      <c r="K633" s="10" t="s">
        <v>45</v>
      </c>
      <c r="L633" s="10" t="s">
        <v>99</v>
      </c>
      <c r="M633" s="10" t="s">
        <v>1746</v>
      </c>
      <c r="N633" s="11">
        <v>234.96</v>
      </c>
      <c r="O633" s="12">
        <v>6</v>
      </c>
      <c r="P633" s="13">
        <v>0</v>
      </c>
      <c r="Q633" s="11">
        <v>85.84</v>
      </c>
    </row>
    <row r="634" spans="1:17" x14ac:dyDescent="0.3">
      <c r="A634" s="2" t="s">
        <v>1747</v>
      </c>
      <c r="B634" s="3">
        <v>45423</v>
      </c>
      <c r="C634" s="3">
        <v>45422</v>
      </c>
      <c r="D634" s="2" t="s">
        <v>73</v>
      </c>
      <c r="E634" s="2" t="s">
        <v>1708</v>
      </c>
      <c r="F634" s="4" t="s">
        <v>1709</v>
      </c>
      <c r="G634" s="4" t="s">
        <v>51</v>
      </c>
      <c r="H634" s="4" t="s">
        <v>177</v>
      </c>
      <c r="I634" s="4" t="s">
        <v>178</v>
      </c>
      <c r="J634" s="4" t="s">
        <v>24</v>
      </c>
      <c r="K634" s="4" t="s">
        <v>25</v>
      </c>
      <c r="L634" s="4" t="s">
        <v>124</v>
      </c>
      <c r="M634" s="4" t="s">
        <v>1748</v>
      </c>
      <c r="N634" s="5">
        <v>9707.8799999999992</v>
      </c>
      <c r="O634" s="6">
        <v>6</v>
      </c>
      <c r="P634" s="7">
        <v>0.3</v>
      </c>
      <c r="Q634" s="5">
        <v>-194.88</v>
      </c>
    </row>
    <row r="635" spans="1:17" x14ac:dyDescent="0.3">
      <c r="A635" s="8" t="s">
        <v>1749</v>
      </c>
      <c r="B635" s="9">
        <v>45102</v>
      </c>
      <c r="C635" s="9">
        <v>45105</v>
      </c>
      <c r="D635" s="8" t="s">
        <v>73</v>
      </c>
      <c r="E635" s="8" t="s">
        <v>277</v>
      </c>
      <c r="F635" s="10" t="s">
        <v>278</v>
      </c>
      <c r="G635" s="10" t="s">
        <v>21</v>
      </c>
      <c r="H635" s="10" t="s">
        <v>104</v>
      </c>
      <c r="I635" s="10" t="s">
        <v>105</v>
      </c>
      <c r="J635" s="10" t="s">
        <v>88</v>
      </c>
      <c r="K635" s="10" t="s">
        <v>45</v>
      </c>
      <c r="L635" s="10" t="s">
        <v>61</v>
      </c>
      <c r="M635" s="10" t="s">
        <v>1750</v>
      </c>
      <c r="N635" s="11">
        <v>2205.79</v>
      </c>
      <c r="O635" s="12">
        <v>8</v>
      </c>
      <c r="P635" s="13">
        <v>0.1</v>
      </c>
      <c r="Q635" s="11">
        <v>-103.19</v>
      </c>
    </row>
    <row r="636" spans="1:17" x14ac:dyDescent="0.3">
      <c r="A636" s="2" t="s">
        <v>1751</v>
      </c>
      <c r="B636" s="3">
        <v>44227</v>
      </c>
      <c r="C636" s="3">
        <v>44231</v>
      </c>
      <c r="D636" s="2" t="s">
        <v>73</v>
      </c>
      <c r="E636" s="2" t="s">
        <v>1219</v>
      </c>
      <c r="F636" s="4" t="s">
        <v>1220</v>
      </c>
      <c r="G636" s="4" t="s">
        <v>21</v>
      </c>
      <c r="H636" s="4" t="s">
        <v>438</v>
      </c>
      <c r="I636" s="4" t="s">
        <v>157</v>
      </c>
      <c r="J636" s="4" t="s">
        <v>88</v>
      </c>
      <c r="K636" s="4" t="s">
        <v>25</v>
      </c>
      <c r="L636" s="4" t="s">
        <v>68</v>
      </c>
      <c r="M636" s="4" t="s">
        <v>1752</v>
      </c>
      <c r="N636" s="5">
        <v>1344.14</v>
      </c>
      <c r="O636" s="6">
        <v>10</v>
      </c>
      <c r="P636" s="7">
        <v>0.3</v>
      </c>
      <c r="Q636" s="5">
        <v>315.70999999999998</v>
      </c>
    </row>
    <row r="637" spans="1:17" x14ac:dyDescent="0.3">
      <c r="A637" s="8" t="s">
        <v>1753</v>
      </c>
      <c r="B637" s="9">
        <v>45654</v>
      </c>
      <c r="C637" s="9">
        <v>45658</v>
      </c>
      <c r="D637" s="8" t="s">
        <v>73</v>
      </c>
      <c r="E637" s="8" t="s">
        <v>236</v>
      </c>
      <c r="F637" s="10" t="s">
        <v>237</v>
      </c>
      <c r="G637" s="10" t="s">
        <v>51</v>
      </c>
      <c r="H637" s="10" t="s">
        <v>22</v>
      </c>
      <c r="I637" s="10" t="s">
        <v>23</v>
      </c>
      <c r="J637" s="10" t="s">
        <v>24</v>
      </c>
      <c r="K637" s="10" t="s">
        <v>35</v>
      </c>
      <c r="L637" s="10" t="s">
        <v>216</v>
      </c>
      <c r="M637" s="10" t="s">
        <v>1754</v>
      </c>
      <c r="N637" s="11">
        <v>154.58000000000001</v>
      </c>
      <c r="O637" s="12">
        <v>5</v>
      </c>
      <c r="P637" s="13">
        <v>0.1</v>
      </c>
      <c r="Q637" s="11">
        <v>50.46</v>
      </c>
    </row>
    <row r="638" spans="1:17" x14ac:dyDescent="0.3">
      <c r="A638" s="2" t="s">
        <v>1755</v>
      </c>
      <c r="B638" s="3">
        <v>44946</v>
      </c>
      <c r="C638" s="3">
        <v>44952</v>
      </c>
      <c r="D638" s="2" t="s">
        <v>29</v>
      </c>
      <c r="E638" s="2" t="s">
        <v>240</v>
      </c>
      <c r="F638" s="4" t="s">
        <v>241</v>
      </c>
      <c r="G638" s="4" t="s">
        <v>42</v>
      </c>
      <c r="H638" s="4" t="s">
        <v>115</v>
      </c>
      <c r="I638" s="4" t="s">
        <v>116</v>
      </c>
      <c r="J638" s="4" t="s">
        <v>54</v>
      </c>
      <c r="K638" s="4" t="s">
        <v>45</v>
      </c>
      <c r="L638" s="4" t="s">
        <v>61</v>
      </c>
      <c r="M638" s="4" t="s">
        <v>1756</v>
      </c>
      <c r="N638" s="5">
        <v>880.39</v>
      </c>
      <c r="O638" s="6">
        <v>5</v>
      </c>
      <c r="P638" s="7">
        <v>0.15</v>
      </c>
      <c r="Q638" s="5">
        <v>-95.51</v>
      </c>
    </row>
    <row r="639" spans="1:17" x14ac:dyDescent="0.3">
      <c r="A639" s="8" t="s">
        <v>1757</v>
      </c>
      <c r="B639" s="9">
        <v>44294</v>
      </c>
      <c r="C639" s="9">
        <v>44298</v>
      </c>
      <c r="D639" s="8" t="s">
        <v>39</v>
      </c>
      <c r="E639" s="8" t="s">
        <v>102</v>
      </c>
      <c r="F639" s="10" t="s">
        <v>103</v>
      </c>
      <c r="G639" s="10" t="s">
        <v>42</v>
      </c>
      <c r="H639" s="10" t="s">
        <v>104</v>
      </c>
      <c r="I639" s="10" t="s">
        <v>105</v>
      </c>
      <c r="J639" s="10" t="s">
        <v>88</v>
      </c>
      <c r="K639" s="10" t="s">
        <v>25</v>
      </c>
      <c r="L639" s="10" t="s">
        <v>68</v>
      </c>
      <c r="M639" s="10" t="s">
        <v>1758</v>
      </c>
      <c r="N639" s="11">
        <v>1450.68</v>
      </c>
      <c r="O639" s="12">
        <v>9</v>
      </c>
      <c r="P639" s="13">
        <v>0.05</v>
      </c>
      <c r="Q639" s="11">
        <v>586.41999999999996</v>
      </c>
    </row>
    <row r="640" spans="1:17" x14ac:dyDescent="0.3">
      <c r="A640" s="2" t="s">
        <v>1759</v>
      </c>
      <c r="B640" s="3">
        <v>44496</v>
      </c>
      <c r="C640" s="3">
        <v>44502</v>
      </c>
      <c r="D640" s="2" t="s">
        <v>29</v>
      </c>
      <c r="E640" s="2" t="s">
        <v>797</v>
      </c>
      <c r="F640" s="4" t="s">
        <v>798</v>
      </c>
      <c r="G640" s="4" t="s">
        <v>51</v>
      </c>
      <c r="H640" s="4" t="s">
        <v>59</v>
      </c>
      <c r="I640" s="4" t="s">
        <v>60</v>
      </c>
      <c r="J640" s="4" t="s">
        <v>54</v>
      </c>
      <c r="K640" s="4" t="s">
        <v>35</v>
      </c>
      <c r="L640" s="4" t="s">
        <v>89</v>
      </c>
      <c r="M640" s="4" t="s">
        <v>1760</v>
      </c>
      <c r="N640" s="5">
        <v>2395.36</v>
      </c>
      <c r="O640" s="6">
        <v>8</v>
      </c>
      <c r="P640" s="7">
        <v>0</v>
      </c>
      <c r="Q640" s="5">
        <v>903.43</v>
      </c>
    </row>
    <row r="641" spans="1:17" x14ac:dyDescent="0.3">
      <c r="A641" s="8" t="s">
        <v>1761</v>
      </c>
      <c r="B641" s="9">
        <v>44503</v>
      </c>
      <c r="C641" s="9">
        <v>44504</v>
      </c>
      <c r="D641" s="8" t="s">
        <v>18</v>
      </c>
      <c r="E641" s="8" t="s">
        <v>265</v>
      </c>
      <c r="F641" s="10" t="s">
        <v>266</v>
      </c>
      <c r="G641" s="10" t="s">
        <v>21</v>
      </c>
      <c r="H641" s="10" t="s">
        <v>171</v>
      </c>
      <c r="I641" s="10" t="s">
        <v>172</v>
      </c>
      <c r="J641" s="10" t="s">
        <v>24</v>
      </c>
      <c r="K641" s="10" t="s">
        <v>25</v>
      </c>
      <c r="L641" s="10" t="s">
        <v>74</v>
      </c>
      <c r="M641" s="10" t="s">
        <v>1762</v>
      </c>
      <c r="N641" s="11">
        <v>2757.44</v>
      </c>
      <c r="O641" s="12">
        <v>4</v>
      </c>
      <c r="P641" s="13">
        <v>0</v>
      </c>
      <c r="Q641" s="11">
        <v>915.45</v>
      </c>
    </row>
    <row r="642" spans="1:17" x14ac:dyDescent="0.3">
      <c r="A642" s="2" t="s">
        <v>1763</v>
      </c>
      <c r="B642" s="3">
        <v>44338</v>
      </c>
      <c r="C642" s="3">
        <v>44339</v>
      </c>
      <c r="D642" s="2" t="s">
        <v>18</v>
      </c>
      <c r="E642" s="2" t="s">
        <v>370</v>
      </c>
      <c r="F642" s="4" t="s">
        <v>371</v>
      </c>
      <c r="G642" s="4" t="s">
        <v>51</v>
      </c>
      <c r="H642" s="4" t="s">
        <v>372</v>
      </c>
      <c r="I642" s="4" t="s">
        <v>373</v>
      </c>
      <c r="J642" s="4" t="s">
        <v>34</v>
      </c>
      <c r="K642" s="4" t="s">
        <v>35</v>
      </c>
      <c r="L642" s="4" t="s">
        <v>110</v>
      </c>
      <c r="M642" s="4" t="s">
        <v>1764</v>
      </c>
      <c r="N642" s="5">
        <v>257.49</v>
      </c>
      <c r="O642" s="6">
        <v>9</v>
      </c>
      <c r="P642" s="7">
        <v>0</v>
      </c>
      <c r="Q642" s="5">
        <v>97.97</v>
      </c>
    </row>
    <row r="643" spans="1:17" x14ac:dyDescent="0.3">
      <c r="A643" s="8" t="s">
        <v>1765</v>
      </c>
      <c r="B643" s="9">
        <v>44456</v>
      </c>
      <c r="C643" s="9">
        <v>44459</v>
      </c>
      <c r="D643" s="8" t="s">
        <v>39</v>
      </c>
      <c r="E643" s="8" t="s">
        <v>445</v>
      </c>
      <c r="F643" s="10" t="s">
        <v>446</v>
      </c>
      <c r="G643" s="10" t="s">
        <v>51</v>
      </c>
      <c r="H643" s="10" t="s">
        <v>183</v>
      </c>
      <c r="I643" s="10" t="s">
        <v>184</v>
      </c>
      <c r="J643" s="10"/>
      <c r="K643" s="10" t="s">
        <v>45</v>
      </c>
      <c r="L643" s="10" t="s">
        <v>46</v>
      </c>
      <c r="M643" s="10" t="s">
        <v>1766</v>
      </c>
      <c r="N643" s="11">
        <v>1263.32</v>
      </c>
      <c r="O643" s="12">
        <v>4</v>
      </c>
      <c r="P643" s="13">
        <v>0</v>
      </c>
      <c r="Q643" s="11">
        <v>396.13</v>
      </c>
    </row>
    <row r="644" spans="1:17" x14ac:dyDescent="0.3">
      <c r="A644" s="2" t="s">
        <v>1767</v>
      </c>
      <c r="B644" s="3">
        <v>45522</v>
      </c>
      <c r="C644" s="3">
        <v>45524</v>
      </c>
      <c r="D644" s="2" t="s">
        <v>39</v>
      </c>
      <c r="E644" s="2" t="s">
        <v>40</v>
      </c>
      <c r="F644" s="4" t="s">
        <v>41</v>
      </c>
      <c r="G644" s="4" t="s">
        <v>42</v>
      </c>
      <c r="H644" s="4" t="s">
        <v>43</v>
      </c>
      <c r="I644" s="4" t="s">
        <v>44</v>
      </c>
      <c r="J644" s="4" t="s">
        <v>24</v>
      </c>
      <c r="K644" s="4" t="s">
        <v>35</v>
      </c>
      <c r="L644" s="4" t="s">
        <v>295</v>
      </c>
      <c r="M644" s="4" t="s">
        <v>1768</v>
      </c>
      <c r="N644" s="5">
        <v>630.79999999999995</v>
      </c>
      <c r="O644" s="6">
        <v>10</v>
      </c>
      <c r="P644" s="7">
        <v>0</v>
      </c>
      <c r="Q644" s="5">
        <v>286.20999999999998</v>
      </c>
    </row>
    <row r="645" spans="1:17" x14ac:dyDescent="0.3">
      <c r="A645" s="8" t="s">
        <v>1769</v>
      </c>
      <c r="B645" s="9">
        <v>45445</v>
      </c>
      <c r="C645" s="9">
        <v>45449</v>
      </c>
      <c r="D645" s="8" t="s">
        <v>73</v>
      </c>
      <c r="E645" s="8" t="s">
        <v>768</v>
      </c>
      <c r="F645" s="10" t="s">
        <v>769</v>
      </c>
      <c r="G645" s="10" t="s">
        <v>51</v>
      </c>
      <c r="H645" s="10" t="s">
        <v>183</v>
      </c>
      <c r="I645" s="10" t="s">
        <v>184</v>
      </c>
      <c r="J645" s="10" t="s">
        <v>54</v>
      </c>
      <c r="K645" s="10" t="s">
        <v>45</v>
      </c>
      <c r="L645" s="10" t="s">
        <v>117</v>
      </c>
      <c r="M645" s="10" t="s">
        <v>1770</v>
      </c>
      <c r="N645" s="11">
        <v>400.57</v>
      </c>
      <c r="O645" s="12">
        <v>8</v>
      </c>
      <c r="P645" s="13">
        <v>0.3</v>
      </c>
      <c r="Q645" s="11">
        <v>-13.65</v>
      </c>
    </row>
    <row r="646" spans="1:17" x14ac:dyDescent="0.3">
      <c r="A646" s="2" t="s">
        <v>1771</v>
      </c>
      <c r="B646" s="3">
        <v>44229</v>
      </c>
      <c r="C646" s="3">
        <v>44236</v>
      </c>
      <c r="D646" s="2" t="s">
        <v>29</v>
      </c>
      <c r="E646" s="2" t="s">
        <v>1015</v>
      </c>
      <c r="F646" s="4" t="s">
        <v>1016</v>
      </c>
      <c r="G646" s="4" t="s">
        <v>42</v>
      </c>
      <c r="H646" s="4" t="s">
        <v>134</v>
      </c>
      <c r="I646" s="4" t="s">
        <v>87</v>
      </c>
      <c r="J646" s="4" t="s">
        <v>88</v>
      </c>
      <c r="K646" s="4" t="s">
        <v>45</v>
      </c>
      <c r="L646" s="4" t="s">
        <v>99</v>
      </c>
      <c r="M646" s="4" t="s">
        <v>1772</v>
      </c>
      <c r="N646" s="5">
        <v>258.3</v>
      </c>
      <c r="O646" s="6">
        <v>5</v>
      </c>
      <c r="P646" s="7">
        <v>0</v>
      </c>
      <c r="Q646" s="5">
        <v>92.74</v>
      </c>
    </row>
    <row r="647" spans="1:17" x14ac:dyDescent="0.3">
      <c r="A647" s="8" t="s">
        <v>1773</v>
      </c>
      <c r="B647" s="9">
        <v>44813</v>
      </c>
      <c r="C647" s="9">
        <v>44814</v>
      </c>
      <c r="D647" s="8" t="s">
        <v>18</v>
      </c>
      <c r="E647" s="8" t="s">
        <v>1582</v>
      </c>
      <c r="F647" s="10" t="s">
        <v>1583</v>
      </c>
      <c r="G647" s="10" t="s">
        <v>21</v>
      </c>
      <c r="H647" s="10" t="s">
        <v>52</v>
      </c>
      <c r="I647" s="10" t="s">
        <v>53</v>
      </c>
      <c r="J647" s="10" t="s">
        <v>54</v>
      </c>
      <c r="K647" s="10" t="s">
        <v>25</v>
      </c>
      <c r="L647" s="10" t="s">
        <v>124</v>
      </c>
      <c r="M647" s="10" t="s">
        <v>1774</v>
      </c>
      <c r="N647" s="11">
        <v>11356.97</v>
      </c>
      <c r="O647" s="12">
        <v>-7</v>
      </c>
      <c r="P647" s="13">
        <v>0.4</v>
      </c>
      <c r="Q647" s="11">
        <v>-1903.17</v>
      </c>
    </row>
    <row r="648" spans="1:17" x14ac:dyDescent="0.3">
      <c r="A648" s="2" t="s">
        <v>1775</v>
      </c>
      <c r="B648" s="3">
        <v>45545</v>
      </c>
      <c r="C648" s="3">
        <v>45550</v>
      </c>
      <c r="D648" s="2" t="s">
        <v>73</v>
      </c>
      <c r="E648" s="2" t="s">
        <v>1578</v>
      </c>
      <c r="F648" s="4" t="s">
        <v>1579</v>
      </c>
      <c r="G648" s="4" t="s">
        <v>51</v>
      </c>
      <c r="H648" s="4" t="s">
        <v>207</v>
      </c>
      <c r="I648" s="4" t="s">
        <v>60</v>
      </c>
      <c r="J648" s="4" t="s">
        <v>54</v>
      </c>
      <c r="K648" s="4" t="s">
        <v>45</v>
      </c>
      <c r="L648" s="4" t="s">
        <v>61</v>
      </c>
      <c r="M648" s="4" t="s">
        <v>1776</v>
      </c>
      <c r="N648" s="5">
        <v>1723.63</v>
      </c>
      <c r="O648" s="6">
        <v>3</v>
      </c>
      <c r="P648" s="7">
        <v>0.1</v>
      </c>
      <c r="Q648" s="5">
        <v>79.05</v>
      </c>
    </row>
    <row r="649" spans="1:17" x14ac:dyDescent="0.3">
      <c r="A649" s="8" t="s">
        <v>1777</v>
      </c>
      <c r="B649" s="9">
        <v>45627</v>
      </c>
      <c r="C649" s="9">
        <v>45629</v>
      </c>
      <c r="D649" s="8" t="s">
        <v>18</v>
      </c>
      <c r="E649" s="8" t="s">
        <v>132</v>
      </c>
      <c r="F649" s="10" t="s">
        <v>133</v>
      </c>
      <c r="G649" s="10" t="s">
        <v>21</v>
      </c>
      <c r="H649" s="10" t="s">
        <v>134</v>
      </c>
      <c r="I649" s="10" t="s">
        <v>87</v>
      </c>
      <c r="J649" s="10" t="s">
        <v>88</v>
      </c>
      <c r="K649" s="10" t="s">
        <v>35</v>
      </c>
      <c r="L649" s="10" t="s">
        <v>295</v>
      </c>
      <c r="M649" s="10" t="s">
        <v>1778</v>
      </c>
      <c r="N649" s="11">
        <v>146.01</v>
      </c>
      <c r="O649" s="12">
        <v>3</v>
      </c>
      <c r="P649" s="13">
        <v>0.3</v>
      </c>
      <c r="Q649" s="11">
        <v>25.81</v>
      </c>
    </row>
    <row r="650" spans="1:17" x14ac:dyDescent="0.3">
      <c r="A650" s="2" t="s">
        <v>1779</v>
      </c>
      <c r="B650" s="3">
        <v>44775</v>
      </c>
      <c r="C650" s="3">
        <v>44777</v>
      </c>
      <c r="D650" s="2" t="s">
        <v>39</v>
      </c>
      <c r="E650" s="2" t="s">
        <v>1448</v>
      </c>
      <c r="F650" s="4" t="s">
        <v>1449</v>
      </c>
      <c r="G650" s="4" t="s">
        <v>21</v>
      </c>
      <c r="H650" s="4" t="s">
        <v>122</v>
      </c>
      <c r="I650" s="4" t="s">
        <v>123</v>
      </c>
      <c r="J650" s="4" t="s">
        <v>24</v>
      </c>
      <c r="K650" s="4" t="s">
        <v>25</v>
      </c>
      <c r="L650" s="4" t="s">
        <v>68</v>
      </c>
      <c r="M650" s="4" t="s">
        <v>1780</v>
      </c>
      <c r="N650" s="5">
        <v>310.8</v>
      </c>
      <c r="O650" s="6">
        <v>10</v>
      </c>
      <c r="P650" s="7">
        <v>0</v>
      </c>
      <c r="Q650" s="5">
        <v>143.86000000000001</v>
      </c>
    </row>
    <row r="651" spans="1:17" x14ac:dyDescent="0.3">
      <c r="A651" s="8" t="s">
        <v>1781</v>
      </c>
      <c r="B651" s="9">
        <v>45544</v>
      </c>
      <c r="C651" s="9">
        <v>45548</v>
      </c>
      <c r="D651" s="8" t="s">
        <v>39</v>
      </c>
      <c r="E651" s="8" t="s">
        <v>566</v>
      </c>
      <c r="F651" s="10" t="s">
        <v>567</v>
      </c>
      <c r="G651" s="10" t="s">
        <v>21</v>
      </c>
      <c r="H651" s="10" t="s">
        <v>156</v>
      </c>
      <c r="I651" s="10" t="s">
        <v>157</v>
      </c>
      <c r="J651" s="10" t="s">
        <v>88</v>
      </c>
      <c r="K651" s="10" t="s">
        <v>25</v>
      </c>
      <c r="L651" s="10" t="s">
        <v>26</v>
      </c>
      <c r="M651" s="10" t="s">
        <v>1782</v>
      </c>
      <c r="N651" s="11">
        <v>482.08</v>
      </c>
      <c r="O651" s="12">
        <v>4</v>
      </c>
      <c r="P651" s="13">
        <v>0.3</v>
      </c>
      <c r="Q651" s="11">
        <v>-38.020000000000003</v>
      </c>
    </row>
    <row r="652" spans="1:17" x14ac:dyDescent="0.3">
      <c r="A652" s="2" t="s">
        <v>1783</v>
      </c>
      <c r="B652" s="3">
        <v>44289</v>
      </c>
      <c r="C652" s="3">
        <v>44296</v>
      </c>
      <c r="D652" s="2" t="s">
        <v>29</v>
      </c>
      <c r="E652" s="2" t="s">
        <v>376</v>
      </c>
      <c r="F652" s="4" t="s">
        <v>377</v>
      </c>
      <c r="G652" s="4" t="s">
        <v>42</v>
      </c>
      <c r="H652" s="4" t="s">
        <v>122</v>
      </c>
      <c r="I652" s="4" t="s">
        <v>123</v>
      </c>
      <c r="J652" s="4" t="s">
        <v>24</v>
      </c>
      <c r="K652" s="4" t="s">
        <v>35</v>
      </c>
      <c r="L652" s="4" t="s">
        <v>89</v>
      </c>
      <c r="M652" s="4" t="s">
        <v>1784</v>
      </c>
      <c r="N652" s="5">
        <v>1377.12</v>
      </c>
      <c r="O652" s="6">
        <v>8</v>
      </c>
      <c r="P652" s="7">
        <v>0.05</v>
      </c>
      <c r="Q652" s="5">
        <v>441.24</v>
      </c>
    </row>
    <row r="653" spans="1:17" x14ac:dyDescent="0.3">
      <c r="A653" s="8" t="s">
        <v>1785</v>
      </c>
      <c r="B653" s="9">
        <v>44455</v>
      </c>
      <c r="C653" s="9">
        <v>44457</v>
      </c>
      <c r="D653" s="8" t="s">
        <v>39</v>
      </c>
      <c r="E653" s="8" t="s">
        <v>827</v>
      </c>
      <c r="F653" s="10" t="s">
        <v>828</v>
      </c>
      <c r="G653" s="10" t="s">
        <v>51</v>
      </c>
      <c r="H653" s="10" t="s">
        <v>319</v>
      </c>
      <c r="I653" s="10" t="s">
        <v>194</v>
      </c>
      <c r="J653" s="10" t="s">
        <v>34</v>
      </c>
      <c r="K653" s="10" t="s">
        <v>45</v>
      </c>
      <c r="L653" s="10" t="s">
        <v>99</v>
      </c>
      <c r="M653" s="10" t="s">
        <v>1780</v>
      </c>
      <c r="N653" s="11">
        <v>198.98</v>
      </c>
      <c r="O653" s="12">
        <v>9</v>
      </c>
      <c r="P653" s="13">
        <v>0.15</v>
      </c>
      <c r="Q653" s="11">
        <v>43.92</v>
      </c>
    </row>
    <row r="654" spans="1:17" x14ac:dyDescent="0.3">
      <c r="A654" s="2" t="s">
        <v>1786</v>
      </c>
      <c r="B654" s="3">
        <v>44407</v>
      </c>
      <c r="C654" s="3">
        <v>44409</v>
      </c>
      <c r="D654" s="2" t="s">
        <v>39</v>
      </c>
      <c r="E654" s="2" t="s">
        <v>905</v>
      </c>
      <c r="F654" s="4" t="s">
        <v>906</v>
      </c>
      <c r="G654" s="4" t="s">
        <v>51</v>
      </c>
      <c r="H654" s="4" t="s">
        <v>352</v>
      </c>
      <c r="I654" s="4" t="s">
        <v>306</v>
      </c>
      <c r="J654" s="4" t="s">
        <v>34</v>
      </c>
      <c r="K654" s="4" t="s">
        <v>45</v>
      </c>
      <c r="L654" s="4" t="s">
        <v>99</v>
      </c>
      <c r="M654" s="4" t="s">
        <v>1787</v>
      </c>
      <c r="N654" s="5">
        <v>258.44</v>
      </c>
      <c r="O654" s="6">
        <v>2</v>
      </c>
      <c r="P654" s="7">
        <v>0</v>
      </c>
      <c r="Q654" s="5">
        <v>69.27</v>
      </c>
    </row>
    <row r="655" spans="1:17" x14ac:dyDescent="0.3">
      <c r="A655" s="8" t="s">
        <v>1788</v>
      </c>
      <c r="B655" s="9">
        <v>44985</v>
      </c>
      <c r="C655" s="9">
        <v>44988</v>
      </c>
      <c r="D655" s="8" t="s">
        <v>39</v>
      </c>
      <c r="E655" s="8" t="s">
        <v>313</v>
      </c>
      <c r="F655" s="10" t="s">
        <v>314</v>
      </c>
      <c r="G655" s="10" t="s">
        <v>42</v>
      </c>
      <c r="H655" s="10" t="s">
        <v>193</v>
      </c>
      <c r="I655" s="10" t="s">
        <v>194</v>
      </c>
      <c r="J655" s="10" t="s">
        <v>34</v>
      </c>
      <c r="K655" s="10" t="s">
        <v>35</v>
      </c>
      <c r="L655" s="10" t="s">
        <v>166</v>
      </c>
      <c r="M655" s="10" t="s">
        <v>1789</v>
      </c>
      <c r="N655" s="11">
        <v>149.69</v>
      </c>
      <c r="O655" s="12">
        <v>2</v>
      </c>
      <c r="P655" s="13">
        <v>0.15</v>
      </c>
      <c r="Q655" s="11">
        <v>26.6</v>
      </c>
    </row>
    <row r="656" spans="1:17" x14ac:dyDescent="0.3">
      <c r="A656" s="2" t="s">
        <v>1790</v>
      </c>
      <c r="B656" s="3">
        <v>44553</v>
      </c>
      <c r="C656" s="3">
        <v>44555</v>
      </c>
      <c r="D656" s="2" t="s">
        <v>18</v>
      </c>
      <c r="E656" s="2" t="s">
        <v>102</v>
      </c>
      <c r="F656" s="4" t="s">
        <v>103</v>
      </c>
      <c r="G656" s="4" t="s">
        <v>42</v>
      </c>
      <c r="H656" s="4" t="s">
        <v>104</v>
      </c>
      <c r="I656" s="4" t="s">
        <v>105</v>
      </c>
      <c r="J656" s="4" t="s">
        <v>88</v>
      </c>
      <c r="K656" s="4" t="s">
        <v>25</v>
      </c>
      <c r="L656" s="4" t="s">
        <v>74</v>
      </c>
      <c r="M656" s="4" t="s">
        <v>1791</v>
      </c>
      <c r="N656" s="5">
        <v>1061.04</v>
      </c>
      <c r="O656" s="6">
        <v>4</v>
      </c>
      <c r="P656" s="7">
        <v>0.05</v>
      </c>
      <c r="Q656" s="5">
        <v>439.08</v>
      </c>
    </row>
    <row r="657" spans="1:17" x14ac:dyDescent="0.3">
      <c r="A657" s="8" t="s">
        <v>1792</v>
      </c>
      <c r="B657" s="9">
        <v>44520</v>
      </c>
      <c r="C657" s="9">
        <v>44525</v>
      </c>
      <c r="D657" s="8" t="s">
        <v>73</v>
      </c>
      <c r="E657" s="8" t="s">
        <v>1270</v>
      </c>
      <c r="F657" s="10" t="s">
        <v>1271</v>
      </c>
      <c r="G657" s="10" t="s">
        <v>51</v>
      </c>
      <c r="H657" s="10" t="s">
        <v>412</v>
      </c>
      <c r="I657" s="10" t="s">
        <v>178</v>
      </c>
      <c r="J657" s="10" t="s">
        <v>24</v>
      </c>
      <c r="K657" s="10" t="s">
        <v>35</v>
      </c>
      <c r="L657" s="10" t="s">
        <v>81</v>
      </c>
      <c r="M657" s="10" t="s">
        <v>1793</v>
      </c>
      <c r="N657" s="11">
        <v>58.77</v>
      </c>
      <c r="O657" s="12">
        <v>6</v>
      </c>
      <c r="P657" s="13">
        <v>0.5</v>
      </c>
      <c r="Q657" s="11">
        <v>7.86</v>
      </c>
    </row>
    <row r="658" spans="1:17" x14ac:dyDescent="0.3">
      <c r="A658" s="2" t="s">
        <v>1794</v>
      </c>
      <c r="B658" s="3">
        <v>45131</v>
      </c>
      <c r="C658" s="3">
        <v>45137</v>
      </c>
      <c r="D658" s="2" t="s">
        <v>29</v>
      </c>
      <c r="E658" s="2" t="s">
        <v>148</v>
      </c>
      <c r="F658" s="4" t="s">
        <v>149</v>
      </c>
      <c r="G658" s="4" t="s">
        <v>42</v>
      </c>
      <c r="H658" s="4" t="s">
        <v>150</v>
      </c>
      <c r="I658" s="4" t="s">
        <v>151</v>
      </c>
      <c r="J658" s="4" t="s">
        <v>34</v>
      </c>
      <c r="K658" s="4" t="s">
        <v>45</v>
      </c>
      <c r="L658" s="4" t="s">
        <v>46</v>
      </c>
      <c r="M658" s="4" t="s">
        <v>1795</v>
      </c>
      <c r="N658" s="5">
        <v>820.36</v>
      </c>
      <c r="O658" s="6">
        <v>4</v>
      </c>
      <c r="P658" s="7">
        <v>0</v>
      </c>
      <c r="Q658" s="5">
        <v>320.01</v>
      </c>
    </row>
    <row r="659" spans="1:17" x14ac:dyDescent="0.3">
      <c r="A659" s="8" t="s">
        <v>1796</v>
      </c>
      <c r="B659" s="9">
        <v>44210</v>
      </c>
      <c r="C659" s="9">
        <v>44215</v>
      </c>
      <c r="D659" s="8" t="s">
        <v>73</v>
      </c>
      <c r="E659" s="8" t="s">
        <v>265</v>
      </c>
      <c r="F659" s="10" t="s">
        <v>266</v>
      </c>
      <c r="G659" s="10" t="s">
        <v>21</v>
      </c>
      <c r="H659" s="10" t="s">
        <v>171</v>
      </c>
      <c r="I659" s="10" t="s">
        <v>172</v>
      </c>
      <c r="J659" s="10" t="s">
        <v>833</v>
      </c>
      <c r="K659" s="10" t="s">
        <v>45</v>
      </c>
      <c r="L659" s="10" t="s">
        <v>61</v>
      </c>
      <c r="M659" s="10" t="s">
        <v>1797</v>
      </c>
      <c r="N659" s="11">
        <v>3703.92</v>
      </c>
      <c r="O659" s="12">
        <v>8</v>
      </c>
      <c r="P659" s="13">
        <v>0</v>
      </c>
      <c r="Q659" s="11">
        <v>310.41000000000003</v>
      </c>
    </row>
    <row r="660" spans="1:17" x14ac:dyDescent="0.3">
      <c r="A660" s="2" t="s">
        <v>1798</v>
      </c>
      <c r="B660" s="3">
        <v>45275</v>
      </c>
      <c r="C660" s="3">
        <v>45278</v>
      </c>
      <c r="D660" s="2" t="s">
        <v>39</v>
      </c>
      <c r="E660" s="2" t="s">
        <v>380</v>
      </c>
      <c r="F660" s="4" t="s">
        <v>381</v>
      </c>
      <c r="G660" s="4" t="s">
        <v>51</v>
      </c>
      <c r="H660" s="4" t="s">
        <v>156</v>
      </c>
      <c r="I660" s="4" t="s">
        <v>157</v>
      </c>
      <c r="J660" s="4" t="s">
        <v>88</v>
      </c>
      <c r="K660" s="4" t="s">
        <v>35</v>
      </c>
      <c r="L660" s="4" t="s">
        <v>110</v>
      </c>
      <c r="M660" s="4" t="s">
        <v>1799</v>
      </c>
      <c r="N660" s="5">
        <v>50.4</v>
      </c>
      <c r="O660" s="6">
        <v>8</v>
      </c>
      <c r="P660" s="7">
        <v>0</v>
      </c>
      <c r="Q660" s="5">
        <v>25.57</v>
      </c>
    </row>
    <row r="661" spans="1:17" x14ac:dyDescent="0.3">
      <c r="A661" s="8" t="s">
        <v>1800</v>
      </c>
      <c r="B661" s="9">
        <v>44387</v>
      </c>
      <c r="C661" s="9">
        <v>44390</v>
      </c>
      <c r="D661" s="8" t="s">
        <v>18</v>
      </c>
      <c r="E661" s="8" t="s">
        <v>1064</v>
      </c>
      <c r="F661" s="10" t="s">
        <v>1065</v>
      </c>
      <c r="G661" s="10" t="s">
        <v>51</v>
      </c>
      <c r="H661" s="10" t="s">
        <v>122</v>
      </c>
      <c r="I661" s="10" t="s">
        <v>123</v>
      </c>
      <c r="J661" s="10" t="s">
        <v>24</v>
      </c>
      <c r="K661" s="10" t="s">
        <v>25</v>
      </c>
      <c r="L661" s="10" t="s">
        <v>68</v>
      </c>
      <c r="M661" s="10" t="s">
        <v>1801</v>
      </c>
      <c r="N661" s="11">
        <v>954.56</v>
      </c>
      <c r="O661" s="12">
        <v>9</v>
      </c>
      <c r="P661" s="13">
        <v>0.4</v>
      </c>
      <c r="Q661" s="11">
        <v>-64.239999999999995</v>
      </c>
    </row>
    <row r="662" spans="1:17" x14ac:dyDescent="0.3">
      <c r="A662" s="2" t="s">
        <v>1802</v>
      </c>
      <c r="B662" s="3">
        <v>44884</v>
      </c>
      <c r="C662" s="3">
        <v>44886</v>
      </c>
      <c r="D662" s="2" t="s">
        <v>18</v>
      </c>
      <c r="E662" s="2" t="s">
        <v>490</v>
      </c>
      <c r="F662" s="4" t="s">
        <v>491</v>
      </c>
      <c r="G662" s="4" t="s">
        <v>42</v>
      </c>
      <c r="H662" s="4" t="s">
        <v>492</v>
      </c>
      <c r="I662" s="4" t="s">
        <v>53</v>
      </c>
      <c r="J662" s="4" t="s">
        <v>54</v>
      </c>
      <c r="K662" s="4" t="s">
        <v>25</v>
      </c>
      <c r="L662" s="4" t="s">
        <v>124</v>
      </c>
      <c r="M662" s="4" t="s">
        <v>1803</v>
      </c>
      <c r="N662" s="5">
        <v>6186.94</v>
      </c>
      <c r="O662" s="6">
        <v>2</v>
      </c>
      <c r="P662" s="7">
        <v>0</v>
      </c>
      <c r="Q662" s="5">
        <v>1740.16</v>
      </c>
    </row>
    <row r="663" spans="1:17" x14ac:dyDescent="0.3">
      <c r="A663" s="8" t="s">
        <v>1804</v>
      </c>
      <c r="B663" s="9">
        <v>45052</v>
      </c>
      <c r="C663" s="9">
        <v>45055</v>
      </c>
      <c r="D663" s="8" t="s">
        <v>18</v>
      </c>
      <c r="E663" s="8" t="s">
        <v>975</v>
      </c>
      <c r="F663" s="10" t="s">
        <v>976</v>
      </c>
      <c r="G663" s="10" t="s">
        <v>51</v>
      </c>
      <c r="H663" s="10" t="s">
        <v>459</v>
      </c>
      <c r="I663" s="10" t="s">
        <v>460</v>
      </c>
      <c r="J663" s="10" t="s">
        <v>54</v>
      </c>
      <c r="K663" s="10" t="s">
        <v>35</v>
      </c>
      <c r="L663" s="10" t="s">
        <v>36</v>
      </c>
      <c r="M663" s="10" t="s">
        <v>1805</v>
      </c>
      <c r="N663" s="11">
        <v>341.46</v>
      </c>
      <c r="O663" s="12">
        <v>6</v>
      </c>
      <c r="P663" s="13">
        <v>0</v>
      </c>
      <c r="Q663" s="11">
        <v>123.18</v>
      </c>
    </row>
    <row r="664" spans="1:17" x14ac:dyDescent="0.3">
      <c r="A664" s="2" t="s">
        <v>1806</v>
      </c>
      <c r="B664" s="3">
        <v>45651</v>
      </c>
      <c r="C664" s="3">
        <v>45655</v>
      </c>
      <c r="D664" s="2" t="s">
        <v>39</v>
      </c>
      <c r="E664" s="2" t="s">
        <v>277</v>
      </c>
      <c r="F664" s="4" t="s">
        <v>278</v>
      </c>
      <c r="G664" s="4" t="s">
        <v>21</v>
      </c>
      <c r="H664" s="4" t="s">
        <v>104</v>
      </c>
      <c r="I664" s="4" t="s">
        <v>105</v>
      </c>
      <c r="J664" s="4" t="s">
        <v>88</v>
      </c>
      <c r="K664" s="4" t="s">
        <v>45</v>
      </c>
      <c r="L664" s="4" t="s">
        <v>117</v>
      </c>
      <c r="M664" s="4" t="s">
        <v>1807</v>
      </c>
      <c r="N664" s="5">
        <v>1218.8499999999999</v>
      </c>
      <c r="O664" s="6">
        <v>6</v>
      </c>
      <c r="P664" s="7">
        <v>0.15</v>
      </c>
      <c r="Q664" s="5">
        <v>151.31</v>
      </c>
    </row>
    <row r="665" spans="1:17" x14ac:dyDescent="0.3">
      <c r="A665" s="8" t="s">
        <v>1808</v>
      </c>
      <c r="B665" s="9">
        <v>45439</v>
      </c>
      <c r="C665" s="9">
        <v>45444</v>
      </c>
      <c r="D665" s="8" t="s">
        <v>29</v>
      </c>
      <c r="E665" s="8" t="s">
        <v>410</v>
      </c>
      <c r="F665" s="10" t="s">
        <v>411</v>
      </c>
      <c r="G665" s="10" t="s">
        <v>42</v>
      </c>
      <c r="H665" s="10" t="s">
        <v>412</v>
      </c>
      <c r="I665" s="10" t="s">
        <v>178</v>
      </c>
      <c r="J665" s="10" t="s">
        <v>24</v>
      </c>
      <c r="K665" s="10" t="s">
        <v>25</v>
      </c>
      <c r="L665" s="10" t="s">
        <v>26</v>
      </c>
      <c r="M665" s="10" t="s">
        <v>1809</v>
      </c>
      <c r="N665" s="11">
        <v>506.49</v>
      </c>
      <c r="O665" s="12">
        <v>2</v>
      </c>
      <c r="P665" s="13">
        <v>0.3</v>
      </c>
      <c r="Q665" s="11">
        <v>-102.85</v>
      </c>
    </row>
    <row r="666" spans="1:17" x14ac:dyDescent="0.3">
      <c r="A666" s="2" t="s">
        <v>1810</v>
      </c>
      <c r="B666" s="3">
        <v>44966</v>
      </c>
      <c r="C666" s="3">
        <v>44969</v>
      </c>
      <c r="D666" s="2" t="s">
        <v>73</v>
      </c>
      <c r="E666" s="2" t="s">
        <v>490</v>
      </c>
      <c r="F666" s="4" t="s">
        <v>491</v>
      </c>
      <c r="G666" s="4" t="s">
        <v>42</v>
      </c>
      <c r="H666" s="4" t="s">
        <v>492</v>
      </c>
      <c r="I666" s="4" t="s">
        <v>53</v>
      </c>
      <c r="J666" s="4" t="s">
        <v>54</v>
      </c>
      <c r="K666" s="4" t="s">
        <v>45</v>
      </c>
      <c r="L666" s="4" t="s">
        <v>99</v>
      </c>
      <c r="M666" s="4" t="s">
        <v>1811</v>
      </c>
      <c r="N666" s="5">
        <v>170.5</v>
      </c>
      <c r="O666" s="6">
        <v>4</v>
      </c>
      <c r="P666" s="7">
        <v>0.2</v>
      </c>
      <c r="Q666" s="5">
        <v>12.97</v>
      </c>
    </row>
    <row r="667" spans="1:17" x14ac:dyDescent="0.3">
      <c r="A667" s="8" t="s">
        <v>1812</v>
      </c>
      <c r="B667" s="9">
        <v>44969</v>
      </c>
      <c r="C667" s="9">
        <v>44973</v>
      </c>
      <c r="D667" s="8" t="s">
        <v>39</v>
      </c>
      <c r="E667" s="8" t="s">
        <v>1029</v>
      </c>
      <c r="F667" s="10" t="s">
        <v>1030</v>
      </c>
      <c r="G667" s="10" t="s">
        <v>21</v>
      </c>
      <c r="H667" s="10" t="s">
        <v>438</v>
      </c>
      <c r="I667" s="10" t="s">
        <v>157</v>
      </c>
      <c r="J667" s="10" t="s">
        <v>88</v>
      </c>
      <c r="K667" s="10" t="s">
        <v>45</v>
      </c>
      <c r="L667" s="10" t="s">
        <v>61</v>
      </c>
      <c r="M667" s="10" t="s">
        <v>1813</v>
      </c>
      <c r="N667" s="11">
        <v>1126.3</v>
      </c>
      <c r="O667" s="12">
        <v>2</v>
      </c>
      <c r="P667" s="13">
        <v>0</v>
      </c>
      <c r="Q667" s="11">
        <v>37.53</v>
      </c>
    </row>
    <row r="668" spans="1:17" x14ac:dyDescent="0.3">
      <c r="A668" s="2" t="s">
        <v>1814</v>
      </c>
      <c r="B668" s="3">
        <v>44817</v>
      </c>
      <c r="C668" s="3">
        <v>44824</v>
      </c>
      <c r="D668" s="2" t="s">
        <v>29</v>
      </c>
      <c r="E668" s="2" t="s">
        <v>40</v>
      </c>
      <c r="F668" s="4" t="s">
        <v>41</v>
      </c>
      <c r="G668" s="4" t="s">
        <v>42</v>
      </c>
      <c r="H668" s="4" t="s">
        <v>43</v>
      </c>
      <c r="I668" s="4" t="s">
        <v>44</v>
      </c>
      <c r="J668" s="4" t="s">
        <v>24</v>
      </c>
      <c r="K668" s="4" t="s">
        <v>45</v>
      </c>
      <c r="L668" s="4" t="s">
        <v>99</v>
      </c>
      <c r="M668" s="4" t="s">
        <v>1815</v>
      </c>
      <c r="N668" s="5">
        <v>383.13</v>
      </c>
      <c r="O668" s="6">
        <v>9</v>
      </c>
      <c r="P668" s="7">
        <v>0.1</v>
      </c>
      <c r="Q668" s="5">
        <v>119.18</v>
      </c>
    </row>
    <row r="669" spans="1:17" x14ac:dyDescent="0.3">
      <c r="A669" s="8" t="s">
        <v>1351</v>
      </c>
      <c r="B669" s="9">
        <v>45287</v>
      </c>
      <c r="C669" s="9">
        <v>45291</v>
      </c>
      <c r="D669" s="8" t="s">
        <v>73</v>
      </c>
      <c r="E669" s="8" t="s">
        <v>1352</v>
      </c>
      <c r="F669" s="10" t="s">
        <v>1353</v>
      </c>
      <c r="G669" s="10" t="s">
        <v>42</v>
      </c>
      <c r="H669" s="10" t="s">
        <v>207</v>
      </c>
      <c r="I669" s="10" t="s">
        <v>60</v>
      </c>
      <c r="J669" s="10" t="s">
        <v>54</v>
      </c>
      <c r="K669" s="10" t="s">
        <v>45</v>
      </c>
      <c r="L669" s="10" t="s">
        <v>46</v>
      </c>
      <c r="M669" s="10" t="s">
        <v>1354</v>
      </c>
      <c r="N669" s="11">
        <v>983.28</v>
      </c>
      <c r="O669" s="12">
        <v>7</v>
      </c>
      <c r="P669" s="13">
        <v>0.3</v>
      </c>
      <c r="Q669" s="11">
        <v>114.87</v>
      </c>
    </row>
    <row r="670" spans="1:17" x14ac:dyDescent="0.3">
      <c r="A670" s="2" t="s">
        <v>1816</v>
      </c>
      <c r="B670" s="3">
        <v>44532</v>
      </c>
      <c r="C670" s="3">
        <v>44535</v>
      </c>
      <c r="D670" s="2" t="s">
        <v>73</v>
      </c>
      <c r="E670" s="2" t="s">
        <v>768</v>
      </c>
      <c r="F670" s="4" t="s">
        <v>769</v>
      </c>
      <c r="G670" s="4" t="s">
        <v>51</v>
      </c>
      <c r="H670" s="4" t="s">
        <v>183</v>
      </c>
      <c r="I670" s="4" t="s">
        <v>184</v>
      </c>
      <c r="J670" s="4" t="s">
        <v>54</v>
      </c>
      <c r="K670" s="4" t="s">
        <v>25</v>
      </c>
      <c r="L670" s="4" t="s">
        <v>26</v>
      </c>
      <c r="M670" s="4" t="s">
        <v>1817</v>
      </c>
      <c r="N670" s="5">
        <v>2402.7600000000002</v>
      </c>
      <c r="O670" s="6">
        <v>7</v>
      </c>
      <c r="P670" s="7">
        <v>0.3</v>
      </c>
      <c r="Q670" s="5">
        <v>-328.89</v>
      </c>
    </row>
    <row r="671" spans="1:17" x14ac:dyDescent="0.3">
      <c r="A671" s="8" t="s">
        <v>1818</v>
      </c>
      <c r="B671" s="9">
        <v>44625</v>
      </c>
      <c r="C671" s="9">
        <v>44631</v>
      </c>
      <c r="D671" s="8" t="s">
        <v>29</v>
      </c>
      <c r="E671" s="8" t="s">
        <v>197</v>
      </c>
      <c r="F671" s="10" t="s">
        <v>198</v>
      </c>
      <c r="G671" s="10" t="s">
        <v>21</v>
      </c>
      <c r="H671" s="10" t="s">
        <v>129</v>
      </c>
      <c r="I671" s="10" t="s">
        <v>33</v>
      </c>
      <c r="J671" s="10" t="s">
        <v>34</v>
      </c>
      <c r="K671" s="10" t="s">
        <v>25</v>
      </c>
      <c r="L671" s="10" t="s">
        <v>26</v>
      </c>
      <c r="M671" s="10" t="s">
        <v>1819</v>
      </c>
      <c r="N671" s="11">
        <v>7941.51</v>
      </c>
      <c r="O671" s="12">
        <v>9</v>
      </c>
      <c r="P671" s="13">
        <v>0.5</v>
      </c>
      <c r="Q671" s="11">
        <v>-5745.42</v>
      </c>
    </row>
    <row r="672" spans="1:17" x14ac:dyDescent="0.3">
      <c r="A672" s="2" t="s">
        <v>1820</v>
      </c>
      <c r="B672" s="3">
        <v>44932</v>
      </c>
      <c r="C672" s="3">
        <v>44938</v>
      </c>
      <c r="D672" s="2" t="s">
        <v>29</v>
      </c>
      <c r="E672" s="2" t="s">
        <v>410</v>
      </c>
      <c r="F672" s="4" t="s">
        <v>411</v>
      </c>
      <c r="G672" s="4" t="s">
        <v>42</v>
      </c>
      <c r="H672" s="4" t="s">
        <v>412</v>
      </c>
      <c r="I672" s="4" t="s">
        <v>178</v>
      </c>
      <c r="J672" s="4" t="s">
        <v>24</v>
      </c>
      <c r="K672" s="4" t="s">
        <v>35</v>
      </c>
      <c r="L672" s="4" t="s">
        <v>166</v>
      </c>
      <c r="M672" s="4" t="s">
        <v>1821</v>
      </c>
      <c r="N672" s="5">
        <v>69.790000000000006</v>
      </c>
      <c r="O672" s="6">
        <v>1</v>
      </c>
      <c r="P672" s="7">
        <v>0.4</v>
      </c>
      <c r="Q672" s="5">
        <v>-17.600000000000001</v>
      </c>
    </row>
    <row r="673" spans="1:17" x14ac:dyDescent="0.3">
      <c r="A673" s="8" t="s">
        <v>1822</v>
      </c>
      <c r="B673" s="9">
        <v>45281</v>
      </c>
      <c r="C673" s="9">
        <v>45284</v>
      </c>
      <c r="D673" s="8" t="s">
        <v>39</v>
      </c>
      <c r="E673" s="8" t="s">
        <v>132</v>
      </c>
      <c r="F673" s="10" t="s">
        <v>133</v>
      </c>
      <c r="G673" s="10" t="s">
        <v>21</v>
      </c>
      <c r="H673" s="10" t="s">
        <v>134</v>
      </c>
      <c r="I673" s="10" t="s">
        <v>87</v>
      </c>
      <c r="J673" s="10" t="s">
        <v>88</v>
      </c>
      <c r="K673" s="10" t="s">
        <v>35</v>
      </c>
      <c r="L673" s="10" t="s">
        <v>166</v>
      </c>
      <c r="M673" s="10" t="s">
        <v>387</v>
      </c>
      <c r="N673" s="11">
        <v>111.53</v>
      </c>
      <c r="O673" s="12">
        <v>1</v>
      </c>
      <c r="P673" s="13">
        <v>0</v>
      </c>
      <c r="Q673" s="11">
        <v>37.97</v>
      </c>
    </row>
    <row r="674" spans="1:17" x14ac:dyDescent="0.3">
      <c r="A674" s="2" t="s">
        <v>1823</v>
      </c>
      <c r="B674" s="3">
        <v>45239</v>
      </c>
      <c r="C674" s="3">
        <v>45242</v>
      </c>
      <c r="D674" s="2" t="s">
        <v>39</v>
      </c>
      <c r="E674" s="2" t="s">
        <v>899</v>
      </c>
      <c r="F674" s="4" t="s">
        <v>900</v>
      </c>
      <c r="G674" s="4" t="s">
        <v>51</v>
      </c>
      <c r="H674" s="4" t="s">
        <v>319</v>
      </c>
      <c r="I674" s="4" t="s">
        <v>194</v>
      </c>
      <c r="J674" s="4" t="s">
        <v>34</v>
      </c>
      <c r="K674" s="4" t="s">
        <v>25</v>
      </c>
      <c r="L674" s="4" t="s">
        <v>68</v>
      </c>
      <c r="M674" s="4" t="s">
        <v>1824</v>
      </c>
      <c r="N674" s="5">
        <v>245.3</v>
      </c>
      <c r="O674" s="6">
        <v>4</v>
      </c>
      <c r="P674" s="7">
        <v>0.5</v>
      </c>
      <c r="Q674" s="5">
        <v>-19.7</v>
      </c>
    </row>
    <row r="675" spans="1:17" x14ac:dyDescent="0.3">
      <c r="A675" s="8" t="s">
        <v>1825</v>
      </c>
      <c r="B675" s="9">
        <v>45498</v>
      </c>
      <c r="C675" s="9">
        <v>45501</v>
      </c>
      <c r="D675" s="8" t="s">
        <v>73</v>
      </c>
      <c r="E675" s="8" t="s">
        <v>127</v>
      </c>
      <c r="F675" s="10" t="s">
        <v>128</v>
      </c>
      <c r="G675" s="10" t="s">
        <v>21</v>
      </c>
      <c r="H675" s="10" t="s">
        <v>129</v>
      </c>
      <c r="I675" s="10" t="s">
        <v>33</v>
      </c>
      <c r="J675" s="10" t="s">
        <v>34</v>
      </c>
      <c r="K675" s="10" t="s">
        <v>35</v>
      </c>
      <c r="L675" s="10" t="s">
        <v>81</v>
      </c>
      <c r="M675" s="10" t="s">
        <v>1826</v>
      </c>
      <c r="N675" s="11">
        <v>2.81</v>
      </c>
      <c r="O675" s="12">
        <v>1</v>
      </c>
      <c r="P675" s="13">
        <v>0.2</v>
      </c>
      <c r="Q675" s="11">
        <v>1.18</v>
      </c>
    </row>
    <row r="676" spans="1:17" x14ac:dyDescent="0.3">
      <c r="A676" s="2" t="s">
        <v>1827</v>
      </c>
      <c r="B676" s="3">
        <v>45045</v>
      </c>
      <c r="C676" s="3">
        <v>45052</v>
      </c>
      <c r="D676" s="2" t="s">
        <v>29</v>
      </c>
      <c r="E676" s="2" t="s">
        <v>1708</v>
      </c>
      <c r="F676" s="4" t="s">
        <v>1709</v>
      </c>
      <c r="G676" s="4" t="s">
        <v>51</v>
      </c>
      <c r="H676" s="4" t="s">
        <v>177</v>
      </c>
      <c r="I676" s="4" t="s">
        <v>178</v>
      </c>
      <c r="J676" s="4" t="s">
        <v>24</v>
      </c>
      <c r="K676" s="4" t="s">
        <v>45</v>
      </c>
      <c r="L676" s="4" t="s">
        <v>61</v>
      </c>
      <c r="M676" s="4" t="s">
        <v>1828</v>
      </c>
      <c r="N676" s="5">
        <v>926.4</v>
      </c>
      <c r="O676" s="6">
        <v>4</v>
      </c>
      <c r="P676" s="7">
        <v>0.15</v>
      </c>
      <c r="Q676" s="5">
        <v>13.91</v>
      </c>
    </row>
    <row r="677" spans="1:17" x14ac:dyDescent="0.3">
      <c r="A677" s="8" t="s">
        <v>1829</v>
      </c>
      <c r="B677" s="9">
        <v>45345</v>
      </c>
      <c r="C677" s="9">
        <v>45348</v>
      </c>
      <c r="D677" s="8" t="s">
        <v>73</v>
      </c>
      <c r="E677" s="8" t="s">
        <v>864</v>
      </c>
      <c r="F677" s="10" t="s">
        <v>865</v>
      </c>
      <c r="G677" s="10" t="s">
        <v>21</v>
      </c>
      <c r="H677" s="10" t="s">
        <v>177</v>
      </c>
      <c r="I677" s="10" t="s">
        <v>178</v>
      </c>
      <c r="J677" s="10" t="s">
        <v>24</v>
      </c>
      <c r="K677" s="10" t="s">
        <v>45</v>
      </c>
      <c r="L677" s="10" t="s">
        <v>61</v>
      </c>
      <c r="M677" s="10" t="s">
        <v>1523</v>
      </c>
      <c r="N677" s="11">
        <v>3070</v>
      </c>
      <c r="O677" s="12">
        <v>10</v>
      </c>
      <c r="P677" s="13">
        <v>0.2</v>
      </c>
      <c r="Q677" s="11">
        <v>-582.08000000000004</v>
      </c>
    </row>
    <row r="678" spans="1:17" x14ac:dyDescent="0.3">
      <c r="A678" s="2" t="s">
        <v>1830</v>
      </c>
      <c r="B678" s="3">
        <v>45030</v>
      </c>
      <c r="C678" s="3">
        <v>45034</v>
      </c>
      <c r="D678" s="2" t="s">
        <v>39</v>
      </c>
      <c r="E678" s="2" t="s">
        <v>592</v>
      </c>
      <c r="F678" s="4" t="s">
        <v>593</v>
      </c>
      <c r="G678" s="4" t="s">
        <v>21</v>
      </c>
      <c r="H678" s="4" t="s">
        <v>207</v>
      </c>
      <c r="I678" s="4" t="s">
        <v>60</v>
      </c>
      <c r="J678" s="4" t="s">
        <v>54</v>
      </c>
      <c r="K678" s="4" t="s">
        <v>45</v>
      </c>
      <c r="L678" s="4" t="s">
        <v>46</v>
      </c>
      <c r="M678" s="4" t="s">
        <v>1831</v>
      </c>
      <c r="N678" s="5">
        <v>1530.05</v>
      </c>
      <c r="O678" s="6">
        <v>5</v>
      </c>
      <c r="P678" s="7">
        <v>0</v>
      </c>
      <c r="Q678" s="5">
        <v>437.45</v>
      </c>
    </row>
    <row r="679" spans="1:17" x14ac:dyDescent="0.3">
      <c r="A679" s="8" t="s">
        <v>1832</v>
      </c>
      <c r="B679" s="9">
        <v>45215</v>
      </c>
      <c r="C679" s="9">
        <v>45220</v>
      </c>
      <c r="D679" s="8" t="s">
        <v>29</v>
      </c>
      <c r="E679" s="8" t="s">
        <v>1708</v>
      </c>
      <c r="F679" s="10" t="s">
        <v>1709</v>
      </c>
      <c r="G679" s="10" t="s">
        <v>51</v>
      </c>
      <c r="H679" s="10" t="s">
        <v>177</v>
      </c>
      <c r="I679" s="10" t="s">
        <v>178</v>
      </c>
      <c r="J679" s="10" t="s">
        <v>24</v>
      </c>
      <c r="K679" s="10" t="s">
        <v>45</v>
      </c>
      <c r="L679" s="10" t="s">
        <v>61</v>
      </c>
      <c r="M679" s="10" t="s">
        <v>1833</v>
      </c>
      <c r="N679" s="11">
        <v>5021.97</v>
      </c>
      <c r="O679" s="12">
        <v>8</v>
      </c>
      <c r="P679" s="13">
        <v>0.3</v>
      </c>
      <c r="Q679" s="11">
        <v>-1869.98</v>
      </c>
    </row>
    <row r="680" spans="1:17" x14ac:dyDescent="0.3">
      <c r="A680" s="2" t="s">
        <v>1834</v>
      </c>
      <c r="B680" s="3">
        <v>45467</v>
      </c>
      <c r="C680" s="3">
        <v>45469</v>
      </c>
      <c r="D680" s="2" t="s">
        <v>18</v>
      </c>
      <c r="E680" s="2" t="s">
        <v>1001</v>
      </c>
      <c r="F680" s="4" t="s">
        <v>1002</v>
      </c>
      <c r="G680" s="4" t="s">
        <v>21</v>
      </c>
      <c r="H680" s="4" t="s">
        <v>59</v>
      </c>
      <c r="I680" s="4" t="s">
        <v>60</v>
      </c>
      <c r="J680" s="4" t="s">
        <v>54</v>
      </c>
      <c r="K680" s="4" t="s">
        <v>25</v>
      </c>
      <c r="L680" s="4" t="s">
        <v>26</v>
      </c>
      <c r="M680" s="4" t="s">
        <v>1835</v>
      </c>
      <c r="N680" s="5">
        <v>5325.48</v>
      </c>
      <c r="O680" s="6">
        <v>9</v>
      </c>
      <c r="P680" s="7">
        <v>0</v>
      </c>
      <c r="Q680" s="5">
        <v>1256.42</v>
      </c>
    </row>
    <row r="681" spans="1:17" x14ac:dyDescent="0.3">
      <c r="A681" s="8" t="s">
        <v>1836</v>
      </c>
      <c r="B681" s="9">
        <v>45390</v>
      </c>
      <c r="C681" s="9">
        <v>45395</v>
      </c>
      <c r="D681" s="8" t="s">
        <v>29</v>
      </c>
      <c r="E681" s="8" t="s">
        <v>232</v>
      </c>
      <c r="F681" s="10" t="s">
        <v>233</v>
      </c>
      <c r="G681" s="10" t="s">
        <v>21</v>
      </c>
      <c r="H681" s="10" t="s">
        <v>156</v>
      </c>
      <c r="I681" s="10" t="s">
        <v>157</v>
      </c>
      <c r="J681" s="10" t="s">
        <v>88</v>
      </c>
      <c r="K681" s="10" t="s">
        <v>45</v>
      </c>
      <c r="L681" s="10" t="s">
        <v>61</v>
      </c>
      <c r="M681" s="10" t="s">
        <v>1837</v>
      </c>
      <c r="N681" s="11">
        <v>570.05999999999995</v>
      </c>
      <c r="O681" s="12">
        <v>3</v>
      </c>
      <c r="P681" s="13">
        <v>0</v>
      </c>
      <c r="Q681" s="11">
        <v>50.93</v>
      </c>
    </row>
    <row r="682" spans="1:17" x14ac:dyDescent="0.3">
      <c r="A682" s="2" t="s">
        <v>1838</v>
      </c>
      <c r="B682" s="3">
        <v>45085</v>
      </c>
      <c r="C682" s="3">
        <v>45086</v>
      </c>
      <c r="D682" s="2" t="s">
        <v>18</v>
      </c>
      <c r="E682" s="2" t="s">
        <v>768</v>
      </c>
      <c r="F682" s="4" t="s">
        <v>769</v>
      </c>
      <c r="G682" s="4" t="s">
        <v>51</v>
      </c>
      <c r="H682" s="4" t="s">
        <v>183</v>
      </c>
      <c r="I682" s="4" t="s">
        <v>184</v>
      </c>
      <c r="J682" s="4" t="s">
        <v>54</v>
      </c>
      <c r="K682" s="4" t="s">
        <v>35</v>
      </c>
      <c r="L682" s="4" t="s">
        <v>166</v>
      </c>
      <c r="M682" s="4" t="s">
        <v>531</v>
      </c>
      <c r="N682" s="5">
        <v>521.99</v>
      </c>
      <c r="O682" s="6">
        <v>7</v>
      </c>
      <c r="P682" s="7">
        <v>0</v>
      </c>
      <c r="Q682" s="5">
        <v>171.93</v>
      </c>
    </row>
    <row r="683" spans="1:17" x14ac:dyDescent="0.3">
      <c r="A683" s="8" t="s">
        <v>1839</v>
      </c>
      <c r="B683" s="9">
        <v>44526</v>
      </c>
      <c r="C683" s="9">
        <v>44530</v>
      </c>
      <c r="D683" s="8" t="s">
        <v>39</v>
      </c>
      <c r="E683" s="8" t="s">
        <v>1284</v>
      </c>
      <c r="F683" s="10" t="s">
        <v>1285</v>
      </c>
      <c r="G683" s="10" t="s">
        <v>21</v>
      </c>
      <c r="H683" s="10" t="s">
        <v>150</v>
      </c>
      <c r="I683" s="10" t="s">
        <v>151</v>
      </c>
      <c r="J683" s="10" t="s">
        <v>34</v>
      </c>
      <c r="K683" s="10" t="s">
        <v>45</v>
      </c>
      <c r="L683" s="10" t="s">
        <v>46</v>
      </c>
      <c r="M683" s="10" t="s">
        <v>1840</v>
      </c>
      <c r="N683" s="11">
        <v>354.23</v>
      </c>
      <c r="O683" s="12">
        <v>1</v>
      </c>
      <c r="P683" s="13">
        <v>0</v>
      </c>
      <c r="Q683" s="11">
        <v>140.99</v>
      </c>
    </row>
    <row r="684" spans="1:17" x14ac:dyDescent="0.3">
      <c r="A684" s="2" t="s">
        <v>1841</v>
      </c>
      <c r="B684" s="3">
        <v>45509</v>
      </c>
      <c r="C684" s="3">
        <v>45511</v>
      </c>
      <c r="D684" s="2" t="s">
        <v>18</v>
      </c>
      <c r="E684" s="2" t="s">
        <v>57</v>
      </c>
      <c r="F684" s="4" t="s">
        <v>58</v>
      </c>
      <c r="G684" s="4" t="s">
        <v>42</v>
      </c>
      <c r="H684" s="4" t="s">
        <v>59</v>
      </c>
      <c r="I684" s="4" t="s">
        <v>60</v>
      </c>
      <c r="J684" s="4" t="s">
        <v>54</v>
      </c>
      <c r="K684" s="4" t="s">
        <v>35</v>
      </c>
      <c r="L684" s="4" t="s">
        <v>158</v>
      </c>
      <c r="M684" s="4" t="s">
        <v>1842</v>
      </c>
      <c r="N684" s="5">
        <v>10.34</v>
      </c>
      <c r="O684" s="6">
        <v>4</v>
      </c>
      <c r="P684" s="7">
        <v>0.05</v>
      </c>
      <c r="Q684" s="5">
        <v>3.23</v>
      </c>
    </row>
    <row r="685" spans="1:17" x14ac:dyDescent="0.3">
      <c r="A685" s="8" t="s">
        <v>1843</v>
      </c>
      <c r="B685" s="9">
        <v>45181</v>
      </c>
      <c r="C685" s="9">
        <v>45185</v>
      </c>
      <c r="D685" s="8" t="s">
        <v>39</v>
      </c>
      <c r="E685" s="8" t="s">
        <v>797</v>
      </c>
      <c r="F685" s="10" t="s">
        <v>798</v>
      </c>
      <c r="G685" s="10" t="s">
        <v>51</v>
      </c>
      <c r="H685" s="10" t="s">
        <v>59</v>
      </c>
      <c r="I685" s="10" t="s">
        <v>60</v>
      </c>
      <c r="J685" s="10" t="s">
        <v>54</v>
      </c>
      <c r="K685" s="10" t="s">
        <v>45</v>
      </c>
      <c r="L685" s="10" t="s">
        <v>117</v>
      </c>
      <c r="M685" s="10" t="s">
        <v>1844</v>
      </c>
      <c r="N685" s="11">
        <v>1324.86</v>
      </c>
      <c r="O685" s="12">
        <v>3</v>
      </c>
      <c r="P685" s="13">
        <v>0.1</v>
      </c>
      <c r="Q685" s="11">
        <v>370.45</v>
      </c>
    </row>
    <row r="686" spans="1:17" x14ac:dyDescent="0.3">
      <c r="A686" s="2" t="s">
        <v>1845</v>
      </c>
      <c r="B686" s="3">
        <v>45046</v>
      </c>
      <c r="C686" s="3">
        <v>45048</v>
      </c>
      <c r="D686" s="2" t="s">
        <v>39</v>
      </c>
      <c r="E686" s="2" t="s">
        <v>77</v>
      </c>
      <c r="F686" s="4" t="s">
        <v>78</v>
      </c>
      <c r="G686" s="4" t="s">
        <v>21</v>
      </c>
      <c r="H686" s="4" t="s">
        <v>79</v>
      </c>
      <c r="I686" s="4" t="s">
        <v>80</v>
      </c>
      <c r="J686" s="4" t="s">
        <v>54</v>
      </c>
      <c r="K686" s="4" t="s">
        <v>35</v>
      </c>
      <c r="L686" s="4" t="s">
        <v>110</v>
      </c>
      <c r="M686" s="4" t="s">
        <v>1846</v>
      </c>
      <c r="N686" s="5">
        <v>15.88</v>
      </c>
      <c r="O686" s="6">
        <v>1</v>
      </c>
      <c r="P686" s="7">
        <v>0.4</v>
      </c>
      <c r="Q686" s="5">
        <v>0.09</v>
      </c>
    </row>
    <row r="687" spans="1:17" x14ac:dyDescent="0.3">
      <c r="A687" s="8" t="s">
        <v>1847</v>
      </c>
      <c r="B687" s="9">
        <v>45448</v>
      </c>
      <c r="C687" s="9">
        <v>45452</v>
      </c>
      <c r="D687" s="8" t="s">
        <v>73</v>
      </c>
      <c r="E687" s="8" t="s">
        <v>946</v>
      </c>
      <c r="F687" s="10" t="s">
        <v>947</v>
      </c>
      <c r="G687" s="10" t="s">
        <v>21</v>
      </c>
      <c r="H687" s="10" t="s">
        <v>156</v>
      </c>
      <c r="I687" s="10" t="s">
        <v>157</v>
      </c>
      <c r="J687" s="10" t="s">
        <v>88</v>
      </c>
      <c r="K687" s="10" t="s">
        <v>45</v>
      </c>
      <c r="L687" s="10" t="s">
        <v>46</v>
      </c>
      <c r="M687" s="10" t="s">
        <v>455</v>
      </c>
      <c r="N687" s="11">
        <v>475.2</v>
      </c>
      <c r="O687" s="12">
        <v>3</v>
      </c>
      <c r="P687" s="13">
        <v>0</v>
      </c>
      <c r="Q687" s="11">
        <v>153.24</v>
      </c>
    </row>
    <row r="688" spans="1:17" x14ac:dyDescent="0.3">
      <c r="A688" s="2" t="s">
        <v>1848</v>
      </c>
      <c r="B688" s="3">
        <v>44739</v>
      </c>
      <c r="C688" s="3">
        <v>44741</v>
      </c>
      <c r="D688" s="2" t="s">
        <v>39</v>
      </c>
      <c r="E688" s="2" t="s">
        <v>313</v>
      </c>
      <c r="F688" s="4" t="s">
        <v>314</v>
      </c>
      <c r="G688" s="4" t="s">
        <v>42</v>
      </c>
      <c r="H688" s="4" t="s">
        <v>193</v>
      </c>
      <c r="I688" s="4" t="s">
        <v>194</v>
      </c>
      <c r="J688" s="4" t="s">
        <v>34</v>
      </c>
      <c r="K688" s="4" t="s">
        <v>35</v>
      </c>
      <c r="L688" s="4" t="s">
        <v>110</v>
      </c>
      <c r="M688" s="4" t="s">
        <v>1662</v>
      </c>
      <c r="N688" s="5">
        <v>136.13999999999999</v>
      </c>
      <c r="O688" s="6">
        <v>8</v>
      </c>
      <c r="P688" s="7">
        <v>0.3</v>
      </c>
      <c r="Q688" s="5">
        <v>25.32</v>
      </c>
    </row>
    <row r="689" spans="1:17" x14ac:dyDescent="0.3">
      <c r="A689" s="8" t="s">
        <v>1849</v>
      </c>
      <c r="B689" s="9">
        <v>44620</v>
      </c>
      <c r="C689" s="9">
        <v>44623</v>
      </c>
      <c r="D689" s="8" t="s">
        <v>73</v>
      </c>
      <c r="E689" s="8" t="s">
        <v>201</v>
      </c>
      <c r="F689" s="10" t="s">
        <v>202</v>
      </c>
      <c r="G689" s="10" t="s">
        <v>21</v>
      </c>
      <c r="H689" s="10" t="s">
        <v>98</v>
      </c>
      <c r="I689" s="10" t="s">
        <v>80</v>
      </c>
      <c r="J689" s="10" t="s">
        <v>54</v>
      </c>
      <c r="K689" s="10" t="s">
        <v>25</v>
      </c>
      <c r="L689" s="10" t="s">
        <v>74</v>
      </c>
      <c r="M689" s="10" t="s">
        <v>1850</v>
      </c>
      <c r="N689" s="11">
        <v>2593.4699999999998</v>
      </c>
      <c r="O689" s="12">
        <v>7</v>
      </c>
      <c r="P689" s="13">
        <v>0.2</v>
      </c>
      <c r="Q689" s="11">
        <v>527.91999999999996</v>
      </c>
    </row>
    <row r="690" spans="1:17" x14ac:dyDescent="0.3">
      <c r="A690" s="2" t="s">
        <v>1851</v>
      </c>
      <c r="B690" s="3">
        <v>44693</v>
      </c>
      <c r="C690" s="3">
        <v>44694</v>
      </c>
      <c r="D690" s="2" t="s">
        <v>18</v>
      </c>
      <c r="E690" s="2" t="s">
        <v>289</v>
      </c>
      <c r="F690" s="4" t="s">
        <v>290</v>
      </c>
      <c r="G690" s="4" t="s">
        <v>51</v>
      </c>
      <c r="H690" s="4" t="s">
        <v>115</v>
      </c>
      <c r="I690" s="4" t="s">
        <v>116</v>
      </c>
      <c r="J690" s="4" t="s">
        <v>54</v>
      </c>
      <c r="K690" s="4" t="s">
        <v>25</v>
      </c>
      <c r="L690" s="4" t="s">
        <v>74</v>
      </c>
      <c r="M690" s="4" t="s">
        <v>1003</v>
      </c>
      <c r="N690" s="5">
        <v>806.52</v>
      </c>
      <c r="O690" s="6">
        <v>2</v>
      </c>
      <c r="P690" s="7">
        <v>0</v>
      </c>
      <c r="Q690" s="5">
        <v>300.23</v>
      </c>
    </row>
    <row r="691" spans="1:17" x14ac:dyDescent="0.3">
      <c r="A691" s="8" t="s">
        <v>1852</v>
      </c>
      <c r="B691" s="9">
        <v>45142</v>
      </c>
      <c r="C691" s="9">
        <v>45146</v>
      </c>
      <c r="D691" s="8" t="s">
        <v>73</v>
      </c>
      <c r="E691" s="8" t="s">
        <v>400</v>
      </c>
      <c r="F691" s="10" t="s">
        <v>401</v>
      </c>
      <c r="G691" s="10" t="s">
        <v>21</v>
      </c>
      <c r="H691" s="10" t="s">
        <v>129</v>
      </c>
      <c r="I691" s="10" t="s">
        <v>33</v>
      </c>
      <c r="J691" s="10" t="s">
        <v>34</v>
      </c>
      <c r="K691" s="10" t="s">
        <v>25</v>
      </c>
      <c r="L691" s="10" t="s">
        <v>124</v>
      </c>
      <c r="M691" s="10" t="s">
        <v>1853</v>
      </c>
      <c r="N691" s="11">
        <v>25401.06</v>
      </c>
      <c r="O691" s="12">
        <v>9</v>
      </c>
      <c r="P691" s="13">
        <v>0</v>
      </c>
      <c r="Q691" s="11">
        <v>4509.18</v>
      </c>
    </row>
    <row r="692" spans="1:17" x14ac:dyDescent="0.3">
      <c r="A692" s="2" t="s">
        <v>1854</v>
      </c>
      <c r="B692" s="3">
        <v>45173</v>
      </c>
      <c r="C692" s="3">
        <v>45178</v>
      </c>
      <c r="D692" s="2" t="s">
        <v>73</v>
      </c>
      <c r="E692" s="2" t="s">
        <v>376</v>
      </c>
      <c r="F692" s="4" t="s">
        <v>377</v>
      </c>
      <c r="G692" s="4" t="s">
        <v>42</v>
      </c>
      <c r="H692" s="4" t="s">
        <v>122</v>
      </c>
      <c r="I692" s="4" t="s">
        <v>123</v>
      </c>
      <c r="J692" s="4" t="s">
        <v>24</v>
      </c>
      <c r="K692" s="4" t="s">
        <v>45</v>
      </c>
      <c r="L692" s="4" t="s">
        <v>117</v>
      </c>
      <c r="M692" s="4" t="s">
        <v>1855</v>
      </c>
      <c r="N692" s="5">
        <v>2568.36</v>
      </c>
      <c r="O692" s="6">
        <v>6</v>
      </c>
      <c r="P692" s="7">
        <v>0</v>
      </c>
      <c r="Q692" s="5">
        <v>641.83000000000004</v>
      </c>
    </row>
    <row r="693" spans="1:17" x14ac:dyDescent="0.3">
      <c r="A693" s="8" t="s">
        <v>1856</v>
      </c>
      <c r="B693" s="9">
        <v>44371</v>
      </c>
      <c r="C693" s="9">
        <v>44378</v>
      </c>
      <c r="D693" s="8" t="s">
        <v>29</v>
      </c>
      <c r="E693" s="8" t="s">
        <v>376</v>
      </c>
      <c r="F693" s="10" t="s">
        <v>377</v>
      </c>
      <c r="G693" s="10" t="s">
        <v>42</v>
      </c>
      <c r="H693" s="10" t="s">
        <v>122</v>
      </c>
      <c r="I693" s="10" t="s">
        <v>123</v>
      </c>
      <c r="J693" s="10" t="s">
        <v>24</v>
      </c>
      <c r="K693" s="10" t="s">
        <v>45</v>
      </c>
      <c r="L693" s="10" t="s">
        <v>99</v>
      </c>
      <c r="M693" s="10" t="s">
        <v>1857</v>
      </c>
      <c r="N693" s="11">
        <v>182.68</v>
      </c>
      <c r="O693" s="12">
        <v>4</v>
      </c>
      <c r="P693" s="13">
        <v>0</v>
      </c>
      <c r="Q693" s="11">
        <v>66.05</v>
      </c>
    </row>
    <row r="694" spans="1:17" x14ac:dyDescent="0.3">
      <c r="A694" s="2" t="s">
        <v>1858</v>
      </c>
      <c r="B694" s="3">
        <v>45085</v>
      </c>
      <c r="C694" s="3">
        <v>45089</v>
      </c>
      <c r="D694" s="2" t="s">
        <v>39</v>
      </c>
      <c r="E694" s="2" t="s">
        <v>281</v>
      </c>
      <c r="F694" s="4" t="s">
        <v>282</v>
      </c>
      <c r="G694" s="4" t="s">
        <v>21</v>
      </c>
      <c r="H694" s="4" t="s">
        <v>250</v>
      </c>
      <c r="I694" s="4" t="s">
        <v>251</v>
      </c>
      <c r="J694" s="4" t="s">
        <v>88</v>
      </c>
      <c r="K694" s="4" t="s">
        <v>35</v>
      </c>
      <c r="L694" s="4" t="s">
        <v>166</v>
      </c>
      <c r="M694" s="4" t="s">
        <v>1859</v>
      </c>
      <c r="N694" s="5">
        <v>59.74</v>
      </c>
      <c r="O694" s="6">
        <v>1</v>
      </c>
      <c r="P694" s="7">
        <v>0</v>
      </c>
      <c r="Q694" s="5">
        <v>21.91</v>
      </c>
    </row>
    <row r="695" spans="1:17" x14ac:dyDescent="0.3">
      <c r="A695" s="8" t="s">
        <v>1860</v>
      </c>
      <c r="B695" s="9">
        <v>45516</v>
      </c>
      <c r="C695" s="9">
        <v>45521</v>
      </c>
      <c r="D695" s="8" t="s">
        <v>29</v>
      </c>
      <c r="E695" s="8" t="s">
        <v>1033</v>
      </c>
      <c r="F695" s="10" t="s">
        <v>1034</v>
      </c>
      <c r="G695" s="10" t="s">
        <v>42</v>
      </c>
      <c r="H695" s="10" t="s">
        <v>86</v>
      </c>
      <c r="I695" s="10" t="s">
        <v>87</v>
      </c>
      <c r="J695" s="10" t="s">
        <v>88</v>
      </c>
      <c r="K695" s="10" t="s">
        <v>45</v>
      </c>
      <c r="L695" s="10" t="s">
        <v>61</v>
      </c>
      <c r="M695" s="10" t="s">
        <v>1861</v>
      </c>
      <c r="N695" s="11">
        <v>814.38</v>
      </c>
      <c r="O695" s="12">
        <v>2</v>
      </c>
      <c r="P695" s="13">
        <v>0</v>
      </c>
      <c r="Q695" s="11">
        <v>47.11</v>
      </c>
    </row>
    <row r="696" spans="1:17" x14ac:dyDescent="0.3">
      <c r="A696" s="2" t="s">
        <v>1862</v>
      </c>
      <c r="B696" s="3">
        <v>45568</v>
      </c>
      <c r="C696" s="3">
        <v>45570</v>
      </c>
      <c r="D696" s="2" t="s">
        <v>39</v>
      </c>
      <c r="E696" s="2" t="s">
        <v>745</v>
      </c>
      <c r="F696" s="4" t="s">
        <v>746</v>
      </c>
      <c r="G696" s="4" t="s">
        <v>51</v>
      </c>
      <c r="H696" s="4" t="s">
        <v>465</v>
      </c>
      <c r="I696" s="4" t="s">
        <v>423</v>
      </c>
      <c r="J696" s="4" t="s">
        <v>88</v>
      </c>
      <c r="K696" s="4" t="s">
        <v>35</v>
      </c>
      <c r="L696" s="4" t="s">
        <v>295</v>
      </c>
      <c r="M696" s="4" t="s">
        <v>1863</v>
      </c>
      <c r="N696" s="5">
        <v>71.23</v>
      </c>
      <c r="O696" s="6">
        <v>8</v>
      </c>
      <c r="P696" s="7">
        <v>0.2</v>
      </c>
      <c r="Q696" s="5">
        <v>26.36</v>
      </c>
    </row>
    <row r="697" spans="1:17" x14ac:dyDescent="0.3">
      <c r="A697" s="8" t="s">
        <v>1864</v>
      </c>
      <c r="B697" s="9">
        <v>45518</v>
      </c>
      <c r="C697" s="9">
        <v>45519</v>
      </c>
      <c r="D697" s="8" t="s">
        <v>18</v>
      </c>
      <c r="E697" s="8" t="s">
        <v>997</v>
      </c>
      <c r="F697" s="10" t="s">
        <v>998</v>
      </c>
      <c r="G697" s="10" t="s">
        <v>21</v>
      </c>
      <c r="H697" s="10" t="s">
        <v>357</v>
      </c>
      <c r="I697" s="10" t="s">
        <v>251</v>
      </c>
      <c r="J697" s="10" t="s">
        <v>88</v>
      </c>
      <c r="K697" s="10" t="s">
        <v>45</v>
      </c>
      <c r="L697" s="10" t="s">
        <v>61</v>
      </c>
      <c r="M697" s="10" t="s">
        <v>1865</v>
      </c>
      <c r="N697" s="11">
        <v>1767.08</v>
      </c>
      <c r="O697" s="12">
        <v>4</v>
      </c>
      <c r="P697" s="13">
        <v>0.5</v>
      </c>
      <c r="Q697" s="11">
        <v>-1352.95</v>
      </c>
    </row>
    <row r="698" spans="1:17" x14ac:dyDescent="0.3">
      <c r="A698" s="2" t="s">
        <v>1866</v>
      </c>
      <c r="B698" s="3">
        <v>45120</v>
      </c>
      <c r="C698" s="3">
        <v>45123</v>
      </c>
      <c r="D698" s="2" t="s">
        <v>73</v>
      </c>
      <c r="E698" s="2" t="s">
        <v>1015</v>
      </c>
      <c r="F698" s="4" t="s">
        <v>1016</v>
      </c>
      <c r="G698" s="4" t="s">
        <v>42</v>
      </c>
      <c r="H698" s="4" t="s">
        <v>134</v>
      </c>
      <c r="I698" s="4" t="s">
        <v>87</v>
      </c>
      <c r="J698" s="4" t="s">
        <v>88</v>
      </c>
      <c r="K698" s="4" t="s">
        <v>45</v>
      </c>
      <c r="L698" s="4" t="s">
        <v>117</v>
      </c>
      <c r="M698" s="4" t="s">
        <v>1867</v>
      </c>
      <c r="N698" s="5">
        <v>2546.84</v>
      </c>
      <c r="O698" s="6">
        <v>7</v>
      </c>
      <c r="P698" s="7">
        <v>0.15</v>
      </c>
      <c r="Q698" s="5">
        <v>325.49</v>
      </c>
    </row>
    <row r="699" spans="1:17" x14ac:dyDescent="0.3">
      <c r="A699" s="8" t="s">
        <v>1868</v>
      </c>
      <c r="B699" s="9">
        <v>45656</v>
      </c>
      <c r="C699" s="9">
        <v>45657</v>
      </c>
      <c r="D699" s="8" t="s">
        <v>18</v>
      </c>
      <c r="E699" s="8" t="s">
        <v>472</v>
      </c>
      <c r="F699" s="10" t="s">
        <v>473</v>
      </c>
      <c r="G699" s="10" t="s">
        <v>51</v>
      </c>
      <c r="H699" s="10" t="s">
        <v>32</v>
      </c>
      <c r="I699" s="10" t="s">
        <v>33</v>
      </c>
      <c r="J699" s="10" t="s">
        <v>34</v>
      </c>
      <c r="K699" s="10" t="s">
        <v>35</v>
      </c>
      <c r="L699" s="10" t="s">
        <v>36</v>
      </c>
      <c r="M699" s="10" t="s">
        <v>1869</v>
      </c>
      <c r="N699" s="11">
        <v>2415.1999999999998</v>
      </c>
      <c r="O699" s="12">
        <v>-10</v>
      </c>
      <c r="P699" s="13">
        <v>0</v>
      </c>
      <c r="Q699" s="11">
        <v>916.9</v>
      </c>
    </row>
    <row r="700" spans="1:17" x14ac:dyDescent="0.3">
      <c r="A700" s="2" t="s">
        <v>1870</v>
      </c>
      <c r="B700" s="3">
        <v>45254</v>
      </c>
      <c r="C700" s="3">
        <v>45257</v>
      </c>
      <c r="D700" s="2" t="s">
        <v>73</v>
      </c>
      <c r="E700" s="2" t="s">
        <v>1330</v>
      </c>
      <c r="F700" s="4" t="s">
        <v>1331</v>
      </c>
      <c r="G700" s="4" t="s">
        <v>51</v>
      </c>
      <c r="H700" s="4" t="s">
        <v>52</v>
      </c>
      <c r="I700" s="4" t="s">
        <v>53</v>
      </c>
      <c r="J700" s="4" t="s">
        <v>54</v>
      </c>
      <c r="K700" s="4" t="s">
        <v>25</v>
      </c>
      <c r="L700" s="4" t="s">
        <v>26</v>
      </c>
      <c r="M700" s="4" t="s">
        <v>1871</v>
      </c>
      <c r="N700" s="5">
        <v>4754.22</v>
      </c>
      <c r="O700" s="6">
        <v>3</v>
      </c>
      <c r="P700" s="7">
        <v>0</v>
      </c>
      <c r="Q700" s="5">
        <v>705.8</v>
      </c>
    </row>
    <row r="701" spans="1:17" x14ac:dyDescent="0.3">
      <c r="A701" s="8" t="s">
        <v>1872</v>
      </c>
      <c r="B701" s="9">
        <v>44659</v>
      </c>
      <c r="C701" s="9">
        <v>44660</v>
      </c>
      <c r="D701" s="8" t="s">
        <v>18</v>
      </c>
      <c r="E701" s="8" t="s">
        <v>426</v>
      </c>
      <c r="F701" s="10" t="s">
        <v>427</v>
      </c>
      <c r="G701" s="10" t="s">
        <v>42</v>
      </c>
      <c r="H701" s="10" t="s">
        <v>412</v>
      </c>
      <c r="I701" s="10" t="s">
        <v>178</v>
      </c>
      <c r="J701" s="10" t="s">
        <v>24</v>
      </c>
      <c r="K701" s="10" t="s">
        <v>45</v>
      </c>
      <c r="L701" s="10" t="s">
        <v>99</v>
      </c>
      <c r="M701" s="10" t="s">
        <v>1873</v>
      </c>
      <c r="N701" s="11">
        <v>255.4</v>
      </c>
      <c r="O701" s="12">
        <v>10</v>
      </c>
      <c r="P701" s="13">
        <v>0</v>
      </c>
      <c r="Q701" s="11">
        <v>61.69</v>
      </c>
    </row>
    <row r="702" spans="1:17" x14ac:dyDescent="0.3">
      <c r="A702" s="2" t="s">
        <v>1874</v>
      </c>
      <c r="B702" s="3">
        <v>44290</v>
      </c>
      <c r="C702" s="3">
        <v>44295</v>
      </c>
      <c r="D702" s="2" t="s">
        <v>29</v>
      </c>
      <c r="E702" s="2" t="s">
        <v>1162</v>
      </c>
      <c r="F702" s="4" t="s">
        <v>1163</v>
      </c>
      <c r="G702" s="4" t="s">
        <v>21</v>
      </c>
      <c r="H702" s="4" t="s">
        <v>386</v>
      </c>
      <c r="I702" s="4" t="s">
        <v>347</v>
      </c>
      <c r="J702" s="4" t="s">
        <v>88</v>
      </c>
      <c r="K702" s="4" t="s">
        <v>25</v>
      </c>
      <c r="L702" s="4" t="s">
        <v>26</v>
      </c>
      <c r="M702" s="4" t="s">
        <v>1875</v>
      </c>
      <c r="N702" s="5">
        <v>1876.18</v>
      </c>
      <c r="O702" s="6">
        <v>2</v>
      </c>
      <c r="P702" s="7">
        <v>0</v>
      </c>
      <c r="Q702" s="5">
        <v>269.8</v>
      </c>
    </row>
    <row r="703" spans="1:17" x14ac:dyDescent="0.3">
      <c r="A703" s="8" t="s">
        <v>1876</v>
      </c>
      <c r="B703" s="9">
        <v>45596</v>
      </c>
      <c r="C703" s="9">
        <v>45600</v>
      </c>
      <c r="D703" s="8" t="s">
        <v>73</v>
      </c>
      <c r="E703" s="8" t="s">
        <v>504</v>
      </c>
      <c r="F703" s="10" t="s">
        <v>505</v>
      </c>
      <c r="G703" s="10" t="s">
        <v>42</v>
      </c>
      <c r="H703" s="10" t="s">
        <v>150</v>
      </c>
      <c r="I703" s="10" t="s">
        <v>151</v>
      </c>
      <c r="J703" s="10" t="s">
        <v>34</v>
      </c>
      <c r="K703" s="10" t="s">
        <v>35</v>
      </c>
      <c r="L703" s="10" t="s">
        <v>110</v>
      </c>
      <c r="M703" s="10" t="s">
        <v>1877</v>
      </c>
      <c r="N703" s="11">
        <v>92.79</v>
      </c>
      <c r="O703" s="12">
        <v>10</v>
      </c>
      <c r="P703" s="13">
        <v>0.1</v>
      </c>
      <c r="Q703" s="11">
        <v>41.32</v>
      </c>
    </row>
    <row r="704" spans="1:17" x14ac:dyDescent="0.3">
      <c r="A704" s="2" t="s">
        <v>1878</v>
      </c>
      <c r="B704" s="3">
        <v>45315</v>
      </c>
      <c r="C704" s="3">
        <v>45317</v>
      </c>
      <c r="D704" s="2" t="s">
        <v>39</v>
      </c>
      <c r="E704" s="2" t="s">
        <v>309</v>
      </c>
      <c r="F704" s="4" t="s">
        <v>310</v>
      </c>
      <c r="G704" s="4" t="s">
        <v>21</v>
      </c>
      <c r="H704" s="4" t="s">
        <v>115</v>
      </c>
      <c r="I704" s="4" t="s">
        <v>116</v>
      </c>
      <c r="J704" s="4" t="s">
        <v>54</v>
      </c>
      <c r="K704" s="4" t="s">
        <v>35</v>
      </c>
      <c r="L704" s="4" t="s">
        <v>36</v>
      </c>
      <c r="M704" s="4" t="s">
        <v>1879</v>
      </c>
      <c r="N704" s="5">
        <v>377.16</v>
      </c>
      <c r="O704" s="6">
        <v>4</v>
      </c>
      <c r="P704" s="7">
        <v>0.4</v>
      </c>
      <c r="Q704" s="5">
        <v>35.78</v>
      </c>
    </row>
    <row r="705" spans="1:17" x14ac:dyDescent="0.3">
      <c r="A705" s="8" t="s">
        <v>1880</v>
      </c>
      <c r="B705" s="9">
        <v>45481</v>
      </c>
      <c r="C705" s="9">
        <v>45484</v>
      </c>
      <c r="D705" s="8" t="s">
        <v>18</v>
      </c>
      <c r="E705" s="8" t="s">
        <v>946</v>
      </c>
      <c r="F705" s="10" t="s">
        <v>947</v>
      </c>
      <c r="G705" s="10" t="s">
        <v>21</v>
      </c>
      <c r="H705" s="10" t="s">
        <v>156</v>
      </c>
      <c r="I705" s="10" t="s">
        <v>157</v>
      </c>
      <c r="J705" s="10" t="s">
        <v>88</v>
      </c>
      <c r="K705" s="10" t="s">
        <v>35</v>
      </c>
      <c r="L705" s="10" t="s">
        <v>89</v>
      </c>
      <c r="M705" s="10" t="s">
        <v>1881</v>
      </c>
      <c r="N705" s="11">
        <v>276.11</v>
      </c>
      <c r="O705" s="12">
        <v>1</v>
      </c>
      <c r="P705" s="13">
        <v>0</v>
      </c>
      <c r="Q705" s="11">
        <v>97.46</v>
      </c>
    </row>
    <row r="706" spans="1:17" x14ac:dyDescent="0.3">
      <c r="A706" s="2" t="s">
        <v>1882</v>
      </c>
      <c r="B706" s="3">
        <v>44453</v>
      </c>
      <c r="C706" s="3">
        <v>44457</v>
      </c>
      <c r="D706" s="2" t="s">
        <v>73</v>
      </c>
      <c r="E706" s="2" t="s">
        <v>1258</v>
      </c>
      <c r="F706" s="4" t="s">
        <v>1259</v>
      </c>
      <c r="G706" s="4" t="s">
        <v>21</v>
      </c>
      <c r="H706" s="4" t="s">
        <v>438</v>
      </c>
      <c r="I706" s="4" t="s">
        <v>157</v>
      </c>
      <c r="J706" s="4" t="s">
        <v>88</v>
      </c>
      <c r="K706" s="4" t="s">
        <v>45</v>
      </c>
      <c r="L706" s="4" t="s">
        <v>99</v>
      </c>
      <c r="M706" s="4" t="s">
        <v>1883</v>
      </c>
      <c r="N706" s="5">
        <v>1403.21</v>
      </c>
      <c r="O706" s="6">
        <v>9</v>
      </c>
      <c r="P706" s="7">
        <v>1.27</v>
      </c>
      <c r="Q706" s="5">
        <v>76.36</v>
      </c>
    </row>
    <row r="707" spans="1:17" x14ac:dyDescent="0.3">
      <c r="A707" s="8" t="s">
        <v>1884</v>
      </c>
      <c r="B707" s="9">
        <v>44362</v>
      </c>
      <c r="C707" s="9">
        <v>44367</v>
      </c>
      <c r="D707" s="8" t="s">
        <v>29</v>
      </c>
      <c r="E707" s="8" t="s">
        <v>120</v>
      </c>
      <c r="F707" s="10" t="s">
        <v>121</v>
      </c>
      <c r="G707" s="10" t="s">
        <v>21</v>
      </c>
      <c r="H707" s="10" t="s">
        <v>122</v>
      </c>
      <c r="I707" s="10" t="s">
        <v>123</v>
      </c>
      <c r="J707" s="10" t="s">
        <v>24</v>
      </c>
      <c r="K707" s="10" t="s">
        <v>35</v>
      </c>
      <c r="L707" s="10" t="s">
        <v>295</v>
      </c>
      <c r="M707" s="10" t="s">
        <v>1885</v>
      </c>
      <c r="N707" s="11">
        <v>149.80000000000001</v>
      </c>
      <c r="O707" s="12">
        <v>4</v>
      </c>
      <c r="P707" s="13">
        <v>0.05</v>
      </c>
      <c r="Q707" s="11">
        <v>76.010000000000005</v>
      </c>
    </row>
    <row r="708" spans="1:17" x14ac:dyDescent="0.3">
      <c r="A708" s="2" t="s">
        <v>1886</v>
      </c>
      <c r="B708" s="3">
        <v>45435</v>
      </c>
      <c r="C708" s="3">
        <v>45440</v>
      </c>
      <c r="D708" s="2" t="s">
        <v>29</v>
      </c>
      <c r="E708" s="2" t="s">
        <v>1158</v>
      </c>
      <c r="F708" s="4" t="s">
        <v>1159</v>
      </c>
      <c r="G708" s="4" t="s">
        <v>42</v>
      </c>
      <c r="H708" s="4" t="s">
        <v>346</v>
      </c>
      <c r="I708" s="4" t="s">
        <v>347</v>
      </c>
      <c r="J708" s="4" t="s">
        <v>88</v>
      </c>
      <c r="K708" s="4" t="s">
        <v>25</v>
      </c>
      <c r="L708" s="4" t="s">
        <v>74</v>
      </c>
      <c r="M708" s="4" t="s">
        <v>1887</v>
      </c>
      <c r="N708" s="5">
        <v>3380.4</v>
      </c>
      <c r="O708" s="6">
        <v>6</v>
      </c>
      <c r="P708" s="7">
        <v>0.1</v>
      </c>
      <c r="Q708" s="5">
        <v>914.18</v>
      </c>
    </row>
    <row r="709" spans="1:17" x14ac:dyDescent="0.3">
      <c r="A709" s="8" t="s">
        <v>1888</v>
      </c>
      <c r="B709" s="9">
        <v>44498</v>
      </c>
      <c r="C709" s="9">
        <v>44502</v>
      </c>
      <c r="D709" s="8" t="s">
        <v>39</v>
      </c>
      <c r="E709" s="8" t="s">
        <v>547</v>
      </c>
      <c r="F709" s="10" t="s">
        <v>548</v>
      </c>
      <c r="G709" s="10" t="s">
        <v>51</v>
      </c>
      <c r="H709" s="10" t="s">
        <v>156</v>
      </c>
      <c r="I709" s="10" t="s">
        <v>157</v>
      </c>
      <c r="J709" s="10" t="s">
        <v>88</v>
      </c>
      <c r="K709" s="10" t="s">
        <v>45</v>
      </c>
      <c r="L709" s="10" t="s">
        <v>46</v>
      </c>
      <c r="M709" s="10" t="s">
        <v>1889</v>
      </c>
      <c r="N709" s="11">
        <v>699.92</v>
      </c>
      <c r="O709" s="12">
        <v>1</v>
      </c>
      <c r="P709" s="13">
        <v>0.05</v>
      </c>
      <c r="Q709" s="11">
        <v>229.62</v>
      </c>
    </row>
    <row r="710" spans="1:17" x14ac:dyDescent="0.3">
      <c r="A710" s="2" t="s">
        <v>1890</v>
      </c>
      <c r="B710" s="3">
        <v>44583</v>
      </c>
      <c r="C710" s="3">
        <v>44586</v>
      </c>
      <c r="D710" s="2" t="s">
        <v>73</v>
      </c>
      <c r="E710" s="2" t="s">
        <v>236</v>
      </c>
      <c r="F710" s="4" t="s">
        <v>237</v>
      </c>
      <c r="G710" s="4" t="s">
        <v>51</v>
      </c>
      <c r="H710" s="4" t="s">
        <v>22</v>
      </c>
      <c r="I710" s="4" t="s">
        <v>23</v>
      </c>
      <c r="J710" s="4" t="s">
        <v>24</v>
      </c>
      <c r="K710" s="4" t="s">
        <v>35</v>
      </c>
      <c r="L710" s="4" t="s">
        <v>81</v>
      </c>
      <c r="M710" s="4" t="s">
        <v>1891</v>
      </c>
      <c r="N710" s="5">
        <v>18.32</v>
      </c>
      <c r="O710" s="6">
        <v>2</v>
      </c>
      <c r="P710" s="7">
        <v>0.4</v>
      </c>
      <c r="Q710" s="5">
        <v>2.5099999999999998</v>
      </c>
    </row>
    <row r="711" spans="1:17" x14ac:dyDescent="0.3">
      <c r="A711" s="8" t="s">
        <v>1892</v>
      </c>
      <c r="B711" s="9">
        <v>45481</v>
      </c>
      <c r="C711" s="9">
        <v>45484</v>
      </c>
      <c r="D711" s="8" t="s">
        <v>39</v>
      </c>
      <c r="E711" s="8" t="s">
        <v>1097</v>
      </c>
      <c r="F711" s="10" t="s">
        <v>1098</v>
      </c>
      <c r="G711" s="10" t="s">
        <v>42</v>
      </c>
      <c r="H711" s="10" t="s">
        <v>417</v>
      </c>
      <c r="I711" s="10" t="s">
        <v>123</v>
      </c>
      <c r="J711" s="10" t="s">
        <v>24</v>
      </c>
      <c r="K711" s="10" t="s">
        <v>25</v>
      </c>
      <c r="L711" s="10" t="s">
        <v>68</v>
      </c>
      <c r="M711" s="10" t="s">
        <v>1893</v>
      </c>
      <c r="N711" s="11">
        <v>493.16</v>
      </c>
      <c r="O711" s="12">
        <v>8</v>
      </c>
      <c r="P711" s="13">
        <v>0.5</v>
      </c>
      <c r="Q711" s="11">
        <v>-169.69</v>
      </c>
    </row>
    <row r="712" spans="1:17" x14ac:dyDescent="0.3">
      <c r="A712" s="2" t="s">
        <v>1894</v>
      </c>
      <c r="B712" s="3">
        <v>45304</v>
      </c>
      <c r="C712" s="3">
        <v>45309</v>
      </c>
      <c r="D712" s="2" t="s">
        <v>29</v>
      </c>
      <c r="E712" s="2" t="s">
        <v>143</v>
      </c>
      <c r="F712" s="4" t="s">
        <v>144</v>
      </c>
      <c r="G712" s="4" t="s">
        <v>21</v>
      </c>
      <c r="H712" s="4" t="s">
        <v>145</v>
      </c>
      <c r="I712" s="4" t="s">
        <v>140</v>
      </c>
      <c r="J712" s="4" t="s">
        <v>24</v>
      </c>
      <c r="K712" s="4" t="s">
        <v>25</v>
      </c>
      <c r="L712" s="4" t="s">
        <v>74</v>
      </c>
      <c r="M712" s="4" t="s">
        <v>1895</v>
      </c>
      <c r="N712" s="5">
        <v>1222.47</v>
      </c>
      <c r="O712" s="6">
        <v>5</v>
      </c>
      <c r="P712" s="7">
        <v>0.4</v>
      </c>
      <c r="Q712" s="5">
        <v>10.23</v>
      </c>
    </row>
    <row r="713" spans="1:17" x14ac:dyDescent="0.3">
      <c r="A713" s="8" t="s">
        <v>1896</v>
      </c>
      <c r="B713" s="9">
        <v>44539</v>
      </c>
      <c r="C713" s="9">
        <v>44543</v>
      </c>
      <c r="D713" s="8" t="s">
        <v>39</v>
      </c>
      <c r="E713" s="8" t="s">
        <v>197</v>
      </c>
      <c r="F713" s="10" t="s">
        <v>198</v>
      </c>
      <c r="G713" s="10" t="s">
        <v>21</v>
      </c>
      <c r="H713" s="10" t="s">
        <v>129</v>
      </c>
      <c r="I713" s="10" t="s">
        <v>33</v>
      </c>
      <c r="J713" s="10" t="s">
        <v>34</v>
      </c>
      <c r="K713" s="10" t="s">
        <v>25</v>
      </c>
      <c r="L713" s="10" t="s">
        <v>124</v>
      </c>
      <c r="M713" s="10" t="s">
        <v>1897</v>
      </c>
      <c r="N713" s="11">
        <v>12483.55</v>
      </c>
      <c r="O713" s="12">
        <v>4</v>
      </c>
      <c r="P713" s="13">
        <v>0.2</v>
      </c>
      <c r="Q713" s="11">
        <v>1218.3599999999999</v>
      </c>
    </row>
    <row r="714" spans="1:17" x14ac:dyDescent="0.3">
      <c r="A714" s="2" t="s">
        <v>1898</v>
      </c>
      <c r="B714" s="3">
        <v>45137</v>
      </c>
      <c r="C714" s="3">
        <v>45140</v>
      </c>
      <c r="D714" s="2" t="s">
        <v>73</v>
      </c>
      <c r="E714" s="2" t="s">
        <v>163</v>
      </c>
      <c r="F714" s="4" t="s">
        <v>164</v>
      </c>
      <c r="G714" s="4" t="s">
        <v>21</v>
      </c>
      <c r="H714" s="4" t="s">
        <v>165</v>
      </c>
      <c r="I714" s="4" t="s">
        <v>44</v>
      </c>
      <c r="J714" s="4" t="s">
        <v>24</v>
      </c>
      <c r="K714" s="4" t="s">
        <v>25</v>
      </c>
      <c r="L714" s="4" t="s">
        <v>74</v>
      </c>
      <c r="M714" s="4" t="s">
        <v>1899</v>
      </c>
      <c r="N714" s="5">
        <v>2510.8000000000002</v>
      </c>
      <c r="O714" s="6">
        <v>8</v>
      </c>
      <c r="P714" s="7">
        <v>0</v>
      </c>
      <c r="Q714" s="5">
        <v>955.73</v>
      </c>
    </row>
    <row r="715" spans="1:17" x14ac:dyDescent="0.3">
      <c r="A715" s="8" t="s">
        <v>1900</v>
      </c>
      <c r="B715" s="9">
        <v>44680</v>
      </c>
      <c r="C715" s="9">
        <v>44682</v>
      </c>
      <c r="D715" s="8" t="s">
        <v>39</v>
      </c>
      <c r="E715" s="8" t="s">
        <v>426</v>
      </c>
      <c r="F715" s="10" t="s">
        <v>427</v>
      </c>
      <c r="G715" s="10" t="s">
        <v>42</v>
      </c>
      <c r="H715" s="10" t="s">
        <v>412</v>
      </c>
      <c r="I715" s="10" t="s">
        <v>178</v>
      </c>
      <c r="J715" s="10" t="s">
        <v>24</v>
      </c>
      <c r="K715" s="10" t="s">
        <v>25</v>
      </c>
      <c r="L715" s="10" t="s">
        <v>124</v>
      </c>
      <c r="M715" s="10" t="s">
        <v>1901</v>
      </c>
      <c r="N715" s="11">
        <v>1876.7</v>
      </c>
      <c r="O715" s="12">
        <v>6</v>
      </c>
      <c r="P715" s="13">
        <v>0.15</v>
      </c>
      <c r="Q715" s="11">
        <v>176.55</v>
      </c>
    </row>
    <row r="716" spans="1:17" x14ac:dyDescent="0.3">
      <c r="A716" s="2" t="s">
        <v>1902</v>
      </c>
      <c r="B716" s="3">
        <v>44626</v>
      </c>
      <c r="C716" s="3">
        <v>44633</v>
      </c>
      <c r="D716" s="2" t="s">
        <v>29</v>
      </c>
      <c r="E716" s="2" t="s">
        <v>1578</v>
      </c>
      <c r="F716" s="4" t="s">
        <v>1579</v>
      </c>
      <c r="G716" s="4" t="s">
        <v>51</v>
      </c>
      <c r="H716" s="4" t="s">
        <v>207</v>
      </c>
      <c r="I716" s="4" t="s">
        <v>60</v>
      </c>
      <c r="J716" s="4" t="s">
        <v>54</v>
      </c>
      <c r="K716" s="4" t="s">
        <v>35</v>
      </c>
      <c r="L716" s="4" t="s">
        <v>166</v>
      </c>
      <c r="M716" s="4" t="s">
        <v>1903</v>
      </c>
      <c r="N716" s="5">
        <v>329.22</v>
      </c>
      <c r="O716" s="6">
        <v>6</v>
      </c>
      <c r="P716" s="7">
        <v>0.5</v>
      </c>
      <c r="Q716" s="5">
        <v>-135.71</v>
      </c>
    </row>
    <row r="717" spans="1:17" x14ac:dyDescent="0.3">
      <c r="A717" s="8" t="s">
        <v>1904</v>
      </c>
      <c r="B717" s="9">
        <v>44640</v>
      </c>
      <c r="C717" s="9">
        <v>44642</v>
      </c>
      <c r="D717" s="8" t="s">
        <v>18</v>
      </c>
      <c r="E717" s="8" t="s">
        <v>817</v>
      </c>
      <c r="F717" s="10" t="s">
        <v>818</v>
      </c>
      <c r="G717" s="10" t="s">
        <v>42</v>
      </c>
      <c r="H717" s="10" t="s">
        <v>98</v>
      </c>
      <c r="I717" s="10" t="s">
        <v>80</v>
      </c>
      <c r="J717" s="10" t="s">
        <v>54</v>
      </c>
      <c r="K717" s="10" t="s">
        <v>25</v>
      </c>
      <c r="L717" s="10" t="s">
        <v>124</v>
      </c>
      <c r="M717" s="10" t="s">
        <v>1905</v>
      </c>
      <c r="N717" s="11">
        <v>3905.75</v>
      </c>
      <c r="O717" s="12">
        <v>9</v>
      </c>
      <c r="P717" s="13">
        <v>0.3</v>
      </c>
      <c r="Q717" s="11">
        <v>-602.33000000000004</v>
      </c>
    </row>
    <row r="718" spans="1:17" x14ac:dyDescent="0.3">
      <c r="A718" s="2" t="s">
        <v>1906</v>
      </c>
      <c r="B718" s="3">
        <v>44737</v>
      </c>
      <c r="C718" s="3">
        <v>44742</v>
      </c>
      <c r="D718" s="2" t="s">
        <v>29</v>
      </c>
      <c r="E718" s="2" t="s">
        <v>187</v>
      </c>
      <c r="F718" s="4" t="s">
        <v>188</v>
      </c>
      <c r="G718" s="4" t="s">
        <v>21</v>
      </c>
      <c r="H718" s="4" t="s">
        <v>22</v>
      </c>
      <c r="I718" s="4" t="s">
        <v>23</v>
      </c>
      <c r="J718" s="4" t="s">
        <v>24</v>
      </c>
      <c r="K718" s="4" t="s">
        <v>45</v>
      </c>
      <c r="L718" s="4" t="s">
        <v>46</v>
      </c>
      <c r="M718" s="4" t="s">
        <v>1907</v>
      </c>
      <c r="N718" s="5">
        <v>3329.26</v>
      </c>
      <c r="O718" s="6">
        <v>7</v>
      </c>
      <c r="P718" s="7">
        <v>0.15</v>
      </c>
      <c r="Q718" s="5">
        <v>1083.6400000000001</v>
      </c>
    </row>
    <row r="719" spans="1:17" x14ac:dyDescent="0.3">
      <c r="A719" s="8" t="s">
        <v>1908</v>
      </c>
      <c r="B719" s="9">
        <v>45551</v>
      </c>
      <c r="C719" s="9">
        <v>45558</v>
      </c>
      <c r="D719" s="8" t="s">
        <v>29</v>
      </c>
      <c r="E719" s="8" t="s">
        <v>181</v>
      </c>
      <c r="F719" s="10" t="s">
        <v>182</v>
      </c>
      <c r="G719" s="10" t="s">
        <v>21</v>
      </c>
      <c r="H719" s="10" t="s">
        <v>183</v>
      </c>
      <c r="I719" s="10" t="s">
        <v>184</v>
      </c>
      <c r="J719" s="10" t="s">
        <v>54</v>
      </c>
      <c r="K719" s="10" t="s">
        <v>45</v>
      </c>
      <c r="L719" s="10" t="s">
        <v>61</v>
      </c>
      <c r="M719" s="10" t="s">
        <v>1909</v>
      </c>
      <c r="N719" s="11">
        <v>3773.8</v>
      </c>
      <c r="O719" s="12">
        <v>6</v>
      </c>
      <c r="P719" s="13">
        <v>0.05</v>
      </c>
      <c r="Q719" s="11">
        <v>-115.5</v>
      </c>
    </row>
    <row r="720" spans="1:17" x14ac:dyDescent="0.3">
      <c r="A720" s="2" t="s">
        <v>1910</v>
      </c>
      <c r="B720" s="3">
        <v>45480</v>
      </c>
      <c r="C720" s="3">
        <v>45487</v>
      </c>
      <c r="D720" s="2" t="s">
        <v>29</v>
      </c>
      <c r="E720" s="2" t="s">
        <v>1097</v>
      </c>
      <c r="F720" s="4" t="s">
        <v>1098</v>
      </c>
      <c r="G720" s="4" t="s">
        <v>42</v>
      </c>
      <c r="H720" s="4" t="s">
        <v>417</v>
      </c>
      <c r="I720" s="4" t="s">
        <v>123</v>
      </c>
      <c r="J720" s="4" t="s">
        <v>24</v>
      </c>
      <c r="K720" s="4" t="s">
        <v>25</v>
      </c>
      <c r="L720" s="4" t="s">
        <v>68</v>
      </c>
      <c r="M720" s="4" t="s">
        <v>1911</v>
      </c>
      <c r="N720" s="5">
        <v>305.89</v>
      </c>
      <c r="O720" s="6">
        <v>3</v>
      </c>
      <c r="P720" s="7">
        <v>0.4</v>
      </c>
      <c r="Q720" s="5">
        <v>24.76</v>
      </c>
    </row>
    <row r="721" spans="1:17" x14ac:dyDescent="0.3">
      <c r="A721" s="8" t="s">
        <v>1912</v>
      </c>
      <c r="B721" s="9">
        <v>44501</v>
      </c>
      <c r="C721" s="9">
        <v>44505</v>
      </c>
      <c r="D721" s="8" t="s">
        <v>73</v>
      </c>
      <c r="E721" s="8" t="s">
        <v>954</v>
      </c>
      <c r="F721" s="10" t="s">
        <v>955</v>
      </c>
      <c r="G721" s="10" t="s">
        <v>51</v>
      </c>
      <c r="H721" s="10" t="s">
        <v>386</v>
      </c>
      <c r="I721" s="10" t="s">
        <v>347</v>
      </c>
      <c r="J721" s="10" t="s">
        <v>88</v>
      </c>
      <c r="K721" s="10" t="s">
        <v>35</v>
      </c>
      <c r="L721" s="10" t="s">
        <v>229</v>
      </c>
      <c r="M721" s="10" t="s">
        <v>1913</v>
      </c>
      <c r="N721" s="11">
        <v>32.799999999999997</v>
      </c>
      <c r="O721" s="12">
        <v>2</v>
      </c>
      <c r="P721" s="13">
        <v>0</v>
      </c>
      <c r="Q721" s="11">
        <v>13.85</v>
      </c>
    </row>
    <row r="722" spans="1:17" x14ac:dyDescent="0.3">
      <c r="A722" s="2" t="s">
        <v>1914</v>
      </c>
      <c r="B722" s="3">
        <v>45434</v>
      </c>
      <c r="C722" s="3">
        <v>45441</v>
      </c>
      <c r="D722" s="2" t="s">
        <v>29</v>
      </c>
      <c r="E722" s="2" t="s">
        <v>753</v>
      </c>
      <c r="F722" s="4" t="s">
        <v>754</v>
      </c>
      <c r="G722" s="4" t="s">
        <v>42</v>
      </c>
      <c r="H722" s="4" t="s">
        <v>22</v>
      </c>
      <c r="I722" s="4" t="s">
        <v>23</v>
      </c>
      <c r="J722" s="4" t="s">
        <v>24</v>
      </c>
      <c r="K722" s="4" t="s">
        <v>35</v>
      </c>
      <c r="L722" s="4" t="s">
        <v>110</v>
      </c>
      <c r="M722" s="4" t="s">
        <v>62</v>
      </c>
      <c r="N722" s="5">
        <v>138.81</v>
      </c>
      <c r="O722" s="6">
        <v>6</v>
      </c>
      <c r="P722" s="7">
        <v>0.3</v>
      </c>
      <c r="Q722" s="5">
        <v>20.46</v>
      </c>
    </row>
    <row r="723" spans="1:17" x14ac:dyDescent="0.3">
      <c r="A723" s="8" t="s">
        <v>1915</v>
      </c>
      <c r="B723" s="9">
        <v>44656</v>
      </c>
      <c r="C723" s="9">
        <v>44660</v>
      </c>
      <c r="D723" s="8" t="s">
        <v>73</v>
      </c>
      <c r="E723" s="8" t="s">
        <v>1219</v>
      </c>
      <c r="F723" s="10" t="s">
        <v>1220</v>
      </c>
      <c r="G723" s="10" t="s">
        <v>21</v>
      </c>
      <c r="H723" s="10" t="s">
        <v>438</v>
      </c>
      <c r="I723" s="10" t="s">
        <v>157</v>
      </c>
      <c r="J723" s="10" t="s">
        <v>88</v>
      </c>
      <c r="K723" s="10" t="s">
        <v>35</v>
      </c>
      <c r="L723" s="10" t="s">
        <v>89</v>
      </c>
      <c r="M723" s="10" t="s">
        <v>1916</v>
      </c>
      <c r="N723" s="11">
        <v>114.07</v>
      </c>
      <c r="O723" s="12">
        <v>7</v>
      </c>
      <c r="P723" s="13">
        <v>0.2</v>
      </c>
      <c r="Q723" s="11">
        <v>22.66</v>
      </c>
    </row>
    <row r="724" spans="1:17" x14ac:dyDescent="0.3">
      <c r="A724" s="2" t="s">
        <v>1917</v>
      </c>
      <c r="B724" s="3">
        <v>44940</v>
      </c>
      <c r="C724" s="3">
        <v>44946</v>
      </c>
      <c r="D724" s="2" t="s">
        <v>29</v>
      </c>
      <c r="E724" s="2" t="s">
        <v>682</v>
      </c>
      <c r="F724" s="4" t="s">
        <v>683</v>
      </c>
      <c r="G724" s="4" t="s">
        <v>21</v>
      </c>
      <c r="H724" s="4" t="s">
        <v>66</v>
      </c>
      <c r="I724" s="4" t="s">
        <v>67</v>
      </c>
      <c r="J724" s="4" t="s">
        <v>34</v>
      </c>
      <c r="K724" s="4" t="s">
        <v>45</v>
      </c>
      <c r="L724" s="4" t="s">
        <v>99</v>
      </c>
      <c r="M724" s="4" t="s">
        <v>1918</v>
      </c>
      <c r="N724" s="5">
        <v>621.67999999999995</v>
      </c>
      <c r="O724" s="6">
        <v>4</v>
      </c>
      <c r="P724" s="7">
        <v>0.05</v>
      </c>
      <c r="Q724" s="5">
        <v>126.42</v>
      </c>
    </row>
    <row r="725" spans="1:17" x14ac:dyDescent="0.3">
      <c r="A725" s="8" t="s">
        <v>1919</v>
      </c>
      <c r="B725" s="9">
        <v>44606</v>
      </c>
      <c r="C725" s="9">
        <v>44611</v>
      </c>
      <c r="D725" s="8" t="s">
        <v>73</v>
      </c>
      <c r="E725" s="8" t="s">
        <v>763</v>
      </c>
      <c r="F725" s="10" t="s">
        <v>764</v>
      </c>
      <c r="G725" s="10" t="s">
        <v>21</v>
      </c>
      <c r="H725" s="10" t="s">
        <v>765</v>
      </c>
      <c r="I725" s="10" t="s">
        <v>105</v>
      </c>
      <c r="J725" s="10" t="s">
        <v>88</v>
      </c>
      <c r="K725" s="10" t="s">
        <v>35</v>
      </c>
      <c r="L725" s="10" t="s">
        <v>36</v>
      </c>
      <c r="M725" s="10" t="s">
        <v>1920</v>
      </c>
      <c r="N725" s="11">
        <v>196</v>
      </c>
      <c r="O725" s="12">
        <v>2</v>
      </c>
      <c r="P725" s="13">
        <v>0.5</v>
      </c>
      <c r="Q725" s="11">
        <v>-12.88</v>
      </c>
    </row>
    <row r="726" spans="1:17" x14ac:dyDescent="0.3">
      <c r="A726" s="2" t="s">
        <v>1921</v>
      </c>
      <c r="B726" s="3">
        <v>44304</v>
      </c>
      <c r="C726" s="3">
        <v>44307</v>
      </c>
      <c r="D726" s="2" t="s">
        <v>73</v>
      </c>
      <c r="E726" s="2" t="s">
        <v>40</v>
      </c>
      <c r="F726" s="4" t="s">
        <v>41</v>
      </c>
      <c r="G726" s="4" t="s">
        <v>42</v>
      </c>
      <c r="H726" s="4" t="s">
        <v>43</v>
      </c>
      <c r="I726" s="4" t="s">
        <v>44</v>
      </c>
      <c r="J726" s="4" t="s">
        <v>833</v>
      </c>
      <c r="K726" s="4" t="s">
        <v>45</v>
      </c>
      <c r="L726" s="4" t="s">
        <v>61</v>
      </c>
      <c r="M726" s="4" t="s">
        <v>1922</v>
      </c>
      <c r="N726" s="5">
        <v>2107.77</v>
      </c>
      <c r="O726" s="6">
        <v>10</v>
      </c>
      <c r="P726" s="7">
        <v>0.3</v>
      </c>
      <c r="Q726" s="5">
        <v>-382.2</v>
      </c>
    </row>
    <row r="727" spans="1:17" x14ac:dyDescent="0.3">
      <c r="A727" s="8" t="s">
        <v>1923</v>
      </c>
      <c r="B727" s="9">
        <v>45599</v>
      </c>
      <c r="C727" s="9">
        <v>45602</v>
      </c>
      <c r="D727" s="8" t="s">
        <v>39</v>
      </c>
      <c r="E727" s="8" t="s">
        <v>580</v>
      </c>
      <c r="F727" s="10" t="s">
        <v>581</v>
      </c>
      <c r="G727" s="10" t="s">
        <v>51</v>
      </c>
      <c r="H727" s="10" t="s">
        <v>156</v>
      </c>
      <c r="I727" s="10" t="s">
        <v>157</v>
      </c>
      <c r="J727" s="10" t="s">
        <v>88</v>
      </c>
      <c r="K727" s="10" t="s">
        <v>45</v>
      </c>
      <c r="L727" s="10" t="s">
        <v>61</v>
      </c>
      <c r="M727" s="10" t="s">
        <v>1924</v>
      </c>
      <c r="N727" s="11">
        <v>2701.17</v>
      </c>
      <c r="O727" s="12">
        <v>9</v>
      </c>
      <c r="P727" s="13">
        <v>0.5</v>
      </c>
      <c r="Q727" s="11">
        <v>-2426.8000000000002</v>
      </c>
    </row>
    <row r="728" spans="1:17" x14ac:dyDescent="0.3">
      <c r="A728" s="2" t="s">
        <v>1925</v>
      </c>
      <c r="B728" s="3">
        <v>44673</v>
      </c>
      <c r="C728" s="3">
        <v>44675</v>
      </c>
      <c r="D728" s="2" t="s">
        <v>18</v>
      </c>
      <c r="E728" s="2" t="s">
        <v>1926</v>
      </c>
      <c r="F728" s="4" t="s">
        <v>1927</v>
      </c>
      <c r="G728" s="4" t="s">
        <v>51</v>
      </c>
      <c r="H728" s="4" t="s">
        <v>145</v>
      </c>
      <c r="I728" s="4" t="s">
        <v>140</v>
      </c>
      <c r="J728" s="4" t="s">
        <v>24</v>
      </c>
      <c r="K728" s="4" t="s">
        <v>25</v>
      </c>
      <c r="L728" s="4" t="s">
        <v>26</v>
      </c>
      <c r="M728" s="4" t="s">
        <v>1928</v>
      </c>
      <c r="N728" s="5">
        <v>1576.15</v>
      </c>
      <c r="O728" s="6">
        <v>10</v>
      </c>
      <c r="P728" s="7">
        <v>0.5</v>
      </c>
      <c r="Q728" s="5">
        <v>-900.11</v>
      </c>
    </row>
    <row r="729" spans="1:17" x14ac:dyDescent="0.3">
      <c r="A729" s="8" t="s">
        <v>1929</v>
      </c>
      <c r="B729" s="9">
        <v>45489</v>
      </c>
      <c r="C729" s="9">
        <v>45493</v>
      </c>
      <c r="D729" s="8" t="s">
        <v>73</v>
      </c>
      <c r="E729" s="8" t="s">
        <v>384</v>
      </c>
      <c r="F729" s="10" t="s">
        <v>385</v>
      </c>
      <c r="G729" s="10" t="s">
        <v>51</v>
      </c>
      <c r="H729" s="10" t="s">
        <v>386</v>
      </c>
      <c r="I729" s="10" t="s">
        <v>347</v>
      </c>
      <c r="J729" s="10" t="s">
        <v>88</v>
      </c>
      <c r="K729" s="10" t="s">
        <v>25</v>
      </c>
      <c r="L729" s="10" t="s">
        <v>74</v>
      </c>
      <c r="M729" s="10" t="s">
        <v>1930</v>
      </c>
      <c r="N729" s="11">
        <v>420.84</v>
      </c>
      <c r="O729" s="12">
        <v>3</v>
      </c>
      <c r="P729" s="13">
        <v>0</v>
      </c>
      <c r="Q729" s="11">
        <v>160.76</v>
      </c>
    </row>
    <row r="730" spans="1:17" x14ac:dyDescent="0.3">
      <c r="A730" s="2" t="s">
        <v>1931</v>
      </c>
      <c r="B730" s="3">
        <v>45651</v>
      </c>
      <c r="C730" s="3">
        <v>45652</v>
      </c>
      <c r="D730" s="2" t="s">
        <v>18</v>
      </c>
      <c r="E730" s="2" t="s">
        <v>813</v>
      </c>
      <c r="F730" s="4" t="s">
        <v>814</v>
      </c>
      <c r="G730" s="4" t="s">
        <v>51</v>
      </c>
      <c r="H730" s="4" t="s">
        <v>134</v>
      </c>
      <c r="I730" s="4" t="s">
        <v>87</v>
      </c>
      <c r="J730" s="4" t="s">
        <v>88</v>
      </c>
      <c r="K730" s="4" t="s">
        <v>45</v>
      </c>
      <c r="L730" s="4" t="s">
        <v>61</v>
      </c>
      <c r="M730" s="4" t="s">
        <v>1932</v>
      </c>
      <c r="N730" s="5">
        <v>6754.08</v>
      </c>
      <c r="O730" s="6">
        <v>8</v>
      </c>
      <c r="P730" s="7">
        <v>0</v>
      </c>
      <c r="Q730" s="5">
        <v>1118.8599999999999</v>
      </c>
    </row>
    <row r="731" spans="1:17" x14ac:dyDescent="0.3">
      <c r="A731" s="8" t="s">
        <v>1933</v>
      </c>
      <c r="B731" s="9">
        <v>44737</v>
      </c>
      <c r="C731" s="9">
        <v>44740</v>
      </c>
      <c r="D731" s="8" t="s">
        <v>18</v>
      </c>
      <c r="E731" s="8" t="s">
        <v>406</v>
      </c>
      <c r="F731" s="10" t="s">
        <v>407</v>
      </c>
      <c r="G731" s="10" t="s">
        <v>42</v>
      </c>
      <c r="H731" s="10" t="s">
        <v>165</v>
      </c>
      <c r="I731" s="10" t="s">
        <v>44</v>
      </c>
      <c r="J731" s="10" t="s">
        <v>24</v>
      </c>
      <c r="K731" s="10" t="s">
        <v>35</v>
      </c>
      <c r="L731" s="10" t="s">
        <v>166</v>
      </c>
      <c r="M731" s="10" t="s">
        <v>1934</v>
      </c>
      <c r="N731" s="11">
        <v>277.13</v>
      </c>
      <c r="O731" s="12">
        <v>9</v>
      </c>
      <c r="P731" s="13">
        <v>0.4</v>
      </c>
      <c r="Q731" s="11">
        <v>-66.790000000000006</v>
      </c>
    </row>
    <row r="732" spans="1:17" x14ac:dyDescent="0.3">
      <c r="A732" s="2" t="s">
        <v>1935</v>
      </c>
      <c r="B732" s="3">
        <v>45375</v>
      </c>
      <c r="C732" s="3">
        <v>45380</v>
      </c>
      <c r="D732" s="2" t="s">
        <v>29</v>
      </c>
      <c r="E732" s="2" t="s">
        <v>678</v>
      </c>
      <c r="F732" s="4" t="s">
        <v>679</v>
      </c>
      <c r="G732" s="4" t="s">
        <v>51</v>
      </c>
      <c r="H732" s="4" t="s">
        <v>122</v>
      </c>
      <c r="I732" s="4" t="s">
        <v>123</v>
      </c>
      <c r="J732" s="4" t="s">
        <v>24</v>
      </c>
      <c r="K732" s="4" t="s">
        <v>45</v>
      </c>
      <c r="L732" s="4" t="s">
        <v>117</v>
      </c>
      <c r="M732" s="4" t="s">
        <v>1936</v>
      </c>
      <c r="N732" s="5">
        <v>381.17</v>
      </c>
      <c r="O732" s="6">
        <v>7</v>
      </c>
      <c r="P732" s="7">
        <v>0.3</v>
      </c>
      <c r="Q732" s="5">
        <v>-32.92</v>
      </c>
    </row>
    <row r="733" spans="1:17" x14ac:dyDescent="0.3">
      <c r="A733" s="8" t="s">
        <v>1937</v>
      </c>
      <c r="B733" s="9">
        <v>44521</v>
      </c>
      <c r="C733" s="9">
        <v>44526</v>
      </c>
      <c r="D733" s="8" t="s">
        <v>73</v>
      </c>
      <c r="E733" s="8" t="s">
        <v>1938</v>
      </c>
      <c r="F733" s="10" t="s">
        <v>1939</v>
      </c>
      <c r="G733" s="10" t="s">
        <v>51</v>
      </c>
      <c r="H733" s="10" t="s">
        <v>1091</v>
      </c>
      <c r="I733" s="10" t="s">
        <v>23</v>
      </c>
      <c r="J733" s="10" t="s">
        <v>24</v>
      </c>
      <c r="K733" s="10" t="s">
        <v>25</v>
      </c>
      <c r="L733" s="10" t="s">
        <v>68</v>
      </c>
      <c r="M733" s="10" t="s">
        <v>1940</v>
      </c>
      <c r="N733" s="11">
        <v>1079.24</v>
      </c>
      <c r="O733" s="12">
        <v>6</v>
      </c>
      <c r="P733" s="13">
        <v>0.1</v>
      </c>
      <c r="Q733" s="11">
        <v>387.17</v>
      </c>
    </row>
    <row r="734" spans="1:17" x14ac:dyDescent="0.3">
      <c r="A734" s="2" t="s">
        <v>1941</v>
      </c>
      <c r="B734" s="3">
        <v>45250</v>
      </c>
      <c r="C734" s="3">
        <v>45254</v>
      </c>
      <c r="D734" s="2" t="s">
        <v>73</v>
      </c>
      <c r="E734" s="2" t="s">
        <v>566</v>
      </c>
      <c r="F734" s="4" t="s">
        <v>567</v>
      </c>
      <c r="G734" s="4" t="s">
        <v>21</v>
      </c>
      <c r="H734" s="4" t="s">
        <v>156</v>
      </c>
      <c r="I734" s="4" t="s">
        <v>157</v>
      </c>
      <c r="J734" s="4" t="s">
        <v>88</v>
      </c>
      <c r="K734" s="4" t="s">
        <v>35</v>
      </c>
      <c r="L734" s="4" t="s">
        <v>36</v>
      </c>
      <c r="M734" s="4" t="s">
        <v>1942</v>
      </c>
      <c r="N734" s="5">
        <v>397.4</v>
      </c>
      <c r="O734" s="6">
        <v>8</v>
      </c>
      <c r="P734" s="7">
        <v>0.05</v>
      </c>
      <c r="Q734" s="5">
        <v>182.57</v>
      </c>
    </row>
    <row r="735" spans="1:17" x14ac:dyDescent="0.3">
      <c r="A735" s="8" t="s">
        <v>1943</v>
      </c>
      <c r="B735" s="9">
        <v>45517</v>
      </c>
      <c r="C735" s="9">
        <v>45519</v>
      </c>
      <c r="D735" s="8" t="s">
        <v>18</v>
      </c>
      <c r="E735" s="8" t="s">
        <v>512</v>
      </c>
      <c r="F735" s="10" t="s">
        <v>513</v>
      </c>
      <c r="G735" s="10" t="s">
        <v>21</v>
      </c>
      <c r="H735" s="10" t="s">
        <v>104</v>
      </c>
      <c r="I735" s="10" t="s">
        <v>105</v>
      </c>
      <c r="J735" s="10" t="s">
        <v>88</v>
      </c>
      <c r="K735" s="10" t="s">
        <v>25</v>
      </c>
      <c r="L735" s="10" t="s">
        <v>68</v>
      </c>
      <c r="M735" s="10" t="s">
        <v>1944</v>
      </c>
      <c r="N735" s="11">
        <v>386.23</v>
      </c>
      <c r="O735" s="12">
        <v>3</v>
      </c>
      <c r="P735" s="13">
        <v>0.2</v>
      </c>
      <c r="Q735" s="11">
        <v>97.78</v>
      </c>
    </row>
    <row r="736" spans="1:17" x14ac:dyDescent="0.3">
      <c r="A736" s="2" t="s">
        <v>1945</v>
      </c>
      <c r="B736" s="3">
        <v>45538</v>
      </c>
      <c r="C736" s="3">
        <v>45542</v>
      </c>
      <c r="D736" s="2" t="s">
        <v>73</v>
      </c>
      <c r="E736" s="2" t="s">
        <v>654</v>
      </c>
      <c r="F736" s="4" t="s">
        <v>655</v>
      </c>
      <c r="G736" s="4" t="s">
        <v>21</v>
      </c>
      <c r="H736" s="4" t="s">
        <v>66</v>
      </c>
      <c r="I736" s="4" t="s">
        <v>67</v>
      </c>
      <c r="J736" s="4" t="s">
        <v>34</v>
      </c>
      <c r="K736" s="4" t="s">
        <v>45</v>
      </c>
      <c r="L736" s="4" t="s">
        <v>61</v>
      </c>
      <c r="M736" s="4" t="s">
        <v>1946</v>
      </c>
      <c r="N736" s="5">
        <v>207.8</v>
      </c>
      <c r="O736" s="6">
        <v>1</v>
      </c>
      <c r="P736" s="7">
        <v>0.15</v>
      </c>
      <c r="Q736" s="5">
        <v>-6.34</v>
      </c>
    </row>
    <row r="737" spans="1:17" x14ac:dyDescent="0.3">
      <c r="A737" s="8" t="s">
        <v>1947</v>
      </c>
      <c r="B737" s="9">
        <v>45528</v>
      </c>
      <c r="C737" s="9">
        <v>45530</v>
      </c>
      <c r="D737" s="8" t="s">
        <v>18</v>
      </c>
      <c r="E737" s="8" t="s">
        <v>650</v>
      </c>
      <c r="F737" s="10" t="s">
        <v>651</v>
      </c>
      <c r="G737" s="10" t="s">
        <v>42</v>
      </c>
      <c r="H737" s="10" t="s">
        <v>438</v>
      </c>
      <c r="I737" s="10" t="s">
        <v>157</v>
      </c>
      <c r="J737" s="10" t="s">
        <v>88</v>
      </c>
      <c r="K737" s="10" t="s">
        <v>25</v>
      </c>
      <c r="L737" s="10" t="s">
        <v>124</v>
      </c>
      <c r="M737" s="10" t="s">
        <v>1948</v>
      </c>
      <c r="N737" s="11">
        <v>19007.45</v>
      </c>
      <c r="O737" s="12">
        <v>7</v>
      </c>
      <c r="P737" s="13">
        <v>0</v>
      </c>
      <c r="Q737" s="11">
        <v>3907.23</v>
      </c>
    </row>
    <row r="738" spans="1:17" x14ac:dyDescent="0.3">
      <c r="A738" s="2" t="s">
        <v>1949</v>
      </c>
      <c r="B738" s="3">
        <v>44261</v>
      </c>
      <c r="C738" s="3">
        <v>44262</v>
      </c>
      <c r="D738" s="2" t="s">
        <v>18</v>
      </c>
      <c r="E738" s="2" t="s">
        <v>1001</v>
      </c>
      <c r="F738" s="4" t="s">
        <v>1002</v>
      </c>
      <c r="G738" s="4" t="s">
        <v>21</v>
      </c>
      <c r="H738" s="4" t="s">
        <v>59</v>
      </c>
      <c r="I738" s="4" t="s">
        <v>60</v>
      </c>
      <c r="J738" s="4" t="s">
        <v>54</v>
      </c>
      <c r="K738" s="4" t="s">
        <v>25</v>
      </c>
      <c r="L738" s="4" t="s">
        <v>124</v>
      </c>
      <c r="M738" s="4" t="s">
        <v>1950</v>
      </c>
      <c r="N738" s="5">
        <v>10857.27</v>
      </c>
      <c r="O738" s="6">
        <v>3</v>
      </c>
      <c r="P738" s="7">
        <v>0.05</v>
      </c>
      <c r="Q738" s="5">
        <v>2614.54</v>
      </c>
    </row>
    <row r="739" spans="1:17" x14ac:dyDescent="0.3">
      <c r="A739" s="8" t="s">
        <v>1951</v>
      </c>
      <c r="B739" s="9">
        <v>44206</v>
      </c>
      <c r="C739" s="9">
        <v>44212</v>
      </c>
      <c r="D739" s="8" t="s">
        <v>29</v>
      </c>
      <c r="E739" s="8" t="s">
        <v>1166</v>
      </c>
      <c r="F739" s="10" t="s">
        <v>1167</v>
      </c>
      <c r="G739" s="10" t="s">
        <v>21</v>
      </c>
      <c r="H739" s="10" t="s">
        <v>98</v>
      </c>
      <c r="I739" s="10" t="s">
        <v>80</v>
      </c>
      <c r="J739" s="10" t="s">
        <v>54</v>
      </c>
      <c r="K739" s="10" t="s">
        <v>25</v>
      </c>
      <c r="L739" s="10" t="s">
        <v>68</v>
      </c>
      <c r="M739" s="10" t="s">
        <v>1952</v>
      </c>
      <c r="N739" s="11">
        <v>294.77</v>
      </c>
      <c r="O739" s="12">
        <v>5</v>
      </c>
      <c r="P739" s="13">
        <v>0.3</v>
      </c>
      <c r="Q739" s="11">
        <v>72.27</v>
      </c>
    </row>
    <row r="740" spans="1:17" x14ac:dyDescent="0.3">
      <c r="A740" s="2" t="s">
        <v>1953</v>
      </c>
      <c r="B740" s="3">
        <v>45550</v>
      </c>
      <c r="C740" s="3">
        <v>45552</v>
      </c>
      <c r="D740" s="2" t="s">
        <v>39</v>
      </c>
      <c r="E740" s="2" t="s">
        <v>120</v>
      </c>
      <c r="F740" s="4" t="s">
        <v>121</v>
      </c>
      <c r="G740" s="4" t="s">
        <v>21</v>
      </c>
      <c r="H740" s="4" t="s">
        <v>122</v>
      </c>
      <c r="I740" s="4" t="s">
        <v>123</v>
      </c>
      <c r="J740" s="4" t="s">
        <v>24</v>
      </c>
      <c r="K740" s="4" t="s">
        <v>35</v>
      </c>
      <c r="L740" s="4" t="s">
        <v>216</v>
      </c>
      <c r="M740" s="4" t="s">
        <v>1954</v>
      </c>
      <c r="N740" s="5">
        <v>100.84</v>
      </c>
      <c r="O740" s="6">
        <v>7</v>
      </c>
      <c r="P740" s="7">
        <v>0.3</v>
      </c>
      <c r="Q740" s="5">
        <v>21.86</v>
      </c>
    </row>
    <row r="741" spans="1:17" x14ac:dyDescent="0.3">
      <c r="A741" s="8" t="s">
        <v>1955</v>
      </c>
      <c r="B741" s="9">
        <v>45542</v>
      </c>
      <c r="C741" s="9">
        <v>45543</v>
      </c>
      <c r="D741" s="8" t="s">
        <v>18</v>
      </c>
      <c r="E741" s="8" t="s">
        <v>163</v>
      </c>
      <c r="F741" s="10" t="s">
        <v>164</v>
      </c>
      <c r="G741" s="10" t="s">
        <v>21</v>
      </c>
      <c r="H741" s="10" t="s">
        <v>165</v>
      </c>
      <c r="I741" s="10" t="s">
        <v>44</v>
      </c>
      <c r="J741" s="10" t="s">
        <v>24</v>
      </c>
      <c r="K741" s="10" t="s">
        <v>25</v>
      </c>
      <c r="L741" s="10" t="s">
        <v>124</v>
      </c>
      <c r="M741" s="10" t="s">
        <v>1956</v>
      </c>
      <c r="N741" s="11">
        <v>7423.02</v>
      </c>
      <c r="O741" s="12">
        <v>6</v>
      </c>
      <c r="P741" s="13">
        <v>0.5</v>
      </c>
      <c r="Q741" s="11">
        <v>-4551.09</v>
      </c>
    </row>
    <row r="742" spans="1:17" x14ac:dyDescent="0.3">
      <c r="A742" s="2" t="s">
        <v>1957</v>
      </c>
      <c r="B742" s="3">
        <v>44628</v>
      </c>
      <c r="C742" s="3">
        <v>44633</v>
      </c>
      <c r="D742" s="2" t="s">
        <v>73</v>
      </c>
      <c r="E742" s="2" t="s">
        <v>789</v>
      </c>
      <c r="F742" s="4" t="s">
        <v>790</v>
      </c>
      <c r="G742" s="4" t="s">
        <v>51</v>
      </c>
      <c r="H742" s="4" t="s">
        <v>530</v>
      </c>
      <c r="I742" s="4" t="s">
        <v>373</v>
      </c>
      <c r="J742" s="4" t="s">
        <v>34</v>
      </c>
      <c r="K742" s="4" t="s">
        <v>35</v>
      </c>
      <c r="L742" s="4" t="s">
        <v>295</v>
      </c>
      <c r="M742" s="4" t="s">
        <v>1958</v>
      </c>
      <c r="N742" s="5">
        <v>56.46</v>
      </c>
      <c r="O742" s="6">
        <v>6</v>
      </c>
      <c r="P742" s="7">
        <v>0</v>
      </c>
      <c r="Q742" s="5">
        <v>25.27</v>
      </c>
    </row>
    <row r="743" spans="1:17" x14ac:dyDescent="0.3">
      <c r="A743" s="8" t="s">
        <v>1959</v>
      </c>
      <c r="B743" s="9">
        <v>45383</v>
      </c>
      <c r="C743" s="9">
        <v>45388</v>
      </c>
      <c r="D743" s="8" t="s">
        <v>73</v>
      </c>
      <c r="E743" s="8" t="s">
        <v>899</v>
      </c>
      <c r="F743" s="10" t="s">
        <v>900</v>
      </c>
      <c r="G743" s="10" t="s">
        <v>51</v>
      </c>
      <c r="H743" s="10" t="s">
        <v>319</v>
      </c>
      <c r="I743" s="10" t="s">
        <v>194</v>
      </c>
      <c r="J743" s="10" t="s">
        <v>34</v>
      </c>
      <c r="K743" s="10" t="s">
        <v>25</v>
      </c>
      <c r="L743" s="10" t="s">
        <v>74</v>
      </c>
      <c r="M743" s="10" t="s">
        <v>1960</v>
      </c>
      <c r="N743" s="11">
        <v>2268.0700000000002</v>
      </c>
      <c r="O743" s="12">
        <v>4</v>
      </c>
      <c r="P743" s="13">
        <v>0.05</v>
      </c>
      <c r="Q743" s="11">
        <v>853.83</v>
      </c>
    </row>
    <row r="744" spans="1:17" x14ac:dyDescent="0.3">
      <c r="A744" s="2" t="s">
        <v>1961</v>
      </c>
      <c r="B744" s="3">
        <v>45235</v>
      </c>
      <c r="C744" s="3">
        <v>45238</v>
      </c>
      <c r="D744" s="2" t="s">
        <v>18</v>
      </c>
      <c r="E744" s="2" t="s">
        <v>688</v>
      </c>
      <c r="F744" s="4" t="s">
        <v>689</v>
      </c>
      <c r="G744" s="4" t="s">
        <v>42</v>
      </c>
      <c r="H744" s="4" t="s">
        <v>438</v>
      </c>
      <c r="I744" s="4" t="s">
        <v>157</v>
      </c>
      <c r="J744" s="4" t="s">
        <v>88</v>
      </c>
      <c r="K744" s="4" t="s">
        <v>35</v>
      </c>
      <c r="L744" s="4" t="s">
        <v>110</v>
      </c>
      <c r="M744" s="4" t="s">
        <v>1962</v>
      </c>
      <c r="N744" s="5">
        <v>73.62</v>
      </c>
      <c r="O744" s="6">
        <v>10</v>
      </c>
      <c r="P744" s="7">
        <v>0.1</v>
      </c>
      <c r="Q744" s="5">
        <v>27.4</v>
      </c>
    </row>
    <row r="745" spans="1:17" x14ac:dyDescent="0.3">
      <c r="A745" s="8" t="s">
        <v>1963</v>
      </c>
      <c r="B745" s="9">
        <v>44457</v>
      </c>
      <c r="C745" s="9">
        <v>44463</v>
      </c>
      <c r="D745" s="8" t="s">
        <v>29</v>
      </c>
      <c r="E745" s="8" t="s">
        <v>809</v>
      </c>
      <c r="F745" s="10" t="s">
        <v>810</v>
      </c>
      <c r="G745" s="10" t="s">
        <v>42</v>
      </c>
      <c r="H745" s="10" t="s">
        <v>352</v>
      </c>
      <c r="I745" s="10" t="s">
        <v>306</v>
      </c>
      <c r="J745" s="10" t="s">
        <v>34</v>
      </c>
      <c r="K745" s="10" t="s">
        <v>35</v>
      </c>
      <c r="L745" s="10" t="s">
        <v>89</v>
      </c>
      <c r="M745" s="10" t="s">
        <v>1964</v>
      </c>
      <c r="N745" s="11">
        <v>1088.17</v>
      </c>
      <c r="O745" s="12">
        <v>5</v>
      </c>
      <c r="P745" s="13">
        <v>0.15</v>
      </c>
      <c r="Q745" s="11">
        <v>234.65</v>
      </c>
    </row>
    <row r="746" spans="1:17" x14ac:dyDescent="0.3">
      <c r="A746" s="2" t="s">
        <v>1965</v>
      </c>
      <c r="B746" s="3">
        <v>44949</v>
      </c>
      <c r="C746" s="3">
        <v>44955</v>
      </c>
      <c r="D746" s="2" t="s">
        <v>29</v>
      </c>
      <c r="E746" s="2" t="s">
        <v>96</v>
      </c>
      <c r="F746" s="4" t="s">
        <v>97</v>
      </c>
      <c r="G746" s="4" t="s">
        <v>21</v>
      </c>
      <c r="H746" s="4" t="s">
        <v>98</v>
      </c>
      <c r="I746" s="4" t="s">
        <v>80</v>
      </c>
      <c r="J746" s="4" t="s">
        <v>54</v>
      </c>
      <c r="K746" s="4" t="s">
        <v>45</v>
      </c>
      <c r="L746" s="4" t="s">
        <v>61</v>
      </c>
      <c r="M746" s="4" t="s">
        <v>1966</v>
      </c>
      <c r="N746" s="5">
        <v>474.98</v>
      </c>
      <c r="O746" s="6">
        <v>2</v>
      </c>
      <c r="P746" s="7">
        <v>0.15</v>
      </c>
      <c r="Q746" s="5">
        <v>-58.82</v>
      </c>
    </row>
    <row r="747" spans="1:17" x14ac:dyDescent="0.3">
      <c r="A747" s="8" t="s">
        <v>1967</v>
      </c>
      <c r="B747" s="9">
        <v>45010</v>
      </c>
      <c r="C747" s="9">
        <v>45013</v>
      </c>
      <c r="D747" s="8" t="s">
        <v>39</v>
      </c>
      <c r="E747" s="8" t="s">
        <v>376</v>
      </c>
      <c r="F747" s="10" t="s">
        <v>377</v>
      </c>
      <c r="G747" s="10" t="s">
        <v>42</v>
      </c>
      <c r="H747" s="10" t="s">
        <v>122</v>
      </c>
      <c r="I747" s="10" t="s">
        <v>123</v>
      </c>
      <c r="J747" s="10" t="s">
        <v>24</v>
      </c>
      <c r="K747" s="10" t="s">
        <v>35</v>
      </c>
      <c r="L747" s="10" t="s">
        <v>110</v>
      </c>
      <c r="M747" s="10" t="s">
        <v>1968</v>
      </c>
      <c r="N747" s="11">
        <v>73.22</v>
      </c>
      <c r="O747" s="12">
        <v>2</v>
      </c>
      <c r="P747" s="13">
        <v>0</v>
      </c>
      <c r="Q747" s="11">
        <v>34.26</v>
      </c>
    </row>
    <row r="748" spans="1:17" x14ac:dyDescent="0.3">
      <c r="A748" s="2" t="s">
        <v>1969</v>
      </c>
      <c r="B748" s="3">
        <v>44615</v>
      </c>
      <c r="C748" s="3">
        <v>44620</v>
      </c>
      <c r="D748" s="2" t="s">
        <v>73</v>
      </c>
      <c r="E748" s="2" t="s">
        <v>1166</v>
      </c>
      <c r="F748" s="4" t="s">
        <v>1167</v>
      </c>
      <c r="G748" s="4" t="s">
        <v>21</v>
      </c>
      <c r="H748" s="4" t="s">
        <v>98</v>
      </c>
      <c r="I748" s="4" t="s">
        <v>80</v>
      </c>
      <c r="J748" s="4" t="s">
        <v>54</v>
      </c>
      <c r="K748" s="4" t="s">
        <v>45</v>
      </c>
      <c r="L748" s="4" t="s">
        <v>117</v>
      </c>
      <c r="M748" s="4" t="s">
        <v>1970</v>
      </c>
      <c r="N748" s="5">
        <v>178.59</v>
      </c>
      <c r="O748" s="6">
        <v>3</v>
      </c>
      <c r="P748" s="7">
        <v>0.5</v>
      </c>
      <c r="Q748" s="5">
        <v>-81.37</v>
      </c>
    </row>
    <row r="749" spans="1:17" x14ac:dyDescent="0.3">
      <c r="A749" s="8" t="s">
        <v>1971</v>
      </c>
      <c r="B749" s="9">
        <v>45406</v>
      </c>
      <c r="C749" s="9">
        <v>45407</v>
      </c>
      <c r="D749" s="8" t="s">
        <v>18</v>
      </c>
      <c r="E749" s="8" t="s">
        <v>154</v>
      </c>
      <c r="F749" s="10" t="s">
        <v>155</v>
      </c>
      <c r="G749" s="10" t="s">
        <v>51</v>
      </c>
      <c r="H749" s="10" t="s">
        <v>156</v>
      </c>
      <c r="I749" s="10" t="s">
        <v>157</v>
      </c>
      <c r="J749" s="10" t="s">
        <v>88</v>
      </c>
      <c r="K749" s="10" t="s">
        <v>45</v>
      </c>
      <c r="L749" s="10" t="s">
        <v>99</v>
      </c>
      <c r="M749" s="10" t="s">
        <v>1972</v>
      </c>
      <c r="N749" s="11">
        <v>766.38</v>
      </c>
      <c r="O749" s="12">
        <v>9</v>
      </c>
      <c r="P749" s="13">
        <v>0.15</v>
      </c>
      <c r="Q749" s="11">
        <v>215.87</v>
      </c>
    </row>
    <row r="750" spans="1:17" x14ac:dyDescent="0.3">
      <c r="A750" s="2" t="s">
        <v>1973</v>
      </c>
      <c r="B750" s="3">
        <v>45125</v>
      </c>
      <c r="C750" s="3">
        <v>45130</v>
      </c>
      <c r="D750" s="2" t="s">
        <v>73</v>
      </c>
      <c r="E750" s="2" t="s">
        <v>666</v>
      </c>
      <c r="F750" s="4" t="s">
        <v>667</v>
      </c>
      <c r="G750" s="4" t="s">
        <v>21</v>
      </c>
      <c r="H750" s="4" t="s">
        <v>372</v>
      </c>
      <c r="I750" s="4" t="s">
        <v>373</v>
      </c>
      <c r="J750" s="4" t="s">
        <v>34</v>
      </c>
      <c r="K750" s="4" t="s">
        <v>25</v>
      </c>
      <c r="L750" s="4" t="s">
        <v>74</v>
      </c>
      <c r="M750" s="4" t="s">
        <v>1974</v>
      </c>
      <c r="N750" s="5">
        <v>630.19000000000005</v>
      </c>
      <c r="O750" s="6">
        <v>9</v>
      </c>
      <c r="P750" s="7">
        <v>0.3</v>
      </c>
      <c r="Q750" s="5">
        <v>27.56</v>
      </c>
    </row>
    <row r="751" spans="1:17" x14ac:dyDescent="0.3">
      <c r="A751" s="8" t="s">
        <v>1975</v>
      </c>
      <c r="B751" s="9">
        <v>44821</v>
      </c>
      <c r="C751" s="9">
        <v>44823</v>
      </c>
      <c r="D751" s="8" t="s">
        <v>39</v>
      </c>
      <c r="E751" s="8" t="s">
        <v>143</v>
      </c>
      <c r="F751" s="10" t="s">
        <v>144</v>
      </c>
      <c r="G751" s="10" t="s">
        <v>21</v>
      </c>
      <c r="H751" s="10" t="s">
        <v>145</v>
      </c>
      <c r="I751" s="10" t="s">
        <v>140</v>
      </c>
      <c r="J751" s="10" t="s">
        <v>24</v>
      </c>
      <c r="K751" s="10" t="s">
        <v>35</v>
      </c>
      <c r="L751" s="10" t="s">
        <v>36</v>
      </c>
      <c r="M751" s="10" t="s">
        <v>1976</v>
      </c>
      <c r="N751" s="11">
        <v>306.08999999999997</v>
      </c>
      <c r="O751" s="12">
        <v>3</v>
      </c>
      <c r="P751" s="13">
        <v>0.5</v>
      </c>
      <c r="Q751" s="11">
        <v>-41.31</v>
      </c>
    </row>
    <row r="752" spans="1:17" x14ac:dyDescent="0.3">
      <c r="A752" s="2" t="s">
        <v>1977</v>
      </c>
      <c r="B752" s="3">
        <v>44200</v>
      </c>
      <c r="C752" s="3">
        <v>44203</v>
      </c>
      <c r="D752" s="2" t="s">
        <v>18</v>
      </c>
      <c r="E752" s="2" t="s">
        <v>175</v>
      </c>
      <c r="F752" s="4" t="s">
        <v>176</v>
      </c>
      <c r="G752" s="4" t="s">
        <v>51</v>
      </c>
      <c r="H752" s="4" t="s">
        <v>177</v>
      </c>
      <c r="I752" s="4" t="s">
        <v>178</v>
      </c>
      <c r="J752" s="4" t="s">
        <v>24</v>
      </c>
      <c r="K752" s="4" t="s">
        <v>25</v>
      </c>
      <c r="L752" s="4" t="s">
        <v>124</v>
      </c>
      <c r="M752" s="4" t="s">
        <v>1978</v>
      </c>
      <c r="N752" s="5">
        <v>8500.1</v>
      </c>
      <c r="O752" s="6">
        <v>5</v>
      </c>
      <c r="P752" s="7">
        <v>0</v>
      </c>
      <c r="Q752" s="5">
        <v>2563.35</v>
      </c>
    </row>
    <row r="753" spans="1:17" x14ac:dyDescent="0.3">
      <c r="A753" s="8" t="s">
        <v>1979</v>
      </c>
      <c r="B753" s="9">
        <v>45451</v>
      </c>
      <c r="C753" s="9">
        <v>45458</v>
      </c>
      <c r="D753" s="8" t="s">
        <v>29</v>
      </c>
      <c r="E753" s="8" t="s">
        <v>1162</v>
      </c>
      <c r="F753" s="10" t="s">
        <v>1163</v>
      </c>
      <c r="G753" s="10" t="s">
        <v>21</v>
      </c>
      <c r="H753" s="10" t="s">
        <v>386</v>
      </c>
      <c r="I753" s="10" t="s">
        <v>347</v>
      </c>
      <c r="J753" s="10" t="s">
        <v>88</v>
      </c>
      <c r="K753" s="10" t="s">
        <v>25</v>
      </c>
      <c r="L753" s="10" t="s">
        <v>68</v>
      </c>
      <c r="M753" s="10" t="s">
        <v>1980</v>
      </c>
      <c r="N753" s="11">
        <v>104.65</v>
      </c>
      <c r="O753" s="12">
        <v>4</v>
      </c>
      <c r="P753" s="13">
        <v>0.15</v>
      </c>
      <c r="Q753" s="11">
        <v>37.35</v>
      </c>
    </row>
    <row r="754" spans="1:17" x14ac:dyDescent="0.3">
      <c r="A754" s="2" t="s">
        <v>1981</v>
      </c>
      <c r="B754" s="3">
        <v>44345</v>
      </c>
      <c r="C754" s="3">
        <v>44349</v>
      </c>
      <c r="D754" s="2" t="s">
        <v>39</v>
      </c>
      <c r="E754" s="2" t="s">
        <v>1982</v>
      </c>
      <c r="F754" s="4" t="s">
        <v>1983</v>
      </c>
      <c r="G754" s="4" t="s">
        <v>21</v>
      </c>
      <c r="H754" s="4" t="s">
        <v>22</v>
      </c>
      <c r="I754" s="4" t="s">
        <v>23</v>
      </c>
      <c r="J754" s="4" t="s">
        <v>24</v>
      </c>
      <c r="K754" s="4" t="s">
        <v>45</v>
      </c>
      <c r="L754" s="4" t="s">
        <v>46</v>
      </c>
      <c r="M754" s="4" t="s">
        <v>1984</v>
      </c>
      <c r="N754" s="5">
        <v>6242.9</v>
      </c>
      <c r="O754" s="6">
        <v>10</v>
      </c>
      <c r="P754" s="7">
        <v>0</v>
      </c>
      <c r="Q754" s="5">
        <v>1984.36</v>
      </c>
    </row>
    <row r="755" spans="1:17" x14ac:dyDescent="0.3">
      <c r="A755" s="8" t="s">
        <v>1985</v>
      </c>
      <c r="B755" s="9">
        <v>44884</v>
      </c>
      <c r="C755" s="9">
        <v>44891</v>
      </c>
      <c r="D755" s="8" t="s">
        <v>29</v>
      </c>
      <c r="E755" s="8" t="s">
        <v>201</v>
      </c>
      <c r="F755" s="10" t="s">
        <v>202</v>
      </c>
      <c r="G755" s="10" t="s">
        <v>21</v>
      </c>
      <c r="H755" s="10" t="s">
        <v>98</v>
      </c>
      <c r="I755" s="10" t="s">
        <v>80</v>
      </c>
      <c r="J755" s="10" t="s">
        <v>54</v>
      </c>
      <c r="K755" s="10" t="s">
        <v>35</v>
      </c>
      <c r="L755" s="10" t="s">
        <v>166</v>
      </c>
      <c r="M755" s="10" t="s">
        <v>1986</v>
      </c>
      <c r="N755" s="11">
        <v>284.60000000000002</v>
      </c>
      <c r="O755" s="12">
        <v>4</v>
      </c>
      <c r="P755" s="13">
        <v>0</v>
      </c>
      <c r="Q755" s="11">
        <v>79.89</v>
      </c>
    </row>
    <row r="756" spans="1:17" x14ac:dyDescent="0.3">
      <c r="A756" s="2" t="s">
        <v>1987</v>
      </c>
      <c r="B756" s="3">
        <v>44442</v>
      </c>
      <c r="C756" s="3">
        <v>44446</v>
      </c>
      <c r="D756" s="2" t="s">
        <v>73</v>
      </c>
      <c r="E756" s="2" t="s">
        <v>864</v>
      </c>
      <c r="F756" s="4" t="s">
        <v>865</v>
      </c>
      <c r="G756" s="4" t="s">
        <v>21</v>
      </c>
      <c r="H756" s="4" t="s">
        <v>177</v>
      </c>
      <c r="I756" s="4" t="s">
        <v>178</v>
      </c>
      <c r="J756" s="4" t="s">
        <v>24</v>
      </c>
      <c r="K756" s="4" t="s">
        <v>25</v>
      </c>
      <c r="L756" s="4" t="s">
        <v>74</v>
      </c>
      <c r="M756" s="4" t="s">
        <v>1988</v>
      </c>
      <c r="N756" s="5">
        <v>713.49</v>
      </c>
      <c r="O756" s="6">
        <v>3</v>
      </c>
      <c r="P756" s="7">
        <v>0</v>
      </c>
      <c r="Q756" s="5">
        <v>261.60000000000002</v>
      </c>
    </row>
    <row r="757" spans="1:17" x14ac:dyDescent="0.3">
      <c r="A757" s="8" t="s">
        <v>1989</v>
      </c>
      <c r="B757" s="9">
        <v>45084</v>
      </c>
      <c r="C757" s="9">
        <v>45086</v>
      </c>
      <c r="D757" s="8" t="s">
        <v>18</v>
      </c>
      <c r="E757" s="8" t="s">
        <v>946</v>
      </c>
      <c r="F757" s="10" t="s">
        <v>947</v>
      </c>
      <c r="G757" s="10" t="s">
        <v>21</v>
      </c>
      <c r="H757" s="10" t="s">
        <v>156</v>
      </c>
      <c r="I757" s="10" t="s">
        <v>157</v>
      </c>
      <c r="J757" s="10" t="s">
        <v>88</v>
      </c>
      <c r="K757" s="10" t="s">
        <v>45</v>
      </c>
      <c r="L757" s="10" t="s">
        <v>46</v>
      </c>
      <c r="M757" s="10" t="s">
        <v>1990</v>
      </c>
      <c r="N757" s="11">
        <v>758.44</v>
      </c>
      <c r="O757" s="12">
        <v>1</v>
      </c>
      <c r="P757" s="13">
        <v>0</v>
      </c>
      <c r="Q757" s="11">
        <v>213.99</v>
      </c>
    </row>
    <row r="758" spans="1:17" x14ac:dyDescent="0.3">
      <c r="A758" s="2" t="s">
        <v>1991</v>
      </c>
      <c r="B758" s="3">
        <v>44864</v>
      </c>
      <c r="C758" s="3">
        <v>44865</v>
      </c>
      <c r="D758" s="2" t="s">
        <v>18</v>
      </c>
      <c r="E758" s="2" t="s">
        <v>1025</v>
      </c>
      <c r="F758" s="4" t="s">
        <v>1026</v>
      </c>
      <c r="G758" s="4" t="s">
        <v>21</v>
      </c>
      <c r="H758" s="4" t="s">
        <v>412</v>
      </c>
      <c r="I758" s="4" t="s">
        <v>178</v>
      </c>
      <c r="J758" s="4" t="s">
        <v>24</v>
      </c>
      <c r="K758" s="4" t="s">
        <v>25</v>
      </c>
      <c r="L758" s="4" t="s">
        <v>68</v>
      </c>
      <c r="M758" s="4" t="s">
        <v>1992</v>
      </c>
      <c r="N758" s="5">
        <v>65.69</v>
      </c>
      <c r="O758" s="6">
        <v>4</v>
      </c>
      <c r="P758" s="7">
        <v>0.3</v>
      </c>
      <c r="Q758" s="5">
        <v>7.99</v>
      </c>
    </row>
    <row r="759" spans="1:17" x14ac:dyDescent="0.3">
      <c r="A759" s="8" t="s">
        <v>1993</v>
      </c>
      <c r="B759" s="9">
        <v>45060</v>
      </c>
      <c r="C759" s="9">
        <v>45062</v>
      </c>
      <c r="D759" s="8" t="s">
        <v>18</v>
      </c>
      <c r="E759" s="8" t="s">
        <v>785</v>
      </c>
      <c r="F759" s="10" t="s">
        <v>786</v>
      </c>
      <c r="G759" s="10" t="s">
        <v>51</v>
      </c>
      <c r="H759" s="10" t="s">
        <v>422</v>
      </c>
      <c r="I759" s="10" t="s">
        <v>423</v>
      </c>
      <c r="J759" s="10" t="s">
        <v>88</v>
      </c>
      <c r="K759" s="10" t="s">
        <v>25</v>
      </c>
      <c r="L759" s="10" t="s">
        <v>26</v>
      </c>
      <c r="M759" s="10" t="s">
        <v>1994</v>
      </c>
      <c r="N759" s="11">
        <v>1475.09</v>
      </c>
      <c r="O759" s="12">
        <v>2</v>
      </c>
      <c r="P759" s="13">
        <v>0.5</v>
      </c>
      <c r="Q759" s="11">
        <v>-1070.4000000000001</v>
      </c>
    </row>
    <row r="760" spans="1:17" x14ac:dyDescent="0.3">
      <c r="A760" s="2" t="s">
        <v>1995</v>
      </c>
      <c r="B760" s="3">
        <v>44346</v>
      </c>
      <c r="C760" s="3">
        <v>44352</v>
      </c>
      <c r="D760" s="2" t="s">
        <v>29</v>
      </c>
      <c r="E760" s="2" t="s">
        <v>1029</v>
      </c>
      <c r="F760" s="4" t="s">
        <v>1030</v>
      </c>
      <c r="G760" s="4" t="s">
        <v>21</v>
      </c>
      <c r="H760" s="4" t="s">
        <v>438</v>
      </c>
      <c r="I760" s="4" t="s">
        <v>157</v>
      </c>
      <c r="J760" s="4" t="s">
        <v>88</v>
      </c>
      <c r="K760" s="4" t="s">
        <v>45</v>
      </c>
      <c r="L760" s="4" t="s">
        <v>117</v>
      </c>
      <c r="M760" s="4" t="s">
        <v>1996</v>
      </c>
      <c r="N760" s="5">
        <v>973.98</v>
      </c>
      <c r="O760" s="6">
        <v>6</v>
      </c>
      <c r="P760" s="7">
        <v>0</v>
      </c>
      <c r="Q760" s="5">
        <v>313.91000000000003</v>
      </c>
    </row>
    <row r="761" spans="1:17" x14ac:dyDescent="0.3">
      <c r="A761" s="8" t="s">
        <v>1997</v>
      </c>
      <c r="B761" s="9">
        <v>45330</v>
      </c>
      <c r="C761" s="9">
        <v>45333</v>
      </c>
      <c r="D761" s="8" t="s">
        <v>73</v>
      </c>
      <c r="E761" s="8" t="s">
        <v>688</v>
      </c>
      <c r="F761" s="10" t="s">
        <v>689</v>
      </c>
      <c r="G761" s="10" t="s">
        <v>42</v>
      </c>
      <c r="H761" s="10" t="s">
        <v>438</v>
      </c>
      <c r="I761" s="10" t="s">
        <v>157</v>
      </c>
      <c r="J761" s="10" t="s">
        <v>88</v>
      </c>
      <c r="K761" s="10" t="s">
        <v>35</v>
      </c>
      <c r="L761" s="10" t="s">
        <v>166</v>
      </c>
      <c r="M761" s="10" t="s">
        <v>1998</v>
      </c>
      <c r="N761" s="11">
        <v>301.26</v>
      </c>
      <c r="O761" s="12">
        <v>9</v>
      </c>
      <c r="P761" s="13">
        <v>0.15</v>
      </c>
      <c r="Q761" s="11">
        <v>41.15</v>
      </c>
    </row>
    <row r="762" spans="1:17" x14ac:dyDescent="0.3">
      <c r="A762" s="2" t="s">
        <v>1999</v>
      </c>
      <c r="B762" s="3">
        <v>44894</v>
      </c>
      <c r="C762" s="3">
        <v>44898</v>
      </c>
      <c r="D762" s="2" t="s">
        <v>73</v>
      </c>
      <c r="E762" s="2" t="s">
        <v>592</v>
      </c>
      <c r="F762" s="4" t="s">
        <v>593</v>
      </c>
      <c r="G762" s="4" t="s">
        <v>21</v>
      </c>
      <c r="H762" s="4" t="s">
        <v>207</v>
      </c>
      <c r="I762" s="4" t="s">
        <v>60</v>
      </c>
      <c r="J762" s="4" t="s">
        <v>54</v>
      </c>
      <c r="K762" s="4" t="s">
        <v>25</v>
      </c>
      <c r="L762" s="4" t="s">
        <v>74</v>
      </c>
      <c r="M762" s="4" t="s">
        <v>2000</v>
      </c>
      <c r="N762" s="5">
        <v>290.04000000000002</v>
      </c>
      <c r="O762" s="6">
        <v>10</v>
      </c>
      <c r="P762" s="7">
        <v>0.05</v>
      </c>
      <c r="Q762" s="5">
        <v>85.78</v>
      </c>
    </row>
    <row r="763" spans="1:17" x14ac:dyDescent="0.3">
      <c r="A763" s="8" t="s">
        <v>2001</v>
      </c>
      <c r="B763" s="9">
        <v>44884</v>
      </c>
      <c r="C763" s="9">
        <v>44887</v>
      </c>
      <c r="D763" s="8" t="s">
        <v>39</v>
      </c>
      <c r="E763" s="8" t="s">
        <v>236</v>
      </c>
      <c r="F763" s="10" t="s">
        <v>237</v>
      </c>
      <c r="G763" s="10" t="s">
        <v>51</v>
      </c>
      <c r="H763" s="10" t="s">
        <v>22</v>
      </c>
      <c r="I763" s="10" t="s">
        <v>23</v>
      </c>
      <c r="J763" s="10" t="s">
        <v>24</v>
      </c>
      <c r="K763" s="10" t="s">
        <v>35</v>
      </c>
      <c r="L763" s="10" t="s">
        <v>89</v>
      </c>
      <c r="M763" s="10" t="s">
        <v>2002</v>
      </c>
      <c r="N763" s="11">
        <v>557.79</v>
      </c>
      <c r="O763" s="12">
        <v>6</v>
      </c>
      <c r="P763" s="13">
        <v>0.5</v>
      </c>
      <c r="Q763" s="11">
        <v>-179.13</v>
      </c>
    </row>
    <row r="764" spans="1:17" x14ac:dyDescent="0.3">
      <c r="A764" s="2" t="s">
        <v>2003</v>
      </c>
      <c r="B764" s="3">
        <v>44522</v>
      </c>
      <c r="C764" s="3">
        <v>44528</v>
      </c>
      <c r="D764" s="2" t="s">
        <v>29</v>
      </c>
      <c r="E764" s="2" t="s">
        <v>96</v>
      </c>
      <c r="F764" s="4" t="s">
        <v>97</v>
      </c>
      <c r="G764" s="4" t="s">
        <v>21</v>
      </c>
      <c r="H764" s="4" t="s">
        <v>98</v>
      </c>
      <c r="I764" s="4" t="s">
        <v>80</v>
      </c>
      <c r="J764" s="4" t="s">
        <v>54</v>
      </c>
      <c r="K764" s="4" t="s">
        <v>35</v>
      </c>
      <c r="L764" s="4" t="s">
        <v>89</v>
      </c>
      <c r="M764" s="4" t="s">
        <v>2004</v>
      </c>
      <c r="N764" s="5">
        <v>1388.76</v>
      </c>
      <c r="O764" s="6">
        <v>6</v>
      </c>
      <c r="P764" s="7">
        <v>0</v>
      </c>
      <c r="Q764" s="5">
        <v>482.67</v>
      </c>
    </row>
    <row r="765" spans="1:17" x14ac:dyDescent="0.3">
      <c r="A765" s="8" t="s">
        <v>2005</v>
      </c>
      <c r="B765" s="9">
        <v>44355</v>
      </c>
      <c r="C765" s="9">
        <v>44358</v>
      </c>
      <c r="D765" s="8" t="s">
        <v>39</v>
      </c>
      <c r="E765" s="8" t="s">
        <v>163</v>
      </c>
      <c r="F765" s="10" t="s">
        <v>164</v>
      </c>
      <c r="G765" s="10" t="s">
        <v>21</v>
      </c>
      <c r="H765" s="10" t="s">
        <v>165</v>
      </c>
      <c r="I765" s="10" t="s">
        <v>44</v>
      </c>
      <c r="J765" s="10" t="s">
        <v>24</v>
      </c>
      <c r="K765" s="10" t="s">
        <v>35</v>
      </c>
      <c r="L765" s="10" t="s">
        <v>229</v>
      </c>
      <c r="M765" s="10" t="s">
        <v>2006</v>
      </c>
      <c r="N765" s="11">
        <v>9.6199999999999992</v>
      </c>
      <c r="O765" s="12">
        <v>7</v>
      </c>
      <c r="P765" s="13">
        <v>0.5</v>
      </c>
      <c r="Q765" s="11">
        <v>-1.68</v>
      </c>
    </row>
    <row r="766" spans="1:17" x14ac:dyDescent="0.3">
      <c r="A766" s="2" t="s">
        <v>2007</v>
      </c>
      <c r="B766" s="3">
        <v>45153</v>
      </c>
      <c r="C766" s="3">
        <v>45154</v>
      </c>
      <c r="D766" s="2" t="s">
        <v>18</v>
      </c>
      <c r="E766" s="2" t="s">
        <v>1926</v>
      </c>
      <c r="F766" s="4" t="s">
        <v>1927</v>
      </c>
      <c r="G766" s="4" t="s">
        <v>51</v>
      </c>
      <c r="H766" s="4" t="s">
        <v>145</v>
      </c>
      <c r="I766" s="4" t="s">
        <v>140</v>
      </c>
      <c r="J766" s="4" t="s">
        <v>24</v>
      </c>
      <c r="K766" s="4" t="s">
        <v>45</v>
      </c>
      <c r="L766" s="4" t="s">
        <v>117</v>
      </c>
      <c r="M766" s="4" t="s">
        <v>2008</v>
      </c>
      <c r="N766" s="5">
        <v>1085.26</v>
      </c>
      <c r="O766" s="6">
        <v>8</v>
      </c>
      <c r="P766" s="7">
        <v>0.1</v>
      </c>
      <c r="Q766" s="5">
        <v>281.97000000000003</v>
      </c>
    </row>
    <row r="767" spans="1:17" x14ac:dyDescent="0.3">
      <c r="A767" s="8" t="s">
        <v>2009</v>
      </c>
      <c r="B767" s="9">
        <v>44821</v>
      </c>
      <c r="C767" s="9">
        <v>44827</v>
      </c>
      <c r="D767" s="8" t="s">
        <v>29</v>
      </c>
      <c r="E767" s="8" t="s">
        <v>143</v>
      </c>
      <c r="F767" s="10" t="s">
        <v>144</v>
      </c>
      <c r="G767" s="10" t="s">
        <v>21</v>
      </c>
      <c r="H767" s="10" t="s">
        <v>145</v>
      </c>
      <c r="I767" s="10" t="s">
        <v>140</v>
      </c>
      <c r="J767" s="10" t="s">
        <v>24</v>
      </c>
      <c r="K767" s="10" t="s">
        <v>35</v>
      </c>
      <c r="L767" s="10" t="s">
        <v>81</v>
      </c>
      <c r="M767" s="10" t="s">
        <v>1750</v>
      </c>
      <c r="N767" s="11">
        <v>16.48</v>
      </c>
      <c r="O767" s="12">
        <v>10</v>
      </c>
      <c r="P767" s="13">
        <v>0.2</v>
      </c>
      <c r="Q767" s="11"/>
    </row>
    <row r="768" spans="1:17" x14ac:dyDescent="0.3">
      <c r="A768" s="2" t="s">
        <v>2010</v>
      </c>
      <c r="B768" s="3">
        <v>44381</v>
      </c>
      <c r="C768" s="3">
        <v>44388</v>
      </c>
      <c r="D768" s="2" t="s">
        <v>29</v>
      </c>
      <c r="E768" s="2" t="s">
        <v>1270</v>
      </c>
      <c r="F768" s="4" t="s">
        <v>1271</v>
      </c>
      <c r="G768" s="4" t="s">
        <v>51</v>
      </c>
      <c r="H768" s="4" t="s">
        <v>412</v>
      </c>
      <c r="I768" s="4" t="s">
        <v>178</v>
      </c>
      <c r="J768" s="4" t="s">
        <v>24</v>
      </c>
      <c r="K768" s="4" t="s">
        <v>45</v>
      </c>
      <c r="L768" s="4" t="s">
        <v>46</v>
      </c>
      <c r="M768" s="4" t="s">
        <v>2011</v>
      </c>
      <c r="N768" s="5">
        <v>5130.6499999999996</v>
      </c>
      <c r="O768" s="6">
        <v>10</v>
      </c>
      <c r="P768" s="7">
        <v>0.3</v>
      </c>
      <c r="Q768" s="5">
        <v>777.93</v>
      </c>
    </row>
    <row r="769" spans="1:17" x14ac:dyDescent="0.3">
      <c r="A769" s="8" t="s">
        <v>2012</v>
      </c>
      <c r="B769" s="9">
        <v>45411</v>
      </c>
      <c r="C769" s="9">
        <v>45414</v>
      </c>
      <c r="D769" s="8" t="s">
        <v>18</v>
      </c>
      <c r="E769" s="8" t="s">
        <v>2013</v>
      </c>
      <c r="F769" s="10" t="s">
        <v>2014</v>
      </c>
      <c r="G769" s="10" t="s">
        <v>42</v>
      </c>
      <c r="H769" s="10" t="s">
        <v>177</v>
      </c>
      <c r="I769" s="10" t="s">
        <v>178</v>
      </c>
      <c r="J769" s="10" t="s">
        <v>24</v>
      </c>
      <c r="K769" s="10" t="s">
        <v>25</v>
      </c>
      <c r="L769" s="10" t="s">
        <v>68</v>
      </c>
      <c r="M769" s="10" t="s">
        <v>2015</v>
      </c>
      <c r="N769" s="11">
        <v>136.04</v>
      </c>
      <c r="O769" s="12">
        <v>2</v>
      </c>
      <c r="P769" s="13">
        <v>0.1</v>
      </c>
      <c r="Q769" s="11">
        <v>41.03</v>
      </c>
    </row>
    <row r="770" spans="1:17" x14ac:dyDescent="0.3">
      <c r="A770" s="2" t="s">
        <v>2016</v>
      </c>
      <c r="B770" s="3">
        <v>45236</v>
      </c>
      <c r="C770" s="3">
        <v>45238</v>
      </c>
      <c r="D770" s="2" t="s">
        <v>39</v>
      </c>
      <c r="E770" s="2" t="s">
        <v>1300</v>
      </c>
      <c r="F770" s="4" t="s">
        <v>1301</v>
      </c>
      <c r="G770" s="4" t="s">
        <v>51</v>
      </c>
      <c r="H770" s="4" t="s">
        <v>319</v>
      </c>
      <c r="I770" s="4" t="s">
        <v>194</v>
      </c>
      <c r="J770" s="4" t="s">
        <v>34</v>
      </c>
      <c r="K770" s="4" t="s">
        <v>35</v>
      </c>
      <c r="L770" s="4" t="s">
        <v>166</v>
      </c>
      <c r="M770" s="4" t="s">
        <v>1746</v>
      </c>
      <c r="N770" s="5">
        <v>15.04</v>
      </c>
      <c r="O770" s="6">
        <v>1</v>
      </c>
      <c r="P770" s="7">
        <v>0.15</v>
      </c>
      <c r="Q770" s="5">
        <v>3.33</v>
      </c>
    </row>
    <row r="771" spans="1:17" x14ac:dyDescent="0.3">
      <c r="A771" s="8" t="s">
        <v>2017</v>
      </c>
      <c r="B771" s="9">
        <v>44957</v>
      </c>
      <c r="C771" s="9">
        <v>44960</v>
      </c>
      <c r="D771" s="8" t="s">
        <v>39</v>
      </c>
      <c r="E771" s="8" t="s">
        <v>614</v>
      </c>
      <c r="F771" s="10" t="s">
        <v>615</v>
      </c>
      <c r="G771" s="10" t="s">
        <v>21</v>
      </c>
      <c r="H771" s="10" t="s">
        <v>139</v>
      </c>
      <c r="I771" s="10" t="s">
        <v>140</v>
      </c>
      <c r="J771" s="10" t="s">
        <v>24</v>
      </c>
      <c r="K771" s="10" t="s">
        <v>45</v>
      </c>
      <c r="L771" s="10" t="s">
        <v>99</v>
      </c>
      <c r="M771" s="10" t="s">
        <v>2018</v>
      </c>
      <c r="N771" s="11">
        <v>71.180000000000007</v>
      </c>
      <c r="O771" s="12">
        <v>1</v>
      </c>
      <c r="P771" s="13">
        <v>0.4</v>
      </c>
      <c r="Q771" s="11">
        <v>-2.91</v>
      </c>
    </row>
    <row r="772" spans="1:17" x14ac:dyDescent="0.3">
      <c r="A772" s="2" t="s">
        <v>2019</v>
      </c>
      <c r="B772" s="3">
        <v>44335</v>
      </c>
      <c r="C772" s="3">
        <v>44341</v>
      </c>
      <c r="D772" s="2" t="s">
        <v>29</v>
      </c>
      <c r="E772" s="2" t="s">
        <v>561</v>
      </c>
      <c r="F772" s="4" t="s">
        <v>562</v>
      </c>
      <c r="G772" s="4" t="s">
        <v>42</v>
      </c>
      <c r="H772" s="4" t="s">
        <v>563</v>
      </c>
      <c r="I772" s="4" t="s">
        <v>460</v>
      </c>
      <c r="J772" s="4" t="s">
        <v>54</v>
      </c>
      <c r="K772" s="4" t="s">
        <v>25</v>
      </c>
      <c r="L772" s="4" t="s">
        <v>74</v>
      </c>
      <c r="M772" s="4" t="s">
        <v>2020</v>
      </c>
      <c r="N772" s="5">
        <v>209.08</v>
      </c>
      <c r="O772" s="6">
        <v>2</v>
      </c>
      <c r="P772" s="7">
        <v>0.4</v>
      </c>
      <c r="Q772" s="5">
        <v>-33.43</v>
      </c>
    </row>
    <row r="773" spans="1:17" x14ac:dyDescent="0.3">
      <c r="A773" s="8" t="s">
        <v>2021</v>
      </c>
      <c r="B773" s="9">
        <v>45302</v>
      </c>
      <c r="C773" s="9">
        <v>45304</v>
      </c>
      <c r="D773" s="8" t="s">
        <v>39</v>
      </c>
      <c r="E773" s="8" t="s">
        <v>1439</v>
      </c>
      <c r="F773" s="10" t="s">
        <v>2022</v>
      </c>
      <c r="G773" s="10" t="s">
        <v>51</v>
      </c>
      <c r="H773" s="10" t="s">
        <v>305</v>
      </c>
      <c r="I773" s="10" t="s">
        <v>306</v>
      </c>
      <c r="J773" s="10" t="s">
        <v>34</v>
      </c>
      <c r="K773" s="10" t="s">
        <v>25</v>
      </c>
      <c r="L773" s="10" t="s">
        <v>26</v>
      </c>
      <c r="M773" s="10" t="s">
        <v>2023</v>
      </c>
      <c r="N773" s="11">
        <v>3343.41</v>
      </c>
      <c r="O773" s="12">
        <v>3</v>
      </c>
      <c r="P773" s="13">
        <v>0</v>
      </c>
      <c r="Q773" s="11">
        <v>921.23</v>
      </c>
    </row>
    <row r="774" spans="1:17" x14ac:dyDescent="0.3">
      <c r="A774" s="2" t="s">
        <v>2024</v>
      </c>
      <c r="B774" s="3">
        <v>45030</v>
      </c>
      <c r="C774" s="3">
        <v>45032</v>
      </c>
      <c r="D774" s="2" t="s">
        <v>39</v>
      </c>
      <c r="E774" s="2" t="s">
        <v>350</v>
      </c>
      <c r="F774" s="4" t="s">
        <v>351</v>
      </c>
      <c r="G774" s="4" t="s">
        <v>42</v>
      </c>
      <c r="H774" s="4" t="s">
        <v>352</v>
      </c>
      <c r="I774" s="4" t="s">
        <v>306</v>
      </c>
      <c r="J774" s="4" t="s">
        <v>34</v>
      </c>
      <c r="K774" s="4" t="s">
        <v>25</v>
      </c>
      <c r="L774" s="4" t="s">
        <v>68</v>
      </c>
      <c r="M774" s="4" t="s">
        <v>2025</v>
      </c>
      <c r="N774" s="5">
        <v>826.7</v>
      </c>
      <c r="O774" s="6">
        <v>6</v>
      </c>
      <c r="P774" s="7">
        <v>0.2</v>
      </c>
      <c r="Q774" s="5">
        <v>149.74</v>
      </c>
    </row>
    <row r="775" spans="1:17" x14ac:dyDescent="0.3">
      <c r="A775" s="8" t="s">
        <v>2026</v>
      </c>
      <c r="B775" s="9">
        <v>44811</v>
      </c>
      <c r="C775" s="9">
        <v>44813</v>
      </c>
      <c r="D775" s="8" t="s">
        <v>18</v>
      </c>
      <c r="E775" s="8" t="s">
        <v>1284</v>
      </c>
      <c r="F775" s="10" t="s">
        <v>1285</v>
      </c>
      <c r="G775" s="10" t="s">
        <v>21</v>
      </c>
      <c r="H775" s="10" t="s">
        <v>150</v>
      </c>
      <c r="I775" s="10" t="s">
        <v>151</v>
      </c>
      <c r="J775" s="10" t="s">
        <v>34</v>
      </c>
      <c r="K775" s="10" t="s">
        <v>45</v>
      </c>
      <c r="L775" s="10" t="s">
        <v>99</v>
      </c>
      <c r="M775" s="10" t="s">
        <v>2027</v>
      </c>
      <c r="N775" s="11">
        <v>391.48</v>
      </c>
      <c r="O775" s="12">
        <v>4</v>
      </c>
      <c r="P775" s="13">
        <v>0</v>
      </c>
      <c r="Q775" s="11">
        <v>109.84</v>
      </c>
    </row>
    <row r="776" spans="1:17" x14ac:dyDescent="0.3">
      <c r="A776" s="2" t="s">
        <v>2028</v>
      </c>
      <c r="B776" s="3">
        <v>45657</v>
      </c>
      <c r="C776" s="3">
        <v>45660</v>
      </c>
      <c r="D776" s="2" t="s">
        <v>39</v>
      </c>
      <c r="E776" s="2" t="s">
        <v>1070</v>
      </c>
      <c r="F776" s="4" t="s">
        <v>1071</v>
      </c>
      <c r="G776" s="4" t="s">
        <v>51</v>
      </c>
      <c r="H776" s="4" t="s">
        <v>177</v>
      </c>
      <c r="I776" s="4" t="s">
        <v>178</v>
      </c>
      <c r="J776" s="4" t="s">
        <v>24</v>
      </c>
      <c r="K776" s="4" t="s">
        <v>25</v>
      </c>
      <c r="L776" s="4" t="s">
        <v>124</v>
      </c>
      <c r="M776" s="4" t="s">
        <v>2029</v>
      </c>
      <c r="N776" s="5">
        <v>23704.11</v>
      </c>
      <c r="O776" s="6">
        <v>9</v>
      </c>
      <c r="P776" s="7">
        <v>0</v>
      </c>
      <c r="Q776" s="5">
        <v>4069.89</v>
      </c>
    </row>
    <row r="777" spans="1:17" x14ac:dyDescent="0.3">
      <c r="A777" s="8" t="s">
        <v>2030</v>
      </c>
      <c r="B777" s="9">
        <v>44265</v>
      </c>
      <c r="C777" s="9">
        <v>44270</v>
      </c>
      <c r="D777" s="8" t="s">
        <v>73</v>
      </c>
      <c r="E777" s="8" t="s">
        <v>827</v>
      </c>
      <c r="F777" s="10" t="s">
        <v>828</v>
      </c>
      <c r="G777" s="10" t="s">
        <v>51</v>
      </c>
      <c r="H777" s="10" t="s">
        <v>319</v>
      </c>
      <c r="I777" s="10" t="s">
        <v>194</v>
      </c>
      <c r="J777" s="10" t="s">
        <v>34</v>
      </c>
      <c r="K777" s="10" t="s">
        <v>45</v>
      </c>
      <c r="L777" s="10" t="s">
        <v>61</v>
      </c>
      <c r="M777" s="10" t="s">
        <v>2031</v>
      </c>
      <c r="N777" s="11">
        <v>1082.83</v>
      </c>
      <c r="O777" s="12">
        <v>4</v>
      </c>
      <c r="P777" s="13">
        <v>0.4</v>
      </c>
      <c r="Q777" s="11">
        <v>-479.63</v>
      </c>
    </row>
    <row r="778" spans="1:17" x14ac:dyDescent="0.3">
      <c r="A778" s="2" t="s">
        <v>2032</v>
      </c>
      <c r="B778" s="3">
        <v>44627</v>
      </c>
      <c r="C778" s="3">
        <v>44632</v>
      </c>
      <c r="D778" s="2" t="s">
        <v>29</v>
      </c>
      <c r="E778" s="2" t="s">
        <v>113</v>
      </c>
      <c r="F778" s="4" t="s">
        <v>114</v>
      </c>
      <c r="G778" s="4" t="s">
        <v>21</v>
      </c>
      <c r="H778" s="4" t="s">
        <v>115</v>
      </c>
      <c r="I778" s="4" t="s">
        <v>116</v>
      </c>
      <c r="J778" s="4" t="s">
        <v>54</v>
      </c>
      <c r="K778" s="4" t="s">
        <v>45</v>
      </c>
      <c r="L778" s="4" t="s">
        <v>99</v>
      </c>
      <c r="M778" s="4" t="s">
        <v>2033</v>
      </c>
      <c r="N778" s="5">
        <v>167.14</v>
      </c>
      <c r="O778" s="6">
        <v>1</v>
      </c>
      <c r="P778" s="7">
        <v>0.05</v>
      </c>
      <c r="Q778" s="5">
        <v>33.72</v>
      </c>
    </row>
    <row r="779" spans="1:17" x14ac:dyDescent="0.3">
      <c r="A779" s="8" t="s">
        <v>2034</v>
      </c>
      <c r="B779" s="9">
        <v>44288</v>
      </c>
      <c r="C779" s="9">
        <v>44289</v>
      </c>
      <c r="D779" s="8" t="s">
        <v>18</v>
      </c>
      <c r="E779" s="8" t="s">
        <v>1352</v>
      </c>
      <c r="F779" s="10" t="s">
        <v>1353</v>
      </c>
      <c r="G779" s="10" t="s">
        <v>42</v>
      </c>
      <c r="H779" s="10" t="s">
        <v>207</v>
      </c>
      <c r="I779" s="10" t="s">
        <v>60</v>
      </c>
      <c r="J779" s="10" t="s">
        <v>54</v>
      </c>
      <c r="K779" s="10" t="s">
        <v>45</v>
      </c>
      <c r="L779" s="10" t="s">
        <v>99</v>
      </c>
      <c r="M779" s="10" t="s">
        <v>2035</v>
      </c>
      <c r="N779" s="11">
        <v>237.38</v>
      </c>
      <c r="O779" s="12">
        <v>3</v>
      </c>
      <c r="P779" s="13">
        <v>0.1</v>
      </c>
      <c r="Q779" s="11">
        <v>70.37</v>
      </c>
    </row>
    <row r="780" spans="1:17" x14ac:dyDescent="0.3">
      <c r="A780" s="2" t="s">
        <v>2036</v>
      </c>
      <c r="B780" s="3">
        <v>45338</v>
      </c>
      <c r="C780" s="3">
        <v>45342</v>
      </c>
      <c r="D780" s="2" t="s">
        <v>73</v>
      </c>
      <c r="E780" s="2" t="s">
        <v>1047</v>
      </c>
      <c r="F780" s="4" t="s">
        <v>1048</v>
      </c>
      <c r="G780" s="4" t="s">
        <v>42</v>
      </c>
      <c r="H780" s="4" t="s">
        <v>79</v>
      </c>
      <c r="I780" s="4" t="s">
        <v>80</v>
      </c>
      <c r="J780" s="4" t="s">
        <v>54</v>
      </c>
      <c r="K780" s="4" t="s">
        <v>45</v>
      </c>
      <c r="L780" s="4" t="s">
        <v>61</v>
      </c>
      <c r="M780" s="4" t="s">
        <v>2037</v>
      </c>
      <c r="N780" s="5">
        <v>5988.89</v>
      </c>
      <c r="O780" s="6">
        <v>9</v>
      </c>
      <c r="P780" s="7">
        <v>0.2</v>
      </c>
      <c r="Q780" s="5">
        <v>-1308.9100000000001</v>
      </c>
    </row>
    <row r="781" spans="1:17" x14ac:dyDescent="0.3">
      <c r="A781" s="8" t="s">
        <v>2038</v>
      </c>
      <c r="B781" s="9">
        <v>44258</v>
      </c>
      <c r="C781" s="9">
        <v>44264</v>
      </c>
      <c r="D781" s="8" t="s">
        <v>29</v>
      </c>
      <c r="E781" s="8" t="s">
        <v>662</v>
      </c>
      <c r="F781" s="10" t="s">
        <v>663</v>
      </c>
      <c r="G781" s="10" t="s">
        <v>21</v>
      </c>
      <c r="H781" s="10" t="s">
        <v>104</v>
      </c>
      <c r="I781" s="10" t="s">
        <v>105</v>
      </c>
      <c r="J781" s="10" t="s">
        <v>88</v>
      </c>
      <c r="K781" s="10" t="s">
        <v>35</v>
      </c>
      <c r="L781" s="10" t="s">
        <v>158</v>
      </c>
      <c r="M781" s="10" t="s">
        <v>2039</v>
      </c>
      <c r="N781" s="11">
        <v>538.25</v>
      </c>
      <c r="O781" s="12">
        <v>6</v>
      </c>
      <c r="P781" s="13">
        <v>0.15</v>
      </c>
      <c r="Q781" s="11">
        <v>150.37</v>
      </c>
    </row>
    <row r="782" spans="1:17" x14ac:dyDescent="0.3">
      <c r="A782" s="2" t="s">
        <v>2040</v>
      </c>
      <c r="B782" s="3">
        <v>44609</v>
      </c>
      <c r="C782" s="3">
        <v>44614</v>
      </c>
      <c r="D782" s="2" t="s">
        <v>29</v>
      </c>
      <c r="E782" s="2" t="s">
        <v>678</v>
      </c>
      <c r="F782" s="4" t="s">
        <v>679</v>
      </c>
      <c r="G782" s="4" t="s">
        <v>51</v>
      </c>
      <c r="H782" s="4" t="s">
        <v>122</v>
      </c>
      <c r="I782" s="4" t="s">
        <v>123</v>
      </c>
      <c r="J782" s="4" t="s">
        <v>24</v>
      </c>
      <c r="K782" s="4" t="s">
        <v>35</v>
      </c>
      <c r="L782" s="4" t="s">
        <v>158</v>
      </c>
      <c r="M782" s="4" t="s">
        <v>2041</v>
      </c>
      <c r="N782" s="5">
        <v>170.94</v>
      </c>
      <c r="O782" s="6">
        <v>2</v>
      </c>
      <c r="P782" s="7">
        <v>0.3</v>
      </c>
      <c r="Q782" s="5">
        <v>37.630000000000003</v>
      </c>
    </row>
    <row r="783" spans="1:17" x14ac:dyDescent="0.3">
      <c r="A783" s="8" t="s">
        <v>2042</v>
      </c>
      <c r="B783" s="9">
        <v>45017</v>
      </c>
      <c r="C783" s="9">
        <v>45021</v>
      </c>
      <c r="D783" s="8" t="s">
        <v>39</v>
      </c>
      <c r="E783" s="8" t="s">
        <v>890</v>
      </c>
      <c r="F783" s="10"/>
      <c r="G783" s="10" t="s">
        <v>42</v>
      </c>
      <c r="H783" s="10" t="s">
        <v>22</v>
      </c>
      <c r="I783" s="10" t="s">
        <v>23</v>
      </c>
      <c r="J783" s="10" t="s">
        <v>24</v>
      </c>
      <c r="K783" s="10" t="s">
        <v>45</v>
      </c>
      <c r="L783" s="10" t="s">
        <v>117</v>
      </c>
      <c r="M783" s="10" t="s">
        <v>2043</v>
      </c>
      <c r="N783" s="11">
        <v>886.89</v>
      </c>
      <c r="O783" s="12">
        <v>3</v>
      </c>
      <c r="P783" s="13">
        <v>0</v>
      </c>
      <c r="Q783" s="11">
        <v>288.85000000000002</v>
      </c>
    </row>
    <row r="784" spans="1:17" x14ac:dyDescent="0.3">
      <c r="A784" s="2" t="s">
        <v>2044</v>
      </c>
      <c r="B784" s="3">
        <v>44800</v>
      </c>
      <c r="C784" s="3">
        <v>44806</v>
      </c>
      <c r="D784" s="2" t="s">
        <v>29</v>
      </c>
      <c r="E784" s="2" t="s">
        <v>969</v>
      </c>
      <c r="F784" s="4" t="s">
        <v>970</v>
      </c>
      <c r="G784" s="4" t="s">
        <v>42</v>
      </c>
      <c r="H784" s="4" t="s">
        <v>79</v>
      </c>
      <c r="I784" s="4" t="s">
        <v>80</v>
      </c>
      <c r="J784" s="4" t="s">
        <v>54</v>
      </c>
      <c r="K784" s="4" t="s">
        <v>45</v>
      </c>
      <c r="L784" s="4" t="s">
        <v>61</v>
      </c>
      <c r="M784" s="4" t="s">
        <v>2045</v>
      </c>
      <c r="N784" s="5">
        <v>487.95</v>
      </c>
      <c r="O784" s="6">
        <v>2</v>
      </c>
      <c r="P784" s="7">
        <v>0.15</v>
      </c>
      <c r="Q784" s="5">
        <v>-65.58</v>
      </c>
    </row>
    <row r="785" spans="1:17" x14ac:dyDescent="0.3">
      <c r="A785" s="8" t="s">
        <v>2046</v>
      </c>
      <c r="B785" s="9">
        <v>44901</v>
      </c>
      <c r="C785" s="9">
        <v>44908</v>
      </c>
      <c r="D785" s="8" t="s">
        <v>29</v>
      </c>
      <c r="E785" s="8" t="s">
        <v>132</v>
      </c>
      <c r="F785" s="10" t="s">
        <v>133</v>
      </c>
      <c r="G785" s="10" t="s">
        <v>21</v>
      </c>
      <c r="H785" s="10" t="s">
        <v>134</v>
      </c>
      <c r="I785" s="10" t="s">
        <v>87</v>
      </c>
      <c r="J785" s="10" t="s">
        <v>88</v>
      </c>
      <c r="K785" s="10" t="s">
        <v>25</v>
      </c>
      <c r="L785" s="10" t="s">
        <v>74</v>
      </c>
      <c r="M785" s="10" t="s">
        <v>2047</v>
      </c>
      <c r="N785" s="11">
        <v>262.38</v>
      </c>
      <c r="O785" s="12">
        <v>2</v>
      </c>
      <c r="P785" s="13">
        <v>0</v>
      </c>
      <c r="Q785" s="11">
        <v>115.4</v>
      </c>
    </row>
    <row r="786" spans="1:17" x14ac:dyDescent="0.3">
      <c r="A786" s="2" t="s">
        <v>1783</v>
      </c>
      <c r="B786" s="3">
        <v>44289</v>
      </c>
      <c r="C786" s="3">
        <v>44296</v>
      </c>
      <c r="D786" s="2" t="s">
        <v>29</v>
      </c>
      <c r="E786" s="2" t="s">
        <v>376</v>
      </c>
      <c r="F786" s="4" t="s">
        <v>377</v>
      </c>
      <c r="G786" s="4" t="s">
        <v>42</v>
      </c>
      <c r="H786" s="4" t="s">
        <v>122</v>
      </c>
      <c r="I786" s="4" t="s">
        <v>123</v>
      </c>
      <c r="J786" s="4" t="s">
        <v>24</v>
      </c>
      <c r="K786" s="4" t="s">
        <v>35</v>
      </c>
      <c r="L786" s="4" t="s">
        <v>89</v>
      </c>
      <c r="M786" s="4" t="s">
        <v>1784</v>
      </c>
      <c r="N786" s="5">
        <v>1377.12</v>
      </c>
      <c r="O786" s="6">
        <v>8</v>
      </c>
      <c r="P786" s="7">
        <v>0.05</v>
      </c>
      <c r="Q786" s="5">
        <v>441.24</v>
      </c>
    </row>
    <row r="787" spans="1:17" x14ac:dyDescent="0.3">
      <c r="A787" s="8" t="s">
        <v>2048</v>
      </c>
      <c r="B787" s="9">
        <v>44609</v>
      </c>
      <c r="C787" s="9">
        <v>44615</v>
      </c>
      <c r="D787" s="8" t="s">
        <v>29</v>
      </c>
      <c r="E787" s="8" t="s">
        <v>654</v>
      </c>
      <c r="F787" s="10" t="s">
        <v>655</v>
      </c>
      <c r="G787" s="10" t="s">
        <v>21</v>
      </c>
      <c r="H787" s="10" t="s">
        <v>66</v>
      </c>
      <c r="I787" s="10" t="s">
        <v>67</v>
      </c>
      <c r="J787" s="10" t="s">
        <v>34</v>
      </c>
      <c r="K787" s="10" t="s">
        <v>45</v>
      </c>
      <c r="L787" s="10" t="s">
        <v>46</v>
      </c>
      <c r="M787" s="10" t="s">
        <v>2049</v>
      </c>
      <c r="N787" s="11">
        <v>1458.74</v>
      </c>
      <c r="O787" s="12">
        <v>4</v>
      </c>
      <c r="P787" s="13">
        <v>0.05</v>
      </c>
      <c r="Q787" s="11">
        <v>426.12</v>
      </c>
    </row>
    <row r="788" spans="1:17" x14ac:dyDescent="0.3">
      <c r="A788" s="2" t="s">
        <v>2050</v>
      </c>
      <c r="B788" s="3">
        <v>44311</v>
      </c>
      <c r="C788" s="3">
        <v>44314</v>
      </c>
      <c r="D788" s="2" t="s">
        <v>39</v>
      </c>
      <c r="E788" s="2" t="s">
        <v>1360</v>
      </c>
      <c r="F788" s="4" t="s">
        <v>1361</v>
      </c>
      <c r="G788" s="4" t="s">
        <v>21</v>
      </c>
      <c r="H788" s="4" t="s">
        <v>156</v>
      </c>
      <c r="I788" s="4" t="s">
        <v>157</v>
      </c>
      <c r="J788" s="4" t="s">
        <v>88</v>
      </c>
      <c r="K788" s="4" t="s">
        <v>35</v>
      </c>
      <c r="L788" s="4" t="s">
        <v>81</v>
      </c>
      <c r="M788" s="4" t="s">
        <v>2051</v>
      </c>
      <c r="N788" s="5">
        <v>78.650000000000006</v>
      </c>
      <c r="O788" s="6">
        <v>10</v>
      </c>
      <c r="P788" s="7">
        <v>0.5</v>
      </c>
      <c r="Q788" s="5">
        <v>-0.28999999999999998</v>
      </c>
    </row>
    <row r="789" spans="1:17" x14ac:dyDescent="0.3">
      <c r="A789" s="8" t="s">
        <v>2052</v>
      </c>
      <c r="B789" s="9">
        <v>45623</v>
      </c>
      <c r="C789" s="9">
        <v>45626</v>
      </c>
      <c r="D789" s="8" t="s">
        <v>18</v>
      </c>
      <c r="E789" s="8" t="s">
        <v>678</v>
      </c>
      <c r="F789" s="10" t="s">
        <v>679</v>
      </c>
      <c r="G789" s="10" t="s">
        <v>51</v>
      </c>
      <c r="H789" s="10" t="s">
        <v>122</v>
      </c>
      <c r="I789" s="10" t="s">
        <v>123</v>
      </c>
      <c r="J789" s="10" t="s">
        <v>24</v>
      </c>
      <c r="K789" s="10" t="s">
        <v>35</v>
      </c>
      <c r="L789" s="10" t="s">
        <v>36</v>
      </c>
      <c r="M789" s="10" t="s">
        <v>2053</v>
      </c>
      <c r="N789" s="11">
        <v>1977.2</v>
      </c>
      <c r="O789" s="12">
        <v>8</v>
      </c>
      <c r="P789" s="13">
        <v>0</v>
      </c>
      <c r="Q789" s="11">
        <v>957.95</v>
      </c>
    </row>
    <row r="790" spans="1:17" x14ac:dyDescent="0.3">
      <c r="A790" s="2" t="s">
        <v>2054</v>
      </c>
      <c r="B790" s="3">
        <v>44424</v>
      </c>
      <c r="C790" s="3">
        <v>44427</v>
      </c>
      <c r="D790" s="2" t="s">
        <v>73</v>
      </c>
      <c r="E790" s="2" t="s">
        <v>701</v>
      </c>
      <c r="F790" s="4" t="s">
        <v>702</v>
      </c>
      <c r="G790" s="4" t="s">
        <v>21</v>
      </c>
      <c r="H790" s="4" t="s">
        <v>43</v>
      </c>
      <c r="I790" s="4" t="s">
        <v>44</v>
      </c>
      <c r="J790" s="4" t="s">
        <v>24</v>
      </c>
      <c r="K790" s="4" t="s">
        <v>25</v>
      </c>
      <c r="L790" s="4" t="s">
        <v>74</v>
      </c>
      <c r="M790" s="4" t="s">
        <v>2055</v>
      </c>
      <c r="N790" s="5">
        <v>858.68</v>
      </c>
      <c r="O790" s="6">
        <v>2</v>
      </c>
      <c r="P790" s="7">
        <v>0</v>
      </c>
      <c r="Q790" s="5">
        <v>306.19</v>
      </c>
    </row>
    <row r="791" spans="1:17" x14ac:dyDescent="0.3">
      <c r="A791" s="8" t="s">
        <v>2056</v>
      </c>
      <c r="B791" s="9">
        <v>45459</v>
      </c>
      <c r="C791" s="9">
        <v>45462</v>
      </c>
      <c r="D791" s="8" t="s">
        <v>73</v>
      </c>
      <c r="E791" s="8" t="s">
        <v>355</v>
      </c>
      <c r="F791" s="10" t="s">
        <v>356</v>
      </c>
      <c r="G791" s="10" t="s">
        <v>21</v>
      </c>
      <c r="H791" s="10" t="s">
        <v>357</v>
      </c>
      <c r="I791" s="10" t="s">
        <v>251</v>
      </c>
      <c r="J791" s="10" t="s">
        <v>88</v>
      </c>
      <c r="K791" s="10" t="s">
        <v>35</v>
      </c>
      <c r="L791" s="10" t="s">
        <v>36</v>
      </c>
      <c r="M791" s="10" t="s">
        <v>2057</v>
      </c>
      <c r="N791" s="11">
        <v>361</v>
      </c>
      <c r="O791" s="12">
        <v>4</v>
      </c>
      <c r="P791" s="13">
        <v>0</v>
      </c>
      <c r="Q791" s="11">
        <v>155.88</v>
      </c>
    </row>
    <row r="792" spans="1:17" x14ac:dyDescent="0.3">
      <c r="A792" s="2" t="s">
        <v>2058</v>
      </c>
      <c r="B792" s="3">
        <v>44875</v>
      </c>
      <c r="C792" s="3">
        <v>44878</v>
      </c>
      <c r="D792" s="2" t="s">
        <v>39</v>
      </c>
      <c r="E792" s="2" t="s">
        <v>547</v>
      </c>
      <c r="F792" s="4" t="s">
        <v>548</v>
      </c>
      <c r="G792" s="4" t="s">
        <v>51</v>
      </c>
      <c r="H792" s="4" t="s">
        <v>156</v>
      </c>
      <c r="I792" s="4" t="s">
        <v>157</v>
      </c>
      <c r="J792" s="4" t="s">
        <v>88</v>
      </c>
      <c r="K792" s="4" t="s">
        <v>25</v>
      </c>
      <c r="L792" s="4" t="s">
        <v>74</v>
      </c>
      <c r="M792" s="4" t="s">
        <v>2059</v>
      </c>
      <c r="N792" s="5">
        <v>383.04</v>
      </c>
      <c r="O792" s="6">
        <v>4</v>
      </c>
      <c r="P792" s="7">
        <v>0.05</v>
      </c>
      <c r="Q792" s="5">
        <v>122.52</v>
      </c>
    </row>
    <row r="793" spans="1:17" x14ac:dyDescent="0.3">
      <c r="A793" s="8" t="s">
        <v>2060</v>
      </c>
      <c r="B793" s="9">
        <v>44394</v>
      </c>
      <c r="C793" s="9">
        <v>44397</v>
      </c>
      <c r="D793" s="8" t="s">
        <v>18</v>
      </c>
      <c r="E793" s="8" t="s">
        <v>303</v>
      </c>
      <c r="F793" s="10" t="s">
        <v>304</v>
      </c>
      <c r="G793" s="10" t="s">
        <v>42</v>
      </c>
      <c r="H793" s="10" t="s">
        <v>305</v>
      </c>
      <c r="I793" s="10" t="s">
        <v>306</v>
      </c>
      <c r="J793" s="10" t="s">
        <v>34</v>
      </c>
      <c r="K793" s="10" t="s">
        <v>45</v>
      </c>
      <c r="L793" s="10" t="s">
        <v>117</v>
      </c>
      <c r="M793" s="10" t="s">
        <v>2061</v>
      </c>
      <c r="N793" s="11">
        <v>290.57</v>
      </c>
      <c r="O793" s="12">
        <v>5</v>
      </c>
      <c r="P793" s="13">
        <v>0.3</v>
      </c>
      <c r="Q793" s="11">
        <v>-30.82</v>
      </c>
    </row>
    <row r="794" spans="1:17" x14ac:dyDescent="0.3">
      <c r="A794" s="2" t="s">
        <v>2062</v>
      </c>
      <c r="B794" s="3">
        <v>44617</v>
      </c>
      <c r="C794" s="3">
        <v>44624</v>
      </c>
      <c r="D794" s="2" t="s">
        <v>29</v>
      </c>
      <c r="E794" s="2" t="s">
        <v>445</v>
      </c>
      <c r="F794" s="4" t="s">
        <v>446</v>
      </c>
      <c r="G794" s="4" t="s">
        <v>51</v>
      </c>
      <c r="H794" s="4" t="s">
        <v>183</v>
      </c>
      <c r="I794" s="4" t="s">
        <v>184</v>
      </c>
      <c r="J794" s="4" t="s">
        <v>54</v>
      </c>
      <c r="K794" s="4" t="s">
        <v>45</v>
      </c>
      <c r="L794" s="4" t="s">
        <v>99</v>
      </c>
      <c r="M794" s="4" t="s">
        <v>2063</v>
      </c>
      <c r="N794" s="5">
        <v>857.95</v>
      </c>
      <c r="O794" s="6">
        <v>8</v>
      </c>
      <c r="P794" s="7">
        <v>0.1</v>
      </c>
      <c r="Q794" s="5">
        <v>229.6</v>
      </c>
    </row>
    <row r="795" spans="1:17" x14ac:dyDescent="0.3">
      <c r="A795" s="8" t="s">
        <v>2064</v>
      </c>
      <c r="B795" s="9">
        <v>44468</v>
      </c>
      <c r="C795" s="9">
        <v>44473</v>
      </c>
      <c r="D795" s="8" t="s">
        <v>73</v>
      </c>
      <c r="E795" s="8" t="s">
        <v>360</v>
      </c>
      <c r="F795" s="10" t="s">
        <v>361</v>
      </c>
      <c r="G795" s="10" t="s">
        <v>42</v>
      </c>
      <c r="H795" s="10" t="s">
        <v>346</v>
      </c>
      <c r="I795" s="10" t="s">
        <v>347</v>
      </c>
      <c r="J795" s="10" t="s">
        <v>88</v>
      </c>
      <c r="K795" s="10" t="s">
        <v>25</v>
      </c>
      <c r="L795" s="10" t="s">
        <v>68</v>
      </c>
      <c r="M795" s="10" t="s">
        <v>2065</v>
      </c>
      <c r="N795" s="11">
        <v>136.51</v>
      </c>
      <c r="O795" s="12">
        <v>1</v>
      </c>
      <c r="P795" s="13">
        <v>0.05</v>
      </c>
      <c r="Q795" s="11">
        <v>50.82</v>
      </c>
    </row>
    <row r="796" spans="1:17" x14ac:dyDescent="0.3">
      <c r="A796" s="2" t="s">
        <v>2066</v>
      </c>
      <c r="B796" s="3">
        <v>44708</v>
      </c>
      <c r="C796" s="3">
        <v>44710</v>
      </c>
      <c r="D796" s="2" t="s">
        <v>39</v>
      </c>
      <c r="E796" s="2" t="s">
        <v>265</v>
      </c>
      <c r="F796" s="4" t="s">
        <v>266</v>
      </c>
      <c r="G796" s="4" t="s">
        <v>21</v>
      </c>
      <c r="H796" s="4" t="s">
        <v>171</v>
      </c>
      <c r="I796" s="4" t="s">
        <v>172</v>
      </c>
      <c r="J796" s="4" t="s">
        <v>24</v>
      </c>
      <c r="K796" s="4" t="s">
        <v>25</v>
      </c>
      <c r="L796" s="4" t="s">
        <v>124</v>
      </c>
      <c r="M796" s="4" t="s">
        <v>2067</v>
      </c>
      <c r="N796" s="5">
        <v>13410.77</v>
      </c>
      <c r="O796" s="6">
        <v>4</v>
      </c>
      <c r="P796" s="7">
        <v>0.05</v>
      </c>
      <c r="Q796" s="5">
        <v>3494.67</v>
      </c>
    </row>
    <row r="797" spans="1:17" x14ac:dyDescent="0.3">
      <c r="A797" s="8" t="s">
        <v>2068</v>
      </c>
      <c r="B797" s="9">
        <v>45540</v>
      </c>
      <c r="C797" s="9">
        <v>45544</v>
      </c>
      <c r="D797" s="8" t="s">
        <v>39</v>
      </c>
      <c r="E797" s="8" t="s">
        <v>340</v>
      </c>
      <c r="F797" s="10" t="s">
        <v>341</v>
      </c>
      <c r="G797" s="10" t="s">
        <v>21</v>
      </c>
      <c r="H797" s="10" t="s">
        <v>139</v>
      </c>
      <c r="I797" s="10" t="s">
        <v>140</v>
      </c>
      <c r="J797" s="10" t="s">
        <v>24</v>
      </c>
      <c r="K797" s="10" t="s">
        <v>45</v>
      </c>
      <c r="L797" s="10" t="s">
        <v>99</v>
      </c>
      <c r="M797" s="10" t="s">
        <v>2069</v>
      </c>
      <c r="N797" s="11">
        <v>30.58</v>
      </c>
      <c r="O797" s="12">
        <v>2</v>
      </c>
      <c r="P797" s="13">
        <v>0.15</v>
      </c>
      <c r="Q797" s="11">
        <v>3.67</v>
      </c>
    </row>
    <row r="798" spans="1:17" x14ac:dyDescent="0.3">
      <c r="A798" s="2" t="s">
        <v>2070</v>
      </c>
      <c r="B798" s="3">
        <v>44823</v>
      </c>
      <c r="C798" s="3">
        <v>44825</v>
      </c>
      <c r="D798" s="2" t="s">
        <v>18</v>
      </c>
      <c r="E798" s="2" t="s">
        <v>924</v>
      </c>
      <c r="F798" s="4" t="s">
        <v>925</v>
      </c>
      <c r="G798" s="4" t="s">
        <v>42</v>
      </c>
      <c r="H798" s="4" t="s">
        <v>79</v>
      </c>
      <c r="I798" s="4" t="s">
        <v>80</v>
      </c>
      <c r="J798" s="4" t="s">
        <v>54</v>
      </c>
      <c r="K798" s="4" t="s">
        <v>35</v>
      </c>
      <c r="L798" s="4" t="s">
        <v>166</v>
      </c>
      <c r="M798" s="4" t="s">
        <v>2071</v>
      </c>
      <c r="N798" s="5">
        <v>60.94</v>
      </c>
      <c r="O798" s="6">
        <v>3</v>
      </c>
      <c r="P798" s="7">
        <v>0.1</v>
      </c>
      <c r="Q798" s="5">
        <v>14.84</v>
      </c>
    </row>
    <row r="799" spans="1:17" x14ac:dyDescent="0.3">
      <c r="A799" s="8" t="s">
        <v>2072</v>
      </c>
      <c r="B799" s="9">
        <v>45198</v>
      </c>
      <c r="C799" s="9">
        <v>45199</v>
      </c>
      <c r="D799" s="8" t="s">
        <v>18</v>
      </c>
      <c r="E799" s="8" t="s">
        <v>512</v>
      </c>
      <c r="F799" s="10" t="s">
        <v>513</v>
      </c>
      <c r="G799" s="10" t="s">
        <v>21</v>
      </c>
      <c r="H799" s="10" t="s">
        <v>104</v>
      </c>
      <c r="I799" s="10" t="s">
        <v>105</v>
      </c>
      <c r="J799" s="10" t="s">
        <v>88</v>
      </c>
      <c r="K799" s="10" t="s">
        <v>35</v>
      </c>
      <c r="L799" s="10" t="s">
        <v>89</v>
      </c>
      <c r="M799" s="10" t="s">
        <v>1348</v>
      </c>
      <c r="N799" s="11">
        <v>317.92</v>
      </c>
      <c r="O799" s="12">
        <v>2</v>
      </c>
      <c r="P799" s="13">
        <v>0</v>
      </c>
      <c r="Q799" s="11">
        <v>124.4</v>
      </c>
    </row>
    <row r="800" spans="1:17" x14ac:dyDescent="0.3">
      <c r="A800" s="2" t="s">
        <v>2073</v>
      </c>
      <c r="B800" s="3">
        <v>45451</v>
      </c>
      <c r="C800" s="3">
        <v>45457</v>
      </c>
      <c r="D800" s="2" t="s">
        <v>29</v>
      </c>
      <c r="E800" s="2" t="s">
        <v>370</v>
      </c>
      <c r="F800" s="4" t="s">
        <v>371</v>
      </c>
      <c r="G800" s="4" t="s">
        <v>51</v>
      </c>
      <c r="H800" s="4" t="s">
        <v>372</v>
      </c>
      <c r="I800" s="4" t="s">
        <v>373</v>
      </c>
      <c r="J800" s="4" t="s">
        <v>34</v>
      </c>
      <c r="K800" s="4" t="s">
        <v>25</v>
      </c>
      <c r="L800" s="4" t="s">
        <v>26</v>
      </c>
      <c r="M800" s="4" t="s">
        <v>2074</v>
      </c>
      <c r="N800" s="5">
        <v>2808.34</v>
      </c>
      <c r="O800" s="6">
        <v>4</v>
      </c>
      <c r="P800" s="7">
        <v>0.5</v>
      </c>
      <c r="Q800" s="5">
        <v>-1671.11</v>
      </c>
    </row>
    <row r="801" spans="1:17" x14ac:dyDescent="0.3">
      <c r="A801" s="8" t="s">
        <v>2075</v>
      </c>
      <c r="B801" s="9">
        <v>44557</v>
      </c>
      <c r="C801" s="9">
        <v>44563</v>
      </c>
      <c r="D801" s="8" t="s">
        <v>29</v>
      </c>
      <c r="E801" s="8" t="s">
        <v>457</v>
      </c>
      <c r="F801" s="10" t="s">
        <v>458</v>
      </c>
      <c r="G801" s="10" t="s">
        <v>51</v>
      </c>
      <c r="H801" s="10" t="s">
        <v>459</v>
      </c>
      <c r="I801" s="10" t="s">
        <v>460</v>
      </c>
      <c r="J801" s="10" t="s">
        <v>54</v>
      </c>
      <c r="K801" s="10" t="s">
        <v>45</v>
      </c>
      <c r="L801" s="10" t="s">
        <v>117</v>
      </c>
      <c r="M801" s="10" t="s">
        <v>2076</v>
      </c>
      <c r="N801" s="11">
        <v>344.33</v>
      </c>
      <c r="O801" s="12">
        <v>1</v>
      </c>
      <c r="P801" s="13">
        <v>0</v>
      </c>
      <c r="Q801" s="11">
        <v>100.94</v>
      </c>
    </row>
    <row r="802" spans="1:17" x14ac:dyDescent="0.3">
      <c r="A802" s="2" t="s">
        <v>2077</v>
      </c>
      <c r="B802" s="3">
        <v>44282</v>
      </c>
      <c r="C802" s="3">
        <v>44287</v>
      </c>
      <c r="D802" s="2" t="s">
        <v>29</v>
      </c>
      <c r="E802" s="2" t="s">
        <v>547</v>
      </c>
      <c r="F802" s="4" t="s">
        <v>548</v>
      </c>
      <c r="G802" s="4" t="s">
        <v>51</v>
      </c>
      <c r="H802" s="4" t="s">
        <v>156</v>
      </c>
      <c r="I802" s="4" t="s">
        <v>157</v>
      </c>
      <c r="J802" s="4" t="s">
        <v>88</v>
      </c>
      <c r="K802" s="4" t="s">
        <v>25</v>
      </c>
      <c r="L802" s="4" t="s">
        <v>68</v>
      </c>
      <c r="M802" s="4" t="s">
        <v>2078</v>
      </c>
      <c r="N802" s="5">
        <v>1429.04</v>
      </c>
      <c r="O802" s="6">
        <v>8</v>
      </c>
      <c r="P802" s="7">
        <v>0</v>
      </c>
      <c r="Q802" s="5">
        <v>624.09</v>
      </c>
    </row>
    <row r="803" spans="1:17" x14ac:dyDescent="0.3">
      <c r="A803" s="8" t="s">
        <v>2079</v>
      </c>
      <c r="B803" s="9">
        <v>44483</v>
      </c>
      <c r="C803" s="9">
        <v>44490</v>
      </c>
      <c r="D803" s="8" t="s">
        <v>29</v>
      </c>
      <c r="E803" s="8" t="s">
        <v>191</v>
      </c>
      <c r="F803" s="10" t="s">
        <v>192</v>
      </c>
      <c r="G803" s="10" t="s">
        <v>21</v>
      </c>
      <c r="H803" s="10" t="s">
        <v>193</v>
      </c>
      <c r="I803" s="10" t="s">
        <v>194</v>
      </c>
      <c r="J803" s="10" t="s">
        <v>34</v>
      </c>
      <c r="K803" s="10" t="s">
        <v>25</v>
      </c>
      <c r="L803" s="10" t="s">
        <v>124</v>
      </c>
      <c r="M803" s="10" t="s">
        <v>2080</v>
      </c>
      <c r="N803" s="11">
        <v>10066.43</v>
      </c>
      <c r="O803" s="12">
        <v>7</v>
      </c>
      <c r="P803" s="13">
        <v>0.4</v>
      </c>
      <c r="Q803" s="11">
        <v>-2064.91</v>
      </c>
    </row>
    <row r="804" spans="1:17" x14ac:dyDescent="0.3">
      <c r="A804" s="2" t="s">
        <v>2081</v>
      </c>
      <c r="B804" s="3">
        <v>45400</v>
      </c>
      <c r="C804" s="3">
        <v>45403</v>
      </c>
      <c r="D804" s="2" t="s">
        <v>73</v>
      </c>
      <c r="E804" s="2" t="s">
        <v>642</v>
      </c>
      <c r="F804" s="4" t="s">
        <v>643</v>
      </c>
      <c r="G804" s="4" t="s">
        <v>51</v>
      </c>
      <c r="H804" s="4" t="s">
        <v>171</v>
      </c>
      <c r="I804" s="4" t="s">
        <v>172</v>
      </c>
      <c r="J804" s="4" t="s">
        <v>24</v>
      </c>
      <c r="K804" s="4" t="s">
        <v>35</v>
      </c>
      <c r="L804" s="4" t="s">
        <v>216</v>
      </c>
      <c r="M804" s="4" t="s">
        <v>1144</v>
      </c>
      <c r="N804" s="5">
        <v>15.65</v>
      </c>
      <c r="O804" s="6">
        <v>1</v>
      </c>
      <c r="P804" s="7">
        <v>0.3</v>
      </c>
      <c r="Q804" s="5">
        <v>3.29</v>
      </c>
    </row>
    <row r="805" spans="1:17" x14ac:dyDescent="0.3">
      <c r="A805" s="8" t="s">
        <v>2082</v>
      </c>
      <c r="B805" s="9">
        <v>45595</v>
      </c>
      <c r="C805" s="9">
        <v>45599</v>
      </c>
      <c r="D805" s="8" t="s">
        <v>73</v>
      </c>
      <c r="E805" s="8" t="s">
        <v>495</v>
      </c>
      <c r="F805" s="10" t="s">
        <v>496</v>
      </c>
      <c r="G805" s="10" t="s">
        <v>51</v>
      </c>
      <c r="H805" s="10" t="s">
        <v>497</v>
      </c>
      <c r="I805" s="10" t="s">
        <v>423</v>
      </c>
      <c r="J805" s="10" t="s">
        <v>88</v>
      </c>
      <c r="K805" s="10" t="s">
        <v>35</v>
      </c>
      <c r="L805" s="10" t="s">
        <v>110</v>
      </c>
      <c r="M805" s="10" t="s">
        <v>2083</v>
      </c>
      <c r="N805" s="11">
        <v>29.4</v>
      </c>
      <c r="O805" s="12">
        <v>2</v>
      </c>
      <c r="P805" s="13">
        <v>0</v>
      </c>
      <c r="Q805" s="11">
        <v>12.44</v>
      </c>
    </row>
    <row r="806" spans="1:17" x14ac:dyDescent="0.3">
      <c r="A806" s="2" t="s">
        <v>2084</v>
      </c>
      <c r="B806" s="3">
        <v>44561</v>
      </c>
      <c r="C806" s="3">
        <v>44564</v>
      </c>
      <c r="D806" s="2" t="s">
        <v>18</v>
      </c>
      <c r="E806" s="2" t="s">
        <v>670</v>
      </c>
      <c r="F806" s="4" t="s">
        <v>671</v>
      </c>
      <c r="G806" s="4" t="s">
        <v>21</v>
      </c>
      <c r="H806" s="4" t="s">
        <v>465</v>
      </c>
      <c r="I806" s="4" t="s">
        <v>423</v>
      </c>
      <c r="J806" s="4" t="s">
        <v>88</v>
      </c>
      <c r="K806" s="4" t="s">
        <v>45</v>
      </c>
      <c r="L806" s="4" t="s">
        <v>99</v>
      </c>
      <c r="M806" s="4" t="s">
        <v>2085</v>
      </c>
      <c r="N806" s="5">
        <v>64.98</v>
      </c>
      <c r="O806" s="6">
        <v>2</v>
      </c>
      <c r="P806" s="7">
        <v>0</v>
      </c>
      <c r="Q806" s="5">
        <v>19.71</v>
      </c>
    </row>
    <row r="807" spans="1:17" x14ac:dyDescent="0.3">
      <c r="A807" s="8" t="s">
        <v>2086</v>
      </c>
      <c r="B807" s="9">
        <v>45076</v>
      </c>
      <c r="C807" s="9">
        <v>45077</v>
      </c>
      <c r="D807" s="8" t="s">
        <v>18</v>
      </c>
      <c r="E807" s="8" t="s">
        <v>309</v>
      </c>
      <c r="F807" s="10" t="s">
        <v>310</v>
      </c>
      <c r="G807" s="10" t="s">
        <v>21</v>
      </c>
      <c r="H807" s="10" t="s">
        <v>115</v>
      </c>
      <c r="I807" s="10" t="s">
        <v>116</v>
      </c>
      <c r="J807" s="10" t="s">
        <v>54</v>
      </c>
      <c r="K807" s="10" t="s">
        <v>25</v>
      </c>
      <c r="L807" s="10" t="s">
        <v>74</v>
      </c>
      <c r="M807" s="10" t="s">
        <v>2087</v>
      </c>
      <c r="N807" s="11">
        <v>3178.7</v>
      </c>
      <c r="O807" s="12">
        <v>10</v>
      </c>
      <c r="P807" s="13">
        <v>0.05</v>
      </c>
      <c r="Q807" s="11">
        <v>1131.18</v>
      </c>
    </row>
    <row r="808" spans="1:17" x14ac:dyDescent="0.3">
      <c r="A808" s="2" t="s">
        <v>2088</v>
      </c>
      <c r="B808" s="3">
        <v>45278</v>
      </c>
      <c r="C808" s="3">
        <v>45280</v>
      </c>
      <c r="D808" s="2" t="s">
        <v>39</v>
      </c>
      <c r="E808" s="2" t="s">
        <v>1184</v>
      </c>
      <c r="F808" s="4" t="s">
        <v>1185</v>
      </c>
      <c r="G808" s="4" t="s">
        <v>51</v>
      </c>
      <c r="H808" s="4" t="s">
        <v>22</v>
      </c>
      <c r="I808" s="4" t="s">
        <v>23</v>
      </c>
      <c r="J808" s="4" t="s">
        <v>24</v>
      </c>
      <c r="K808" s="4" t="s">
        <v>25</v>
      </c>
      <c r="L808" s="4" t="s">
        <v>124</v>
      </c>
      <c r="M808" s="4" t="s">
        <v>2089</v>
      </c>
      <c r="N808" s="5">
        <v>31188.799999999999</v>
      </c>
      <c r="O808" s="6">
        <v>10</v>
      </c>
      <c r="P808" s="7">
        <v>0</v>
      </c>
      <c r="Q808" s="5">
        <v>7669.92</v>
      </c>
    </row>
    <row r="809" spans="1:17" x14ac:dyDescent="0.3">
      <c r="A809" s="8" t="s">
        <v>2090</v>
      </c>
      <c r="B809" s="9">
        <v>44227</v>
      </c>
      <c r="C809" s="9">
        <v>44230</v>
      </c>
      <c r="D809" s="8" t="s">
        <v>73</v>
      </c>
      <c r="E809" s="8" t="s">
        <v>163</v>
      </c>
      <c r="F809" s="10" t="s">
        <v>164</v>
      </c>
      <c r="G809" s="10" t="s">
        <v>21</v>
      </c>
      <c r="H809" s="10" t="s">
        <v>165</v>
      </c>
      <c r="I809" s="10" t="s">
        <v>44</v>
      </c>
      <c r="J809" s="10" t="s">
        <v>24</v>
      </c>
      <c r="K809" s="10" t="s">
        <v>45</v>
      </c>
      <c r="L809" s="10" t="s">
        <v>46</v>
      </c>
      <c r="M809" s="10" t="s">
        <v>2091</v>
      </c>
      <c r="N809" s="11">
        <v>1095.8800000000001</v>
      </c>
      <c r="O809" s="12">
        <v>9</v>
      </c>
      <c r="P809" s="13">
        <v>0.5</v>
      </c>
      <c r="Q809" s="11">
        <v>-169.48</v>
      </c>
    </row>
    <row r="810" spans="1:17" x14ac:dyDescent="0.3">
      <c r="A810" s="2" t="s">
        <v>2092</v>
      </c>
      <c r="B810" s="3">
        <v>45425</v>
      </c>
      <c r="C810" s="3">
        <v>45428</v>
      </c>
      <c r="D810" s="2" t="s">
        <v>39</v>
      </c>
      <c r="E810" s="2" t="s">
        <v>1435</v>
      </c>
      <c r="F810" s="4" t="s">
        <v>1436</v>
      </c>
      <c r="G810" s="4" t="s">
        <v>21</v>
      </c>
      <c r="H810" s="4" t="s">
        <v>492</v>
      </c>
      <c r="I810" s="4" t="s">
        <v>53</v>
      </c>
      <c r="J810" s="4" t="s">
        <v>54</v>
      </c>
      <c r="K810" s="4" t="s">
        <v>45</v>
      </c>
      <c r="L810" s="4" t="s">
        <v>46</v>
      </c>
      <c r="M810" s="4" t="s">
        <v>2093</v>
      </c>
      <c r="N810" s="5">
        <v>685.55</v>
      </c>
      <c r="O810" s="6">
        <v>6</v>
      </c>
      <c r="P810" s="7">
        <v>0.4</v>
      </c>
      <c r="Q810" s="5">
        <v>-115.63</v>
      </c>
    </row>
    <row r="811" spans="1:17" x14ac:dyDescent="0.3">
      <c r="A811" s="8" t="s">
        <v>2094</v>
      </c>
      <c r="B811" s="9">
        <v>44655</v>
      </c>
      <c r="C811" s="9">
        <v>44660</v>
      </c>
      <c r="D811" s="8" t="s">
        <v>73</v>
      </c>
      <c r="E811" s="8" t="s">
        <v>476</v>
      </c>
      <c r="F811" s="10" t="s">
        <v>477</v>
      </c>
      <c r="G811" s="10" t="s">
        <v>42</v>
      </c>
      <c r="H811" s="10" t="s">
        <v>150</v>
      </c>
      <c r="I811" s="10" t="s">
        <v>151</v>
      </c>
      <c r="J811" s="10" t="s">
        <v>34</v>
      </c>
      <c r="K811" s="10" t="s">
        <v>25</v>
      </c>
      <c r="L811" s="10" t="s">
        <v>74</v>
      </c>
      <c r="M811" s="10" t="s">
        <v>2095</v>
      </c>
      <c r="N811" s="11">
        <v>367.12</v>
      </c>
      <c r="O811" s="12">
        <v>5</v>
      </c>
      <c r="P811" s="13">
        <v>0.3</v>
      </c>
      <c r="Q811" s="11">
        <v>44.43</v>
      </c>
    </row>
    <row r="812" spans="1:17" x14ac:dyDescent="0.3">
      <c r="A812" s="2" t="s">
        <v>2096</v>
      </c>
      <c r="B812" s="3">
        <v>44770</v>
      </c>
      <c r="C812" s="3">
        <v>44776</v>
      </c>
      <c r="D812" s="2" t="s">
        <v>29</v>
      </c>
      <c r="E812" s="2" t="s">
        <v>1246</v>
      </c>
      <c r="F812" s="4" t="s">
        <v>1247</v>
      </c>
      <c r="G812" s="4" t="s">
        <v>42</v>
      </c>
      <c r="H812" s="4" t="s">
        <v>1091</v>
      </c>
      <c r="I812" s="4" t="s">
        <v>23</v>
      </c>
      <c r="J812" s="4" t="s">
        <v>24</v>
      </c>
      <c r="K812" s="4" t="s">
        <v>45</v>
      </c>
      <c r="L812" s="4" t="s">
        <v>46</v>
      </c>
      <c r="M812" s="4" t="s">
        <v>2097</v>
      </c>
      <c r="N812" s="5">
        <v>458.22</v>
      </c>
      <c r="O812" s="6">
        <v>6</v>
      </c>
      <c r="P812" s="7">
        <v>0.05</v>
      </c>
      <c r="Q812" s="5">
        <v>161.27000000000001</v>
      </c>
    </row>
    <row r="813" spans="1:17" x14ac:dyDescent="0.3">
      <c r="A813" s="8" t="s">
        <v>2098</v>
      </c>
      <c r="B813" s="9">
        <v>44975</v>
      </c>
      <c r="C813" s="9">
        <v>44980</v>
      </c>
      <c r="D813" s="8" t="s">
        <v>73</v>
      </c>
      <c r="E813" s="8" t="s">
        <v>924</v>
      </c>
      <c r="F813" s="10" t="s">
        <v>925</v>
      </c>
      <c r="G813" s="10" t="s">
        <v>42</v>
      </c>
      <c r="H813" s="10" t="s">
        <v>79</v>
      </c>
      <c r="I813" s="10" t="s">
        <v>80</v>
      </c>
      <c r="J813" s="10" t="s">
        <v>54</v>
      </c>
      <c r="K813" s="10" t="s">
        <v>25</v>
      </c>
      <c r="L813" s="10" t="s">
        <v>26</v>
      </c>
      <c r="M813" s="10" t="s">
        <v>2099</v>
      </c>
      <c r="N813" s="11">
        <v>3252.8</v>
      </c>
      <c r="O813" s="12">
        <v>2</v>
      </c>
      <c r="P813" s="13">
        <v>0</v>
      </c>
      <c r="Q813" s="11">
        <v>771.32</v>
      </c>
    </row>
    <row r="814" spans="1:17" x14ac:dyDescent="0.3">
      <c r="A814" s="2" t="s">
        <v>2100</v>
      </c>
      <c r="B814" s="3">
        <v>44218</v>
      </c>
      <c r="C814" s="3">
        <v>44220</v>
      </c>
      <c r="D814" s="2" t="s">
        <v>39</v>
      </c>
      <c r="E814" s="2" t="s">
        <v>1448</v>
      </c>
      <c r="F814" s="4" t="s">
        <v>1449</v>
      </c>
      <c r="G814" s="4" t="s">
        <v>21</v>
      </c>
      <c r="H814" s="4" t="s">
        <v>122</v>
      </c>
      <c r="I814" s="4" t="s">
        <v>123</v>
      </c>
      <c r="J814" s="4" t="s">
        <v>24</v>
      </c>
      <c r="K814" s="4" t="s">
        <v>25</v>
      </c>
      <c r="L814" s="4" t="s">
        <v>74</v>
      </c>
      <c r="M814" s="4" t="s">
        <v>82</v>
      </c>
      <c r="N814" s="5">
        <v>2151.21</v>
      </c>
      <c r="O814" s="6">
        <v>7</v>
      </c>
      <c r="P814" s="7">
        <v>0.05</v>
      </c>
      <c r="Q814" s="5">
        <v>784.7</v>
      </c>
    </row>
    <row r="815" spans="1:17" x14ac:dyDescent="0.3">
      <c r="A815" s="8" t="s">
        <v>2101</v>
      </c>
      <c r="B815" s="9">
        <v>45605</v>
      </c>
      <c r="C815" s="9">
        <v>45609</v>
      </c>
      <c r="D815" s="8" t="s">
        <v>39</v>
      </c>
      <c r="E815" s="8" t="s">
        <v>697</v>
      </c>
      <c r="F815" s="10" t="s">
        <v>698</v>
      </c>
      <c r="G815" s="10" t="s">
        <v>21</v>
      </c>
      <c r="H815" s="10" t="s">
        <v>319</v>
      </c>
      <c r="I815" s="10" t="s">
        <v>194</v>
      </c>
      <c r="J815" s="10" t="s">
        <v>34</v>
      </c>
      <c r="K815" s="10" t="s">
        <v>35</v>
      </c>
      <c r="L815" s="10" t="s">
        <v>295</v>
      </c>
      <c r="M815" s="10" t="s">
        <v>1035</v>
      </c>
      <c r="N815" s="11">
        <v>142.38999999999999</v>
      </c>
      <c r="O815" s="12">
        <v>3</v>
      </c>
      <c r="P815" s="13">
        <v>0.15</v>
      </c>
      <c r="Q815" s="11">
        <v>67.33</v>
      </c>
    </row>
    <row r="816" spans="1:17" x14ac:dyDescent="0.3">
      <c r="A816" s="2" t="s">
        <v>2102</v>
      </c>
      <c r="B816" s="3">
        <v>45462</v>
      </c>
      <c r="C816" s="3">
        <v>45465</v>
      </c>
      <c r="D816" s="2" t="s">
        <v>18</v>
      </c>
      <c r="E816" s="2" t="s">
        <v>745</v>
      </c>
      <c r="F816" s="4" t="s">
        <v>746</v>
      </c>
      <c r="G816" s="4" t="s">
        <v>51</v>
      </c>
      <c r="H816" s="4" t="s">
        <v>465</v>
      </c>
      <c r="I816" s="4" t="s">
        <v>423</v>
      </c>
      <c r="J816" s="4" t="s">
        <v>88</v>
      </c>
      <c r="K816" s="4" t="s">
        <v>25</v>
      </c>
      <c r="L816" s="4" t="s">
        <v>124</v>
      </c>
      <c r="M816" s="4" t="s">
        <v>2103</v>
      </c>
      <c r="N816" s="5">
        <v>2103.0700000000002</v>
      </c>
      <c r="O816" s="6">
        <v>9</v>
      </c>
      <c r="P816" s="7">
        <v>0.3</v>
      </c>
      <c r="Q816" s="5">
        <v>-89.26</v>
      </c>
    </row>
    <row r="817" spans="1:17" x14ac:dyDescent="0.3">
      <c r="A817" s="8" t="s">
        <v>2104</v>
      </c>
      <c r="B817" s="9">
        <v>45454</v>
      </c>
      <c r="C817" s="9">
        <v>45459</v>
      </c>
      <c r="D817" s="8" t="s">
        <v>73</v>
      </c>
      <c r="E817" s="8" t="s">
        <v>132</v>
      </c>
      <c r="F817" s="10" t="s">
        <v>133</v>
      </c>
      <c r="G817" s="10" t="s">
        <v>21</v>
      </c>
      <c r="H817" s="10" t="s">
        <v>134</v>
      </c>
      <c r="I817" s="10" t="s">
        <v>87</v>
      </c>
      <c r="J817" s="10" t="s">
        <v>88</v>
      </c>
      <c r="K817" s="10" t="s">
        <v>25</v>
      </c>
      <c r="L817" s="10" t="s">
        <v>68</v>
      </c>
      <c r="M817" s="10" t="s">
        <v>2105</v>
      </c>
      <c r="N817" s="11">
        <v>768.51</v>
      </c>
      <c r="O817" s="12">
        <v>9</v>
      </c>
      <c r="P817" s="13">
        <v>0</v>
      </c>
      <c r="Q817" s="11">
        <v>287.39999999999998</v>
      </c>
    </row>
    <row r="818" spans="1:17" x14ac:dyDescent="0.3">
      <c r="A818" s="2" t="s">
        <v>2106</v>
      </c>
      <c r="B818" s="3">
        <v>44758</v>
      </c>
      <c r="C818" s="3">
        <v>44763</v>
      </c>
      <c r="D818" s="2" t="s">
        <v>29</v>
      </c>
      <c r="E818" s="2" t="s">
        <v>1309</v>
      </c>
      <c r="F818" s="4" t="s">
        <v>1310</v>
      </c>
      <c r="G818" s="4" t="s">
        <v>51</v>
      </c>
      <c r="H818" s="4" t="s">
        <v>98</v>
      </c>
      <c r="I818" s="4" t="s">
        <v>80</v>
      </c>
      <c r="J818" s="4" t="s">
        <v>54</v>
      </c>
      <c r="K818" s="4" t="s">
        <v>25</v>
      </c>
      <c r="L818" s="4" t="s">
        <v>124</v>
      </c>
      <c r="M818" s="4" t="s">
        <v>2107</v>
      </c>
      <c r="N818" s="5">
        <v>709.14</v>
      </c>
      <c r="O818" s="6">
        <v>1</v>
      </c>
      <c r="P818" s="7">
        <v>0.1</v>
      </c>
      <c r="Q818" s="5">
        <v>80.42</v>
      </c>
    </row>
    <row r="819" spans="1:17" x14ac:dyDescent="0.3">
      <c r="A819" s="8" t="s">
        <v>2108</v>
      </c>
      <c r="B819" s="9">
        <v>44790</v>
      </c>
      <c r="C819" s="9">
        <v>44793</v>
      </c>
      <c r="D819" s="8" t="s">
        <v>39</v>
      </c>
      <c r="E819" s="8" t="s">
        <v>102</v>
      </c>
      <c r="F819" s="10" t="s">
        <v>103</v>
      </c>
      <c r="G819" s="10" t="s">
        <v>42</v>
      </c>
      <c r="H819" s="10" t="s">
        <v>104</v>
      </c>
      <c r="I819" s="10" t="s">
        <v>105</v>
      </c>
      <c r="J819" s="10" t="s">
        <v>88</v>
      </c>
      <c r="K819" s="10" t="s">
        <v>45</v>
      </c>
      <c r="L819" s="10" t="s">
        <v>46</v>
      </c>
      <c r="M819" s="10" t="s">
        <v>2109</v>
      </c>
      <c r="N819" s="11">
        <v>3078.42</v>
      </c>
      <c r="O819" s="12">
        <v>6</v>
      </c>
      <c r="P819" s="13">
        <v>0</v>
      </c>
      <c r="Q819" s="11">
        <v>1213.3800000000001</v>
      </c>
    </row>
    <row r="820" spans="1:17" x14ac:dyDescent="0.3">
      <c r="A820" s="2" t="s">
        <v>2110</v>
      </c>
      <c r="B820" s="3">
        <v>45375</v>
      </c>
      <c r="C820" s="3">
        <v>45381</v>
      </c>
      <c r="D820" s="2" t="s">
        <v>29</v>
      </c>
      <c r="E820" s="2" t="s">
        <v>707</v>
      </c>
      <c r="F820" s="4" t="s">
        <v>708</v>
      </c>
      <c r="G820" s="4" t="s">
        <v>51</v>
      </c>
      <c r="H820" s="4" t="s">
        <v>386</v>
      </c>
      <c r="I820" s="4" t="s">
        <v>347</v>
      </c>
      <c r="J820" s="4" t="s">
        <v>88</v>
      </c>
      <c r="K820" s="4" t="s">
        <v>35</v>
      </c>
      <c r="L820" s="4" t="s">
        <v>229</v>
      </c>
      <c r="M820" s="4" t="s">
        <v>2111</v>
      </c>
      <c r="N820" s="5">
        <v>103.44</v>
      </c>
      <c r="O820" s="6">
        <v>8</v>
      </c>
      <c r="P820" s="7">
        <v>0</v>
      </c>
      <c r="Q820" s="5">
        <v>51.75</v>
      </c>
    </row>
    <row r="821" spans="1:17" x14ac:dyDescent="0.3">
      <c r="A821" s="8" t="s">
        <v>2112</v>
      </c>
      <c r="B821" s="9">
        <v>44475</v>
      </c>
      <c r="C821" s="9">
        <v>44480</v>
      </c>
      <c r="D821" s="8" t="s">
        <v>29</v>
      </c>
      <c r="E821" s="8" t="s">
        <v>277</v>
      </c>
      <c r="F821" s="10" t="s">
        <v>278</v>
      </c>
      <c r="G821" s="10" t="s">
        <v>21</v>
      </c>
      <c r="H821" s="10" t="s">
        <v>104</v>
      </c>
      <c r="I821" s="10" t="s">
        <v>105</v>
      </c>
      <c r="J821" s="10" t="s">
        <v>88</v>
      </c>
      <c r="K821" s="10" t="s">
        <v>25</v>
      </c>
      <c r="L821" s="10" t="s">
        <v>68</v>
      </c>
      <c r="M821" s="10" t="s">
        <v>2113</v>
      </c>
      <c r="N821" s="11">
        <v>239.1</v>
      </c>
      <c r="O821" s="12">
        <v>8</v>
      </c>
      <c r="P821" s="13">
        <v>0.2</v>
      </c>
      <c r="Q821" s="11"/>
    </row>
    <row r="822" spans="1:17" x14ac:dyDescent="0.3">
      <c r="A822" s="2" t="s">
        <v>2114</v>
      </c>
      <c r="B822" s="3">
        <v>45518</v>
      </c>
      <c r="C822" s="3">
        <v>45522</v>
      </c>
      <c r="D822" s="2" t="s">
        <v>73</v>
      </c>
      <c r="E822" s="2" t="s">
        <v>905</v>
      </c>
      <c r="F822" s="4" t="s">
        <v>906</v>
      </c>
      <c r="G822" s="4" t="s">
        <v>51</v>
      </c>
      <c r="H822" s="4" t="s">
        <v>352</v>
      </c>
      <c r="I822" s="4" t="s">
        <v>306</v>
      </c>
      <c r="J822" s="4" t="s">
        <v>34</v>
      </c>
      <c r="K822" s="4" t="s">
        <v>35</v>
      </c>
      <c r="L822" s="4" t="s">
        <v>36</v>
      </c>
      <c r="M822" s="4" t="s">
        <v>2115</v>
      </c>
      <c r="N822" s="5">
        <v>1396.32</v>
      </c>
      <c r="O822" s="6">
        <v>6</v>
      </c>
      <c r="P822" s="7">
        <v>0</v>
      </c>
      <c r="Q822" s="5">
        <v>542.34</v>
      </c>
    </row>
    <row r="823" spans="1:17" x14ac:dyDescent="0.3">
      <c r="A823" s="8" t="s">
        <v>2116</v>
      </c>
      <c r="B823" s="9">
        <v>45381</v>
      </c>
      <c r="C823" s="9">
        <v>45386</v>
      </c>
      <c r="D823" s="8" t="s">
        <v>29</v>
      </c>
      <c r="E823" s="8" t="s">
        <v>580</v>
      </c>
      <c r="F823" s="10" t="s">
        <v>581</v>
      </c>
      <c r="G823" s="10" t="s">
        <v>51</v>
      </c>
      <c r="H823" s="10" t="s">
        <v>156</v>
      </c>
      <c r="I823" s="10" t="s">
        <v>157</v>
      </c>
      <c r="J823" s="10" t="s">
        <v>88</v>
      </c>
      <c r="K823" s="10" t="s">
        <v>25</v>
      </c>
      <c r="L823" s="10" t="s">
        <v>68</v>
      </c>
      <c r="M823" s="10" t="s">
        <v>2117</v>
      </c>
      <c r="N823" s="11">
        <v>415.32</v>
      </c>
      <c r="O823" s="12">
        <v>3</v>
      </c>
      <c r="P823" s="13">
        <v>0.3</v>
      </c>
      <c r="Q823" s="11">
        <v>46.15</v>
      </c>
    </row>
    <row r="824" spans="1:17" x14ac:dyDescent="0.3">
      <c r="A824" s="2" t="s">
        <v>2118</v>
      </c>
      <c r="B824" s="3">
        <v>45233</v>
      </c>
      <c r="C824" s="3">
        <v>45239</v>
      </c>
      <c r="D824" s="2" t="s">
        <v>29</v>
      </c>
      <c r="E824" s="2" t="s">
        <v>333</v>
      </c>
      <c r="F824" s="4" t="s">
        <v>334</v>
      </c>
      <c r="G824" s="4" t="s">
        <v>21</v>
      </c>
      <c r="H824" s="4" t="s">
        <v>335</v>
      </c>
      <c r="I824" s="4" t="s">
        <v>251</v>
      </c>
      <c r="J824" s="4" t="s">
        <v>88</v>
      </c>
      <c r="K824" s="4" t="s">
        <v>25</v>
      </c>
      <c r="L824" s="4" t="s">
        <v>74</v>
      </c>
      <c r="M824" s="4" t="s">
        <v>1124</v>
      </c>
      <c r="N824" s="5">
        <v>1410.22</v>
      </c>
      <c r="O824" s="6">
        <v>2</v>
      </c>
      <c r="P824" s="7">
        <v>0</v>
      </c>
      <c r="Q824" s="5">
        <v>491.1</v>
      </c>
    </row>
    <row r="825" spans="1:17" x14ac:dyDescent="0.3">
      <c r="A825" s="8" t="s">
        <v>2119</v>
      </c>
      <c r="B825" s="9">
        <v>44231</v>
      </c>
      <c r="C825" s="9">
        <v>44234</v>
      </c>
      <c r="D825" s="8" t="s">
        <v>18</v>
      </c>
      <c r="E825" s="8" t="s">
        <v>817</v>
      </c>
      <c r="F825" s="10" t="s">
        <v>818</v>
      </c>
      <c r="G825" s="10" t="s">
        <v>42</v>
      </c>
      <c r="H825" s="10" t="s">
        <v>98</v>
      </c>
      <c r="I825" s="10" t="s">
        <v>80</v>
      </c>
      <c r="J825" s="10" t="s">
        <v>54</v>
      </c>
      <c r="K825" s="10" t="s">
        <v>45</v>
      </c>
      <c r="L825" s="10" t="s">
        <v>99</v>
      </c>
      <c r="M825" s="10" t="s">
        <v>564</v>
      </c>
      <c r="N825" s="11">
        <v>559.67999999999995</v>
      </c>
      <c r="O825" s="12">
        <v>8</v>
      </c>
      <c r="P825" s="13">
        <v>0.2</v>
      </c>
      <c r="Q825" s="11">
        <v>91.45</v>
      </c>
    </row>
    <row r="826" spans="1:17" x14ac:dyDescent="0.3">
      <c r="A826" s="2" t="s">
        <v>2120</v>
      </c>
      <c r="B826" s="3">
        <v>44731</v>
      </c>
      <c r="C826" s="3">
        <v>44736</v>
      </c>
      <c r="D826" s="2" t="s">
        <v>29</v>
      </c>
      <c r="E826" s="2" t="s">
        <v>191</v>
      </c>
      <c r="F826" s="4" t="s">
        <v>192</v>
      </c>
      <c r="G826" s="4" t="s">
        <v>21</v>
      </c>
      <c r="H826" s="4" t="s">
        <v>193</v>
      </c>
      <c r="I826" s="4" t="s">
        <v>194</v>
      </c>
      <c r="J826" s="4" t="s">
        <v>34</v>
      </c>
      <c r="K826" s="4" t="s">
        <v>35</v>
      </c>
      <c r="L826" s="4" t="s">
        <v>216</v>
      </c>
      <c r="M826" s="4" t="s">
        <v>2121</v>
      </c>
      <c r="N826" s="5">
        <v>43.7</v>
      </c>
      <c r="O826" s="6">
        <v>1</v>
      </c>
      <c r="P826" s="7">
        <v>0.1</v>
      </c>
      <c r="Q826" s="5">
        <v>20.73</v>
      </c>
    </row>
    <row r="827" spans="1:17" x14ac:dyDescent="0.3">
      <c r="A827" s="8" t="s">
        <v>2122</v>
      </c>
      <c r="B827" s="9">
        <v>44266</v>
      </c>
      <c r="C827" s="9">
        <v>44270</v>
      </c>
      <c r="D827" s="8" t="s">
        <v>39</v>
      </c>
      <c r="E827" s="8" t="s">
        <v>360</v>
      </c>
      <c r="F827" s="10" t="s">
        <v>361</v>
      </c>
      <c r="G827" s="10" t="s">
        <v>42</v>
      </c>
      <c r="H827" s="10" t="s">
        <v>346</v>
      </c>
      <c r="I827" s="10" t="s">
        <v>347</v>
      </c>
      <c r="J827" s="10" t="s">
        <v>88</v>
      </c>
      <c r="K827" s="10" t="s">
        <v>45</v>
      </c>
      <c r="L827" s="10" t="s">
        <v>99</v>
      </c>
      <c r="M827" s="10" t="s">
        <v>2123</v>
      </c>
      <c r="N827" s="11">
        <v>113.47</v>
      </c>
      <c r="O827" s="12">
        <v>2</v>
      </c>
      <c r="P827" s="13">
        <v>0.3</v>
      </c>
      <c r="Q827" s="11">
        <v>11.87</v>
      </c>
    </row>
    <row r="828" spans="1:17" x14ac:dyDescent="0.3">
      <c r="A828" s="2" t="s">
        <v>2124</v>
      </c>
      <c r="B828" s="3">
        <v>45615</v>
      </c>
      <c r="C828" s="3">
        <v>45620</v>
      </c>
      <c r="D828" s="2" t="s">
        <v>73</v>
      </c>
      <c r="E828" s="2" t="s">
        <v>457</v>
      </c>
      <c r="F828" s="4" t="s">
        <v>458</v>
      </c>
      <c r="G828" s="4" t="s">
        <v>51</v>
      </c>
      <c r="H828" s="4" t="s">
        <v>459</v>
      </c>
      <c r="I828" s="4" t="s">
        <v>460</v>
      </c>
      <c r="J828" s="4" t="s">
        <v>54</v>
      </c>
      <c r="K828" s="4" t="s">
        <v>25</v>
      </c>
      <c r="L828" s="4" t="s">
        <v>124</v>
      </c>
      <c r="M828" s="4" t="s">
        <v>2125</v>
      </c>
      <c r="N828" s="5">
        <v>7529.43</v>
      </c>
      <c r="O828" s="6">
        <v>3</v>
      </c>
      <c r="P828" s="7">
        <v>0</v>
      </c>
      <c r="Q828" s="5">
        <v>2266.85</v>
      </c>
    </row>
    <row r="829" spans="1:17" x14ac:dyDescent="0.3">
      <c r="A829" s="8" t="s">
        <v>2126</v>
      </c>
      <c r="B829" s="9">
        <v>45433</v>
      </c>
      <c r="C829" s="9">
        <v>45438</v>
      </c>
      <c r="D829" s="8" t="s">
        <v>73</v>
      </c>
      <c r="E829" s="8" t="s">
        <v>614</v>
      </c>
      <c r="F829" s="10" t="s">
        <v>615</v>
      </c>
      <c r="G829" s="10" t="s">
        <v>21</v>
      </c>
      <c r="H829" s="10" t="s">
        <v>139</v>
      </c>
      <c r="I829" s="10" t="s">
        <v>140</v>
      </c>
      <c r="J829" s="10" t="s">
        <v>24</v>
      </c>
      <c r="K829" s="10" t="s">
        <v>35</v>
      </c>
      <c r="L829" s="10" t="s">
        <v>89</v>
      </c>
      <c r="M829" s="10" t="s">
        <v>2127</v>
      </c>
      <c r="N829" s="11">
        <v>764.88</v>
      </c>
      <c r="O829" s="12">
        <v>6</v>
      </c>
      <c r="P829" s="13">
        <v>0.05</v>
      </c>
      <c r="Q829" s="11">
        <v>191.76</v>
      </c>
    </row>
    <row r="830" spans="1:17" x14ac:dyDescent="0.3">
      <c r="A830" s="2" t="s">
        <v>2128</v>
      </c>
      <c r="B830" s="3">
        <v>44861</v>
      </c>
      <c r="C830" s="3">
        <v>44866</v>
      </c>
      <c r="D830" s="2" t="s">
        <v>29</v>
      </c>
      <c r="E830" s="2" t="s">
        <v>2013</v>
      </c>
      <c r="F830" s="4" t="s">
        <v>2014</v>
      </c>
      <c r="G830" s="4" t="s">
        <v>42</v>
      </c>
      <c r="H830" s="4" t="s">
        <v>177</v>
      </c>
      <c r="I830" s="4" t="s">
        <v>178</v>
      </c>
      <c r="J830" s="4" t="s">
        <v>24</v>
      </c>
      <c r="K830" s="4" t="s">
        <v>35</v>
      </c>
      <c r="L830" s="4" t="s">
        <v>295</v>
      </c>
      <c r="M830" s="4" t="s">
        <v>2129</v>
      </c>
      <c r="N830" s="5">
        <v>99.5</v>
      </c>
      <c r="O830" s="6">
        <v>3</v>
      </c>
      <c r="P830" s="7">
        <v>0.15</v>
      </c>
      <c r="Q830" s="5">
        <v>44.5</v>
      </c>
    </row>
    <row r="831" spans="1:17" x14ac:dyDescent="0.3">
      <c r="A831" s="8" t="s">
        <v>2130</v>
      </c>
      <c r="B831" s="9">
        <v>44312</v>
      </c>
      <c r="C831" s="9">
        <v>44317</v>
      </c>
      <c r="D831" s="8" t="s">
        <v>73</v>
      </c>
      <c r="E831" s="8" t="s">
        <v>707</v>
      </c>
      <c r="F831" s="10" t="s">
        <v>708</v>
      </c>
      <c r="G831" s="10" t="s">
        <v>51</v>
      </c>
      <c r="H831" s="10" t="s">
        <v>386</v>
      </c>
      <c r="I831" s="10" t="s">
        <v>347</v>
      </c>
      <c r="J831" s="10" t="s">
        <v>88</v>
      </c>
      <c r="K831" s="10" t="s">
        <v>45</v>
      </c>
      <c r="L831" s="10" t="s">
        <v>61</v>
      </c>
      <c r="M831" s="10" t="s">
        <v>2131</v>
      </c>
      <c r="N831" s="11">
        <v>1120.77</v>
      </c>
      <c r="O831" s="12">
        <v>-3</v>
      </c>
      <c r="P831" s="13">
        <v>0.3</v>
      </c>
      <c r="Q831" s="11">
        <v>-201.86</v>
      </c>
    </row>
    <row r="832" spans="1:17" x14ac:dyDescent="0.3">
      <c r="A832" s="2" t="s">
        <v>2132</v>
      </c>
      <c r="B832" s="3">
        <v>45654</v>
      </c>
      <c r="C832" s="3">
        <v>45655</v>
      </c>
      <c r="D832" s="2" t="s">
        <v>18</v>
      </c>
      <c r="E832" s="2" t="s">
        <v>350</v>
      </c>
      <c r="F832" s="4" t="s">
        <v>351</v>
      </c>
      <c r="G832" s="4" t="s">
        <v>42</v>
      </c>
      <c r="H832" s="4" t="s">
        <v>352</v>
      </c>
      <c r="I832" s="4" t="s">
        <v>306</v>
      </c>
      <c r="J832" s="4" t="s">
        <v>34</v>
      </c>
      <c r="K832" s="4" t="s">
        <v>45</v>
      </c>
      <c r="L832" s="4" t="s">
        <v>99</v>
      </c>
      <c r="M832" s="4" t="s">
        <v>2133</v>
      </c>
      <c r="N832" s="5">
        <v>166.91</v>
      </c>
      <c r="O832" s="6">
        <v>-6</v>
      </c>
      <c r="P832" s="7">
        <v>0.1</v>
      </c>
      <c r="Q832" s="5">
        <v>27.65</v>
      </c>
    </row>
    <row r="833" spans="1:17" x14ac:dyDescent="0.3">
      <c r="A833" s="8" t="s">
        <v>2134</v>
      </c>
      <c r="B833" s="9">
        <v>45582</v>
      </c>
      <c r="C833" s="9">
        <v>45587</v>
      </c>
      <c r="D833" s="8" t="s">
        <v>29</v>
      </c>
      <c r="E833" s="8" t="s">
        <v>472</v>
      </c>
      <c r="F833" s="10" t="s">
        <v>473</v>
      </c>
      <c r="G833" s="10" t="s">
        <v>51</v>
      </c>
      <c r="H833" s="10" t="s">
        <v>32</v>
      </c>
      <c r="I833" s="10" t="s">
        <v>33</v>
      </c>
      <c r="J833" s="10" t="s">
        <v>34</v>
      </c>
      <c r="K833" s="10" t="s">
        <v>45</v>
      </c>
      <c r="L833" s="10" t="s">
        <v>61</v>
      </c>
      <c r="M833" s="10" t="s">
        <v>2135</v>
      </c>
      <c r="N833" s="11">
        <v>3124.63</v>
      </c>
      <c r="O833" s="12">
        <v>7</v>
      </c>
      <c r="P833" s="13">
        <v>0.3</v>
      </c>
      <c r="Q833" s="11">
        <v>-908.94</v>
      </c>
    </row>
    <row r="834" spans="1:17" x14ac:dyDescent="0.3">
      <c r="A834" s="2" t="s">
        <v>2136</v>
      </c>
      <c r="B834" s="3">
        <v>45515</v>
      </c>
      <c r="C834" s="3">
        <v>45517</v>
      </c>
      <c r="D834" s="2" t="s">
        <v>18</v>
      </c>
      <c r="E834" s="2" t="s">
        <v>395</v>
      </c>
      <c r="F834" s="4" t="s">
        <v>396</v>
      </c>
      <c r="G834" s="4" t="s">
        <v>21</v>
      </c>
      <c r="H834" s="4" t="s">
        <v>397</v>
      </c>
      <c r="I834" s="4" t="s">
        <v>33</v>
      </c>
      <c r="J834" s="4" t="s">
        <v>34</v>
      </c>
      <c r="K834" s="4" t="s">
        <v>45</v>
      </c>
      <c r="L834" s="4" t="s">
        <v>61</v>
      </c>
      <c r="M834" s="4" t="s">
        <v>2137</v>
      </c>
      <c r="N834" s="5">
        <v>1700.4</v>
      </c>
      <c r="O834" s="6">
        <v>5</v>
      </c>
      <c r="P834" s="7">
        <v>0.5</v>
      </c>
      <c r="Q834" s="5">
        <v>-1411.28</v>
      </c>
    </row>
    <row r="835" spans="1:17" x14ac:dyDescent="0.3">
      <c r="A835" s="8" t="s">
        <v>2138</v>
      </c>
      <c r="B835" s="9">
        <v>45521</v>
      </c>
      <c r="C835" s="9">
        <v>45525</v>
      </c>
      <c r="D835" s="8" t="s">
        <v>73</v>
      </c>
      <c r="E835" s="8" t="s">
        <v>57</v>
      </c>
      <c r="F835" s="10" t="s">
        <v>58</v>
      </c>
      <c r="G835" s="10" t="s">
        <v>42</v>
      </c>
      <c r="H835" s="10" t="s">
        <v>59</v>
      </c>
      <c r="I835" s="10" t="s">
        <v>60</v>
      </c>
      <c r="J835" s="10" t="s">
        <v>54</v>
      </c>
      <c r="K835" s="10" t="s">
        <v>35</v>
      </c>
      <c r="L835" s="10" t="s">
        <v>166</v>
      </c>
      <c r="M835" s="10" t="s">
        <v>1116</v>
      </c>
      <c r="N835" s="11">
        <v>320.04000000000002</v>
      </c>
      <c r="O835" s="12">
        <v>9</v>
      </c>
      <c r="P835" s="13">
        <v>0.3</v>
      </c>
      <c r="Q835" s="11">
        <v>18.05</v>
      </c>
    </row>
    <row r="836" spans="1:17" x14ac:dyDescent="0.3">
      <c r="A836" s="2" t="s">
        <v>2139</v>
      </c>
      <c r="B836" s="3">
        <v>44802</v>
      </c>
      <c r="C836" s="3">
        <v>44809</v>
      </c>
      <c r="D836" s="2" t="s">
        <v>29</v>
      </c>
      <c r="E836" s="2" t="s">
        <v>1158</v>
      </c>
      <c r="F836" s="4" t="s">
        <v>1159</v>
      </c>
      <c r="G836" s="4" t="s">
        <v>42</v>
      </c>
      <c r="H836" s="4" t="s">
        <v>346</v>
      </c>
      <c r="I836" s="4" t="s">
        <v>347</v>
      </c>
      <c r="J836" s="4" t="s">
        <v>88</v>
      </c>
      <c r="K836" s="4" t="s">
        <v>45</v>
      </c>
      <c r="L836" s="4" t="s">
        <v>117</v>
      </c>
      <c r="M836" s="4" t="s">
        <v>1009</v>
      </c>
      <c r="N836" s="5">
        <v>2025.26</v>
      </c>
      <c r="O836" s="6">
        <v>5</v>
      </c>
      <c r="P836" s="7">
        <v>0.05</v>
      </c>
      <c r="Q836" s="5">
        <v>482.45</v>
      </c>
    </row>
    <row r="837" spans="1:17" x14ac:dyDescent="0.3">
      <c r="A837" s="8" t="s">
        <v>2140</v>
      </c>
      <c r="B837" s="9">
        <v>44774</v>
      </c>
      <c r="C837" s="9">
        <v>44777</v>
      </c>
      <c r="D837" s="8" t="s">
        <v>18</v>
      </c>
      <c r="E837" s="8" t="s">
        <v>1521</v>
      </c>
      <c r="F837" s="10" t="s">
        <v>1522</v>
      </c>
      <c r="G837" s="10" t="s">
        <v>51</v>
      </c>
      <c r="H837" s="10" t="s">
        <v>305</v>
      </c>
      <c r="I837" s="10" t="s">
        <v>306</v>
      </c>
      <c r="J837" s="10" t="s">
        <v>34</v>
      </c>
      <c r="K837" s="10" t="s">
        <v>35</v>
      </c>
      <c r="L837" s="10" t="s">
        <v>81</v>
      </c>
      <c r="M837" s="10" t="s">
        <v>2141</v>
      </c>
      <c r="N837" s="11">
        <v>86.1</v>
      </c>
      <c r="O837" s="12">
        <v>10</v>
      </c>
      <c r="P837" s="13">
        <v>0.3</v>
      </c>
      <c r="Q837" s="11">
        <v>25.35</v>
      </c>
    </row>
    <row r="838" spans="1:17" x14ac:dyDescent="0.3">
      <c r="A838" s="2" t="s">
        <v>2142</v>
      </c>
      <c r="B838" s="3">
        <v>44478</v>
      </c>
      <c r="C838" s="3">
        <v>44483</v>
      </c>
      <c r="D838" s="2" t="s">
        <v>29</v>
      </c>
      <c r="E838" s="2" t="s">
        <v>1219</v>
      </c>
      <c r="F838" s="4" t="s">
        <v>1220</v>
      </c>
      <c r="G838" s="4" t="s">
        <v>21</v>
      </c>
      <c r="H838" s="4" t="s">
        <v>438</v>
      </c>
      <c r="I838" s="4" t="s">
        <v>157</v>
      </c>
      <c r="J838" s="4" t="s">
        <v>88</v>
      </c>
      <c r="K838" s="4" t="s">
        <v>25</v>
      </c>
      <c r="L838" s="4" t="s">
        <v>68</v>
      </c>
      <c r="M838" s="4" t="s">
        <v>1419</v>
      </c>
      <c r="N838" s="5">
        <v>206.31</v>
      </c>
      <c r="O838" s="6">
        <v>3</v>
      </c>
      <c r="P838" s="7">
        <v>0</v>
      </c>
      <c r="Q838" s="5">
        <v>98.61</v>
      </c>
    </row>
    <row r="839" spans="1:17" x14ac:dyDescent="0.3">
      <c r="A839" s="8" t="s">
        <v>2143</v>
      </c>
      <c r="B839" s="9">
        <v>45643</v>
      </c>
      <c r="C839" s="9">
        <v>45646</v>
      </c>
      <c r="D839" s="8" t="s">
        <v>18</v>
      </c>
      <c r="E839" s="8" t="s">
        <v>697</v>
      </c>
      <c r="F839" s="10" t="s">
        <v>698</v>
      </c>
      <c r="G839" s="10" t="s">
        <v>21</v>
      </c>
      <c r="H839" s="10" t="s">
        <v>319</v>
      </c>
      <c r="I839" s="10" t="s">
        <v>194</v>
      </c>
      <c r="J839" s="10" t="s">
        <v>34</v>
      </c>
      <c r="K839" s="10" t="s">
        <v>35</v>
      </c>
      <c r="L839" s="10" t="s">
        <v>229</v>
      </c>
      <c r="M839" s="10" t="s">
        <v>2144</v>
      </c>
      <c r="N839" s="11">
        <v>18.989999999999998</v>
      </c>
      <c r="O839" s="12">
        <v>2</v>
      </c>
      <c r="P839" s="13">
        <v>0.1</v>
      </c>
      <c r="Q839" s="11">
        <v>6.34</v>
      </c>
    </row>
    <row r="840" spans="1:17" x14ac:dyDescent="0.3">
      <c r="A840" s="2" t="s">
        <v>2145</v>
      </c>
      <c r="B840" s="3">
        <v>44452</v>
      </c>
      <c r="C840" s="3">
        <v>44455</v>
      </c>
      <c r="D840" s="2" t="s">
        <v>18</v>
      </c>
      <c r="E840" s="2" t="s">
        <v>453</v>
      </c>
      <c r="F840" s="4" t="s">
        <v>454</v>
      </c>
      <c r="G840" s="4" t="s">
        <v>21</v>
      </c>
      <c r="H840" s="4" t="s">
        <v>386</v>
      </c>
      <c r="I840" s="4" t="s">
        <v>347</v>
      </c>
      <c r="J840" s="4" t="s">
        <v>88</v>
      </c>
      <c r="K840" s="4" t="s">
        <v>35</v>
      </c>
      <c r="L840" s="4" t="s">
        <v>36</v>
      </c>
      <c r="M840" s="4" t="s">
        <v>2146</v>
      </c>
      <c r="N840" s="5">
        <v>289.29000000000002</v>
      </c>
      <c r="O840" s="6">
        <v>5</v>
      </c>
      <c r="P840" s="7">
        <v>0.4</v>
      </c>
      <c r="Q840" s="5">
        <v>-14.97</v>
      </c>
    </row>
    <row r="841" spans="1:17" x14ac:dyDescent="0.3">
      <c r="A841" s="8" t="s">
        <v>2147</v>
      </c>
      <c r="B841" s="9">
        <v>44810</v>
      </c>
      <c r="C841" s="9">
        <v>44813</v>
      </c>
      <c r="D841" s="8" t="s">
        <v>39</v>
      </c>
      <c r="E841" s="8" t="s">
        <v>864</v>
      </c>
      <c r="F841" s="10" t="s">
        <v>865</v>
      </c>
      <c r="G841" s="10" t="s">
        <v>21</v>
      </c>
      <c r="H841" s="10" t="s">
        <v>177</v>
      </c>
      <c r="I841" s="10" t="s">
        <v>178</v>
      </c>
      <c r="J841" s="10" t="s">
        <v>24</v>
      </c>
      <c r="K841" s="10" t="s">
        <v>25</v>
      </c>
      <c r="L841" s="10" t="s">
        <v>124</v>
      </c>
      <c r="M841" s="10" t="s">
        <v>1952</v>
      </c>
      <c r="N841" s="11">
        <v>11804.56</v>
      </c>
      <c r="O841" s="12">
        <v>9</v>
      </c>
      <c r="P841" s="13">
        <v>0.15</v>
      </c>
      <c r="Q841" s="11">
        <v>2129.54</v>
      </c>
    </row>
    <row r="842" spans="1:17" x14ac:dyDescent="0.3">
      <c r="A842" s="2" t="s">
        <v>2148</v>
      </c>
      <c r="B842" s="3">
        <v>45001</v>
      </c>
      <c r="C842" s="3">
        <v>45002</v>
      </c>
      <c r="D842" s="2" t="s">
        <v>18</v>
      </c>
      <c r="E842" s="2" t="s">
        <v>678</v>
      </c>
      <c r="F842" s="4" t="s">
        <v>679</v>
      </c>
      <c r="G842" s="4" t="s">
        <v>51</v>
      </c>
      <c r="H842" s="4" t="s">
        <v>122</v>
      </c>
      <c r="I842" s="4" t="s">
        <v>123</v>
      </c>
      <c r="J842" s="4" t="s">
        <v>24</v>
      </c>
      <c r="K842" s="4" t="s">
        <v>25</v>
      </c>
      <c r="L842" s="4" t="s">
        <v>26</v>
      </c>
      <c r="M842" s="4" t="s">
        <v>161</v>
      </c>
      <c r="N842" s="5">
        <v>6517.52</v>
      </c>
      <c r="O842" s="6">
        <v>5</v>
      </c>
      <c r="P842" s="7">
        <v>0.05</v>
      </c>
      <c r="Q842" s="5">
        <v>1472.64</v>
      </c>
    </row>
    <row r="843" spans="1:17" x14ac:dyDescent="0.3">
      <c r="A843" s="8" t="s">
        <v>2149</v>
      </c>
      <c r="B843" s="9">
        <v>44789</v>
      </c>
      <c r="C843" s="9">
        <v>44794</v>
      </c>
      <c r="D843" s="8" t="s">
        <v>73</v>
      </c>
      <c r="E843" s="8" t="s">
        <v>566</v>
      </c>
      <c r="F843" s="10" t="s">
        <v>567</v>
      </c>
      <c r="G843" s="10" t="s">
        <v>21</v>
      </c>
      <c r="H843" s="10" t="s">
        <v>156</v>
      </c>
      <c r="I843" s="10" t="s">
        <v>157</v>
      </c>
      <c r="J843" s="10" t="s">
        <v>88</v>
      </c>
      <c r="K843" s="10" t="s">
        <v>35</v>
      </c>
      <c r="L843" s="10" t="s">
        <v>81</v>
      </c>
      <c r="M843" s="10" t="s">
        <v>2150</v>
      </c>
      <c r="N843" s="11">
        <v>17.11</v>
      </c>
      <c r="O843" s="12">
        <v>1</v>
      </c>
      <c r="P843" s="13">
        <v>0</v>
      </c>
      <c r="Q843" s="11">
        <v>8.5399999999999991</v>
      </c>
    </row>
    <row r="844" spans="1:17" x14ac:dyDescent="0.3">
      <c r="A844" s="2" t="s">
        <v>2151</v>
      </c>
      <c r="B844" s="3">
        <v>45418</v>
      </c>
      <c r="C844" s="3">
        <v>45423</v>
      </c>
      <c r="D844" s="2" t="s">
        <v>73</v>
      </c>
      <c r="E844" s="2" t="s">
        <v>561</v>
      </c>
      <c r="F844" s="4" t="s">
        <v>562</v>
      </c>
      <c r="G844" s="4" t="s">
        <v>42</v>
      </c>
      <c r="H844" s="4" t="s">
        <v>563</v>
      </c>
      <c r="I844" s="4" t="s">
        <v>460</v>
      </c>
      <c r="J844" s="4" t="s">
        <v>54</v>
      </c>
      <c r="K844" s="4" t="s">
        <v>35</v>
      </c>
      <c r="L844" s="4" t="s">
        <v>216</v>
      </c>
      <c r="M844" s="4" t="s">
        <v>2152</v>
      </c>
      <c r="N844" s="5">
        <v>24.17</v>
      </c>
      <c r="O844" s="6">
        <v>3</v>
      </c>
      <c r="P844" s="7">
        <v>0.4</v>
      </c>
      <c r="Q844" s="5">
        <v>2.73</v>
      </c>
    </row>
    <row r="845" spans="1:17" x14ac:dyDescent="0.3">
      <c r="A845" s="8" t="s">
        <v>2153</v>
      </c>
      <c r="B845" s="9">
        <v>44365</v>
      </c>
      <c r="C845" s="9">
        <v>44370</v>
      </c>
      <c r="D845" s="8" t="s">
        <v>29</v>
      </c>
      <c r="E845" s="8" t="s">
        <v>1360</v>
      </c>
      <c r="F845" s="10" t="s">
        <v>1361</v>
      </c>
      <c r="G845" s="10" t="s">
        <v>21</v>
      </c>
      <c r="H845" s="10" t="s">
        <v>156</v>
      </c>
      <c r="I845" s="10" t="s">
        <v>157</v>
      </c>
      <c r="J845" s="10" t="s">
        <v>88</v>
      </c>
      <c r="K845" s="10" t="s">
        <v>25</v>
      </c>
      <c r="L845" s="10" t="s">
        <v>74</v>
      </c>
      <c r="M845" s="10" t="s">
        <v>2154</v>
      </c>
      <c r="N845" s="11">
        <v>1922.99</v>
      </c>
      <c r="O845" s="12">
        <v>5</v>
      </c>
      <c r="P845" s="13">
        <v>0.05</v>
      </c>
      <c r="Q845" s="11">
        <v>726.18</v>
      </c>
    </row>
    <row r="846" spans="1:17" x14ac:dyDescent="0.3">
      <c r="A846" s="2" t="s">
        <v>2155</v>
      </c>
      <c r="B846" s="3">
        <v>45584</v>
      </c>
      <c r="C846" s="3">
        <v>45591</v>
      </c>
      <c r="D846" s="2" t="s">
        <v>29</v>
      </c>
      <c r="E846" s="2" t="s">
        <v>258</v>
      </c>
      <c r="F846" s="4" t="s">
        <v>259</v>
      </c>
      <c r="G846" s="4" t="s">
        <v>51</v>
      </c>
      <c r="H846" s="4" t="s">
        <v>260</v>
      </c>
      <c r="I846" s="4" t="s">
        <v>151</v>
      </c>
      <c r="J846" s="4" t="s">
        <v>34</v>
      </c>
      <c r="K846" s="4" t="s">
        <v>45</v>
      </c>
      <c r="L846" s="4" t="s">
        <v>61</v>
      </c>
      <c r="M846" s="4" t="s">
        <v>2156</v>
      </c>
      <c r="N846" s="5">
        <v>1150.6400000000001</v>
      </c>
      <c r="O846" s="6">
        <v>10</v>
      </c>
      <c r="P846" s="7">
        <v>0.2</v>
      </c>
      <c r="Q846" s="5">
        <v>-43.91</v>
      </c>
    </row>
    <row r="847" spans="1:17" x14ac:dyDescent="0.3">
      <c r="A847" s="8" t="s">
        <v>2157</v>
      </c>
      <c r="B847" s="9">
        <v>45256</v>
      </c>
      <c r="C847" s="9">
        <v>45260</v>
      </c>
      <c r="D847" s="8" t="s">
        <v>73</v>
      </c>
      <c r="E847" s="8" t="s">
        <v>258</v>
      </c>
      <c r="F847" s="10" t="s">
        <v>259</v>
      </c>
      <c r="G847" s="10" t="s">
        <v>51</v>
      </c>
      <c r="H847" s="10" t="s">
        <v>260</v>
      </c>
      <c r="I847" s="10" t="s">
        <v>151</v>
      </c>
      <c r="J847" s="10" t="s">
        <v>34</v>
      </c>
      <c r="K847" s="10" t="s">
        <v>25</v>
      </c>
      <c r="L847" s="10" t="s">
        <v>74</v>
      </c>
      <c r="M847" s="10" t="s">
        <v>2158</v>
      </c>
      <c r="N847" s="11">
        <v>1878.14</v>
      </c>
      <c r="O847" s="12">
        <v>3</v>
      </c>
      <c r="P847" s="13">
        <v>0.2</v>
      </c>
      <c r="Q847" s="11">
        <v>270.76</v>
      </c>
    </row>
    <row r="848" spans="1:17" x14ac:dyDescent="0.3">
      <c r="A848" s="2" t="s">
        <v>2159</v>
      </c>
      <c r="B848" s="3">
        <v>45052</v>
      </c>
      <c r="C848" s="3">
        <v>45054</v>
      </c>
      <c r="D848" s="2" t="s">
        <v>39</v>
      </c>
      <c r="E848" s="2" t="s">
        <v>707</v>
      </c>
      <c r="F848" s="4" t="s">
        <v>708</v>
      </c>
      <c r="G848" s="4" t="s">
        <v>51</v>
      </c>
      <c r="H848" s="4" t="s">
        <v>386</v>
      </c>
      <c r="I848" s="4" t="s">
        <v>347</v>
      </c>
      <c r="J848" s="4" t="s">
        <v>88</v>
      </c>
      <c r="K848" s="4" t="s">
        <v>45</v>
      </c>
      <c r="L848" s="4" t="s">
        <v>117</v>
      </c>
      <c r="M848" s="4" t="s">
        <v>2160</v>
      </c>
      <c r="N848" s="5">
        <v>265.14</v>
      </c>
      <c r="O848" s="6">
        <v>9</v>
      </c>
      <c r="P848" s="7">
        <v>0.5</v>
      </c>
      <c r="Q848" s="5">
        <v>-123.38</v>
      </c>
    </row>
    <row r="849" spans="1:17" x14ac:dyDescent="0.3">
      <c r="A849" s="8" t="s">
        <v>2161</v>
      </c>
      <c r="B849" s="9">
        <v>44777</v>
      </c>
      <c r="C849" s="9">
        <v>44782</v>
      </c>
      <c r="D849" s="8" t="s">
        <v>73</v>
      </c>
      <c r="E849" s="8" t="s">
        <v>57</v>
      </c>
      <c r="F849" s="10" t="s">
        <v>58</v>
      </c>
      <c r="G849" s="10" t="s">
        <v>42</v>
      </c>
      <c r="H849" s="10" t="s">
        <v>59</v>
      </c>
      <c r="I849" s="10" t="s">
        <v>60</v>
      </c>
      <c r="J849" s="10" t="s">
        <v>54</v>
      </c>
      <c r="K849" s="10" t="s">
        <v>45</v>
      </c>
      <c r="L849" s="10" t="s">
        <v>99</v>
      </c>
      <c r="M849" s="10" t="s">
        <v>2162</v>
      </c>
      <c r="N849" s="11">
        <v>946.79</v>
      </c>
      <c r="O849" s="12">
        <v>8</v>
      </c>
      <c r="P849" s="13">
        <v>0.3</v>
      </c>
      <c r="Q849" s="11">
        <v>103.35</v>
      </c>
    </row>
    <row r="850" spans="1:17" x14ac:dyDescent="0.3">
      <c r="A850" s="2" t="s">
        <v>1743</v>
      </c>
      <c r="B850" s="3">
        <v>44386</v>
      </c>
      <c r="C850" s="3">
        <v>44388</v>
      </c>
      <c r="D850" s="2" t="s">
        <v>18</v>
      </c>
      <c r="E850" s="2" t="s">
        <v>1089</v>
      </c>
      <c r="F850" s="4" t="s">
        <v>1090</v>
      </c>
      <c r="G850" s="4" t="s">
        <v>51</v>
      </c>
      <c r="H850" s="4" t="s">
        <v>1091</v>
      </c>
      <c r="I850" s="4" t="s">
        <v>23</v>
      </c>
      <c r="J850" s="4" t="s">
        <v>24</v>
      </c>
      <c r="K850" s="4" t="s">
        <v>45</v>
      </c>
      <c r="L850" s="4" t="s">
        <v>99</v>
      </c>
      <c r="M850" s="4" t="s">
        <v>1744</v>
      </c>
      <c r="N850" s="5">
        <v>570.1</v>
      </c>
      <c r="O850" s="6">
        <v>10</v>
      </c>
      <c r="P850" s="7">
        <v>0</v>
      </c>
      <c r="Q850" s="5">
        <v>226.91</v>
      </c>
    </row>
    <row r="851" spans="1:17" x14ac:dyDescent="0.3">
      <c r="A851" s="8" t="s">
        <v>2163</v>
      </c>
      <c r="B851" s="9">
        <v>45494</v>
      </c>
      <c r="C851" s="9">
        <v>45498</v>
      </c>
      <c r="D851" s="8" t="s">
        <v>39</v>
      </c>
      <c r="E851" s="8" t="s">
        <v>666</v>
      </c>
      <c r="F851" s="10" t="s">
        <v>667</v>
      </c>
      <c r="G851" s="10" t="s">
        <v>21</v>
      </c>
      <c r="H851" s="10" t="s">
        <v>372</v>
      </c>
      <c r="I851" s="10" t="s">
        <v>373</v>
      </c>
      <c r="J851" s="10" t="s">
        <v>34</v>
      </c>
      <c r="K851" s="10" t="s">
        <v>35</v>
      </c>
      <c r="L851" s="10" t="s">
        <v>216</v>
      </c>
      <c r="M851" s="10" t="s">
        <v>2164</v>
      </c>
      <c r="N851" s="11">
        <v>34.200000000000003</v>
      </c>
      <c r="O851" s="12">
        <v>4</v>
      </c>
      <c r="P851" s="13">
        <v>0</v>
      </c>
      <c r="Q851" s="11">
        <v>16.260000000000002</v>
      </c>
    </row>
    <row r="852" spans="1:17" x14ac:dyDescent="0.3">
      <c r="A852" s="2" t="s">
        <v>2165</v>
      </c>
      <c r="B852" s="3">
        <v>45571</v>
      </c>
      <c r="C852" s="3">
        <v>45574</v>
      </c>
      <c r="D852" s="2" t="s">
        <v>73</v>
      </c>
      <c r="E852" s="2" t="s">
        <v>495</v>
      </c>
      <c r="F852" s="4" t="s">
        <v>496</v>
      </c>
      <c r="G852" s="4" t="s">
        <v>51</v>
      </c>
      <c r="H852" s="4" t="s">
        <v>497</v>
      </c>
      <c r="I852" s="4" t="s">
        <v>423</v>
      </c>
      <c r="J852" s="4" t="s">
        <v>88</v>
      </c>
      <c r="K852" s="4" t="s">
        <v>45</v>
      </c>
      <c r="L852" s="4" t="s">
        <v>117</v>
      </c>
      <c r="M852" s="4" t="s">
        <v>2166</v>
      </c>
      <c r="N852" s="5">
        <v>3053.68</v>
      </c>
      <c r="O852" s="6">
        <v>8</v>
      </c>
      <c r="P852" s="7">
        <v>0.15</v>
      </c>
      <c r="Q852" s="5">
        <v>549.16</v>
      </c>
    </row>
    <row r="853" spans="1:17" x14ac:dyDescent="0.3">
      <c r="A853" s="8" t="s">
        <v>2167</v>
      </c>
      <c r="B853" s="9">
        <v>44438</v>
      </c>
      <c r="C853" s="9">
        <v>44444</v>
      </c>
      <c r="D853" s="8" t="s">
        <v>29</v>
      </c>
      <c r="E853" s="8" t="s">
        <v>1101</v>
      </c>
      <c r="F853" s="10" t="s">
        <v>1102</v>
      </c>
      <c r="G853" s="10" t="s">
        <v>42</v>
      </c>
      <c r="H853" s="10" t="s">
        <v>1103</v>
      </c>
      <c r="I853" s="10" t="s">
        <v>172</v>
      </c>
      <c r="J853" s="10" t="s">
        <v>24</v>
      </c>
      <c r="K853" s="10" t="s">
        <v>25</v>
      </c>
      <c r="L853" s="10" t="s">
        <v>26</v>
      </c>
      <c r="M853" s="10" t="s">
        <v>2168</v>
      </c>
      <c r="N853" s="11">
        <v>1238.98</v>
      </c>
      <c r="O853" s="12">
        <v>3</v>
      </c>
      <c r="P853" s="13">
        <v>0.1</v>
      </c>
      <c r="Q853" s="11">
        <v>86.36</v>
      </c>
    </row>
    <row r="854" spans="1:17" x14ac:dyDescent="0.3">
      <c r="A854" s="2" t="s">
        <v>2169</v>
      </c>
      <c r="B854" s="3">
        <v>45594</v>
      </c>
      <c r="C854" s="3">
        <v>45600</v>
      </c>
      <c r="D854" s="2" t="s">
        <v>29</v>
      </c>
      <c r="E854" s="2" t="s">
        <v>214</v>
      </c>
      <c r="F854" s="4" t="s">
        <v>215</v>
      </c>
      <c r="G854" s="4" t="s">
        <v>21</v>
      </c>
      <c r="H854" s="4" t="s">
        <v>52</v>
      </c>
      <c r="I854" s="4" t="s">
        <v>53</v>
      </c>
      <c r="J854" s="4" t="s">
        <v>54</v>
      </c>
      <c r="K854" s="4" t="s">
        <v>25</v>
      </c>
      <c r="L854" s="4" t="s">
        <v>124</v>
      </c>
      <c r="M854" s="4" t="s">
        <v>2170</v>
      </c>
      <c r="N854" s="5">
        <v>11229.88</v>
      </c>
      <c r="O854" s="6">
        <v>5</v>
      </c>
      <c r="P854" s="7">
        <v>0.2</v>
      </c>
      <c r="Q854" s="5">
        <v>672.04</v>
      </c>
    </row>
    <row r="855" spans="1:17" x14ac:dyDescent="0.3">
      <c r="A855" s="8" t="s">
        <v>2171</v>
      </c>
      <c r="B855" s="9">
        <v>45454</v>
      </c>
      <c r="C855" s="9">
        <v>45459</v>
      </c>
      <c r="D855" s="8" t="s">
        <v>29</v>
      </c>
      <c r="E855" s="8" t="s">
        <v>240</v>
      </c>
      <c r="F855" s="10" t="s">
        <v>241</v>
      </c>
      <c r="G855" s="10" t="s">
        <v>42</v>
      </c>
      <c r="H855" s="10" t="s">
        <v>115</v>
      </c>
      <c r="I855" s="10" t="s">
        <v>116</v>
      </c>
      <c r="J855" s="10" t="s">
        <v>54</v>
      </c>
      <c r="K855" s="10" t="s">
        <v>45</v>
      </c>
      <c r="L855" s="10" t="s">
        <v>46</v>
      </c>
      <c r="M855" s="10" t="s">
        <v>2172</v>
      </c>
      <c r="N855" s="11">
        <v>838.39</v>
      </c>
      <c r="O855" s="12">
        <v>6</v>
      </c>
      <c r="P855" s="13">
        <v>0.15</v>
      </c>
      <c r="Q855" s="11">
        <v>199.81</v>
      </c>
    </row>
    <row r="856" spans="1:17" x14ac:dyDescent="0.3">
      <c r="A856" s="2" t="s">
        <v>2173</v>
      </c>
      <c r="B856" s="3">
        <v>45128</v>
      </c>
      <c r="C856" s="3">
        <v>45132</v>
      </c>
      <c r="D856" s="2" t="s">
        <v>73</v>
      </c>
      <c r="E856" s="2" t="s">
        <v>420</v>
      </c>
      <c r="F856" s="4" t="s">
        <v>421</v>
      </c>
      <c r="G856" s="4" t="s">
        <v>51</v>
      </c>
      <c r="H856" s="4" t="s">
        <v>422</v>
      </c>
      <c r="I856" s="4" t="s">
        <v>423</v>
      </c>
      <c r="J856" s="4" t="s">
        <v>88</v>
      </c>
      <c r="K856" s="4" t="s">
        <v>35</v>
      </c>
      <c r="L856" s="4" t="s">
        <v>36</v>
      </c>
      <c r="M856" s="4" t="s">
        <v>2174</v>
      </c>
      <c r="N856" s="5">
        <v>643.84</v>
      </c>
      <c r="O856" s="6">
        <v>3</v>
      </c>
      <c r="P856" s="7">
        <v>0.05</v>
      </c>
      <c r="Q856" s="5">
        <v>204.36</v>
      </c>
    </row>
    <row r="857" spans="1:17" x14ac:dyDescent="0.3">
      <c r="A857" s="8" t="s">
        <v>2175</v>
      </c>
      <c r="B857" s="9">
        <v>44857</v>
      </c>
      <c r="C857" s="9">
        <v>44864</v>
      </c>
      <c r="D857" s="8" t="s">
        <v>29</v>
      </c>
      <c r="E857" s="8" t="s">
        <v>463</v>
      </c>
      <c r="F857" s="10" t="s">
        <v>464</v>
      </c>
      <c r="G857" s="10" t="s">
        <v>51</v>
      </c>
      <c r="H857" s="10" t="s">
        <v>465</v>
      </c>
      <c r="I857" s="10" t="s">
        <v>423</v>
      </c>
      <c r="J857" s="10" t="s">
        <v>88</v>
      </c>
      <c r="K857" s="10" t="s">
        <v>35</v>
      </c>
      <c r="L857" s="10" t="s">
        <v>89</v>
      </c>
      <c r="M857" s="10" t="s">
        <v>2176</v>
      </c>
      <c r="N857" s="11">
        <v>651.78</v>
      </c>
      <c r="O857" s="12">
        <v>3</v>
      </c>
      <c r="P857" s="13">
        <v>0</v>
      </c>
      <c r="Q857" s="11">
        <v>264.24</v>
      </c>
    </row>
    <row r="858" spans="1:17" x14ac:dyDescent="0.3">
      <c r="A858" s="2" t="s">
        <v>2177</v>
      </c>
      <c r="B858" s="3">
        <v>44346</v>
      </c>
      <c r="C858" s="3">
        <v>44350</v>
      </c>
      <c r="D858" s="2" t="s">
        <v>39</v>
      </c>
      <c r="E858" s="2" t="s">
        <v>441</v>
      </c>
      <c r="F858" s="4" t="s">
        <v>442</v>
      </c>
      <c r="G858" s="4" t="s">
        <v>21</v>
      </c>
      <c r="H858" s="4" t="s">
        <v>98</v>
      </c>
      <c r="I858" s="4" t="s">
        <v>80</v>
      </c>
      <c r="J858" s="4" t="s">
        <v>54</v>
      </c>
      <c r="K858" s="4" t="s">
        <v>25</v>
      </c>
      <c r="L858" s="4" t="s">
        <v>68</v>
      </c>
      <c r="M858" s="4" t="s">
        <v>2178</v>
      </c>
      <c r="N858" s="5">
        <v>1082.0899999999999</v>
      </c>
      <c r="O858" s="6">
        <v>9</v>
      </c>
      <c r="P858" s="7">
        <v>0.3</v>
      </c>
      <c r="Q858" s="5">
        <v>118.8</v>
      </c>
    </row>
    <row r="859" spans="1:17" x14ac:dyDescent="0.3">
      <c r="A859" s="8" t="s">
        <v>2179</v>
      </c>
      <c r="B859" s="9">
        <v>44605</v>
      </c>
      <c r="C859" s="9">
        <v>44607</v>
      </c>
      <c r="D859" s="8" t="s">
        <v>39</v>
      </c>
      <c r="E859" s="8" t="s">
        <v>1097</v>
      </c>
      <c r="F859" s="10" t="s">
        <v>1098</v>
      </c>
      <c r="G859" s="10" t="s">
        <v>42</v>
      </c>
      <c r="H859" s="10" t="s">
        <v>417</v>
      </c>
      <c r="I859" s="10" t="s">
        <v>123</v>
      </c>
      <c r="J859" s="10" t="s">
        <v>24</v>
      </c>
      <c r="K859" s="10" t="s">
        <v>25</v>
      </c>
      <c r="L859" s="10" t="s">
        <v>74</v>
      </c>
      <c r="M859" s="10" t="s">
        <v>2180</v>
      </c>
      <c r="N859" s="11">
        <v>1658.31</v>
      </c>
      <c r="O859" s="12">
        <v>6</v>
      </c>
      <c r="P859" s="13">
        <v>0.5</v>
      </c>
      <c r="Q859" s="11">
        <v>-206.52</v>
      </c>
    </row>
    <row r="860" spans="1:17" x14ac:dyDescent="0.3">
      <c r="A860" s="2" t="s">
        <v>2181</v>
      </c>
      <c r="B860" s="3">
        <v>45020</v>
      </c>
      <c r="C860" s="3">
        <v>45027</v>
      </c>
      <c r="D860" s="2" t="s">
        <v>29</v>
      </c>
      <c r="E860" s="2" t="s">
        <v>410</v>
      </c>
      <c r="F860" s="4" t="s">
        <v>411</v>
      </c>
      <c r="G860" s="4" t="s">
        <v>42</v>
      </c>
      <c r="H860" s="4" t="s">
        <v>412</v>
      </c>
      <c r="I860" s="4" t="s">
        <v>178</v>
      </c>
      <c r="J860" s="4" t="s">
        <v>24</v>
      </c>
      <c r="K860" s="4" t="s">
        <v>35</v>
      </c>
      <c r="L860" s="4" t="s">
        <v>166</v>
      </c>
      <c r="M860" s="4" t="s">
        <v>2182</v>
      </c>
      <c r="N860" s="5">
        <v>273.24</v>
      </c>
      <c r="O860" s="6">
        <v>9</v>
      </c>
      <c r="P860" s="7">
        <v>0.2</v>
      </c>
      <c r="Q860" s="5">
        <v>38.33</v>
      </c>
    </row>
    <row r="861" spans="1:17" x14ac:dyDescent="0.3">
      <c r="A861" s="8" t="s">
        <v>2183</v>
      </c>
      <c r="B861" s="9">
        <v>44492</v>
      </c>
      <c r="C861" s="9">
        <v>44496</v>
      </c>
      <c r="D861" s="8" t="s">
        <v>39</v>
      </c>
      <c r="E861" s="8" t="s">
        <v>1982</v>
      </c>
      <c r="F861" s="10" t="s">
        <v>1983</v>
      </c>
      <c r="G861" s="10" t="s">
        <v>21</v>
      </c>
      <c r="H861" s="10" t="s">
        <v>22</v>
      </c>
      <c r="I861" s="10" t="s">
        <v>23</v>
      </c>
      <c r="J861" s="10" t="s">
        <v>24</v>
      </c>
      <c r="K861" s="10" t="s">
        <v>45</v>
      </c>
      <c r="L861" s="10" t="s">
        <v>117</v>
      </c>
      <c r="M861" s="10" t="s">
        <v>2184</v>
      </c>
      <c r="N861" s="11">
        <v>3731.75</v>
      </c>
      <c r="O861" s="12">
        <v>9</v>
      </c>
      <c r="P861" s="13">
        <v>0.1</v>
      </c>
      <c r="Q861" s="11">
        <v>441.09</v>
      </c>
    </row>
    <row r="862" spans="1:17" x14ac:dyDescent="0.3">
      <c r="A862" s="2" t="s">
        <v>2185</v>
      </c>
      <c r="B862" s="3">
        <v>45078</v>
      </c>
      <c r="C862" s="3">
        <v>45082</v>
      </c>
      <c r="D862" s="2" t="s">
        <v>39</v>
      </c>
      <c r="E862" s="2" t="s">
        <v>1982</v>
      </c>
      <c r="F862" s="4" t="s">
        <v>1983</v>
      </c>
      <c r="G862" s="4" t="s">
        <v>21</v>
      </c>
      <c r="H862" s="4" t="s">
        <v>22</v>
      </c>
      <c r="I862" s="4" t="s">
        <v>23</v>
      </c>
      <c r="J862" s="4" t="s">
        <v>24</v>
      </c>
      <c r="K862" s="4" t="s">
        <v>45</v>
      </c>
      <c r="L862" s="4" t="s">
        <v>61</v>
      </c>
      <c r="M862" s="4" t="s">
        <v>2186</v>
      </c>
      <c r="N862" s="5">
        <v>6174.5</v>
      </c>
      <c r="O862" s="6">
        <v>8</v>
      </c>
      <c r="P862" s="7">
        <v>0.1</v>
      </c>
      <c r="Q862" s="5">
        <v>538.82000000000005</v>
      </c>
    </row>
    <row r="863" spans="1:17" x14ac:dyDescent="0.3">
      <c r="A863" s="8" t="s">
        <v>2187</v>
      </c>
      <c r="B863" s="9">
        <v>45166</v>
      </c>
      <c r="C863" s="9">
        <v>45169</v>
      </c>
      <c r="D863" s="8" t="s">
        <v>73</v>
      </c>
      <c r="E863" s="8" t="s">
        <v>678</v>
      </c>
      <c r="F863" s="10" t="s">
        <v>679</v>
      </c>
      <c r="G863" s="10" t="s">
        <v>51</v>
      </c>
      <c r="H863" s="10" t="s">
        <v>122</v>
      </c>
      <c r="I863" s="10" t="s">
        <v>123</v>
      </c>
      <c r="J863" s="10" t="s">
        <v>24</v>
      </c>
      <c r="K863" s="10" t="s">
        <v>35</v>
      </c>
      <c r="L863" s="10" t="s">
        <v>295</v>
      </c>
      <c r="M863" s="10" t="s">
        <v>2188</v>
      </c>
      <c r="N863" s="11">
        <v>113.33</v>
      </c>
      <c r="O863" s="12">
        <v>7</v>
      </c>
      <c r="P863" s="13">
        <v>0</v>
      </c>
      <c r="Q863" s="11">
        <v>52.05</v>
      </c>
    </row>
    <row r="864" spans="1:17" x14ac:dyDescent="0.3">
      <c r="A864" s="2" t="s">
        <v>2189</v>
      </c>
      <c r="B864" s="3">
        <v>44504</v>
      </c>
      <c r="C864" s="3">
        <v>44507</v>
      </c>
      <c r="D864" s="2" t="s">
        <v>18</v>
      </c>
      <c r="E864" s="2" t="s">
        <v>57</v>
      </c>
      <c r="F864" s="4" t="s">
        <v>58</v>
      </c>
      <c r="G864" s="4" t="s">
        <v>42</v>
      </c>
      <c r="H864" s="4" t="s">
        <v>59</v>
      </c>
      <c r="I864" s="4" t="s">
        <v>60</v>
      </c>
      <c r="J864" s="4" t="s">
        <v>54</v>
      </c>
      <c r="K864" s="4" t="s">
        <v>25</v>
      </c>
      <c r="L864" s="4" t="s">
        <v>26</v>
      </c>
      <c r="M864" s="4" t="s">
        <v>2190</v>
      </c>
      <c r="N864" s="5">
        <v>6611.12</v>
      </c>
      <c r="O864" s="6">
        <v>7</v>
      </c>
      <c r="P864" s="7">
        <v>0.5</v>
      </c>
      <c r="Q864" s="5">
        <v>-2977.85</v>
      </c>
    </row>
    <row r="865" spans="1:17" x14ac:dyDescent="0.3">
      <c r="A865" s="8" t="s">
        <v>2191</v>
      </c>
      <c r="B865" s="9">
        <v>45643</v>
      </c>
      <c r="C865" s="9">
        <v>45649</v>
      </c>
      <c r="D865" s="8" t="s">
        <v>29</v>
      </c>
      <c r="E865" s="8" t="s">
        <v>457</v>
      </c>
      <c r="F865" s="10" t="s">
        <v>458</v>
      </c>
      <c r="G865" s="10" t="s">
        <v>51</v>
      </c>
      <c r="H865" s="10" t="s">
        <v>459</v>
      </c>
      <c r="I865" s="10" t="s">
        <v>460</v>
      </c>
      <c r="J865" s="10" t="s">
        <v>54</v>
      </c>
      <c r="K865" s="10" t="s">
        <v>45</v>
      </c>
      <c r="L865" s="10" t="s">
        <v>99</v>
      </c>
      <c r="M865" s="10" t="s">
        <v>2192</v>
      </c>
      <c r="N865" s="11">
        <v>811.35</v>
      </c>
      <c r="O865" s="12">
        <v>9</v>
      </c>
      <c r="P865" s="13">
        <v>0.5</v>
      </c>
      <c r="Q865" s="11">
        <v>-336.09</v>
      </c>
    </row>
    <row r="866" spans="1:17" x14ac:dyDescent="0.3">
      <c r="A866" s="2" t="s">
        <v>2193</v>
      </c>
      <c r="B866" s="3">
        <v>45365</v>
      </c>
      <c r="C866" s="3">
        <v>45368</v>
      </c>
      <c r="D866" s="2" t="s">
        <v>73</v>
      </c>
      <c r="E866" s="2" t="s">
        <v>40</v>
      </c>
      <c r="F866" s="4" t="s">
        <v>41</v>
      </c>
      <c r="G866" s="4" t="s">
        <v>42</v>
      </c>
      <c r="H866" s="4" t="s">
        <v>43</v>
      </c>
      <c r="I866" s="4" t="s">
        <v>44</v>
      </c>
      <c r="J866" s="4" t="s">
        <v>24</v>
      </c>
      <c r="K866" s="4" t="s">
        <v>45</v>
      </c>
      <c r="L866" s="4" t="s">
        <v>46</v>
      </c>
      <c r="M866" s="4" t="s">
        <v>2194</v>
      </c>
      <c r="N866" s="5">
        <v>908.26</v>
      </c>
      <c r="O866" s="6">
        <v>3</v>
      </c>
      <c r="P866" s="7">
        <v>0.2</v>
      </c>
      <c r="Q866" s="5">
        <v>101.93</v>
      </c>
    </row>
    <row r="867" spans="1:17" x14ac:dyDescent="0.3">
      <c r="A867" s="8" t="s">
        <v>2195</v>
      </c>
      <c r="B867" s="9">
        <v>44776</v>
      </c>
      <c r="C867" s="9">
        <v>44783</v>
      </c>
      <c r="D867" s="8" t="s">
        <v>29</v>
      </c>
      <c r="E867" s="8" t="s">
        <v>273</v>
      </c>
      <c r="F867" s="10" t="s">
        <v>274</v>
      </c>
      <c r="G867" s="10" t="s">
        <v>42</v>
      </c>
      <c r="H867" s="10" t="s">
        <v>171</v>
      </c>
      <c r="I867" s="10" t="s">
        <v>172</v>
      </c>
      <c r="J867" s="10" t="s">
        <v>24</v>
      </c>
      <c r="K867" s="10" t="s">
        <v>25</v>
      </c>
      <c r="L867" s="10" t="s">
        <v>26</v>
      </c>
      <c r="M867" s="10" t="s">
        <v>2196</v>
      </c>
      <c r="N867" s="11">
        <v>1368.86</v>
      </c>
      <c r="O867" s="12">
        <v>2</v>
      </c>
      <c r="P867" s="13">
        <v>0.2</v>
      </c>
      <c r="Q867" s="11">
        <v>66.63</v>
      </c>
    </row>
    <row r="868" spans="1:17" x14ac:dyDescent="0.3">
      <c r="A868" s="2" t="s">
        <v>2197</v>
      </c>
      <c r="B868" s="3">
        <v>44786</v>
      </c>
      <c r="C868" s="3">
        <v>44787</v>
      </c>
      <c r="D868" s="2" t="s">
        <v>18</v>
      </c>
      <c r="E868" s="2" t="s">
        <v>1270</v>
      </c>
      <c r="F868" s="4" t="s">
        <v>1271</v>
      </c>
      <c r="G868" s="4" t="s">
        <v>51</v>
      </c>
      <c r="H868" s="4" t="s">
        <v>412</v>
      </c>
      <c r="I868" s="4" t="s">
        <v>178</v>
      </c>
      <c r="J868" s="4" t="s">
        <v>24</v>
      </c>
      <c r="K868" s="4" t="s">
        <v>45</v>
      </c>
      <c r="L868" s="4" t="s">
        <v>99</v>
      </c>
      <c r="M868" s="4" t="s">
        <v>2198</v>
      </c>
      <c r="N868" s="5">
        <v>536.24</v>
      </c>
      <c r="O868" s="6">
        <v>8</v>
      </c>
      <c r="P868" s="7">
        <v>0</v>
      </c>
      <c r="Q868" s="5">
        <v>158.4</v>
      </c>
    </row>
    <row r="869" spans="1:17" x14ac:dyDescent="0.3">
      <c r="A869" s="8" t="s">
        <v>2199</v>
      </c>
      <c r="B869" s="9">
        <v>44307</v>
      </c>
      <c r="C869" s="9">
        <v>44313</v>
      </c>
      <c r="D869" s="8" t="s">
        <v>29</v>
      </c>
      <c r="E869" s="8" t="s">
        <v>850</v>
      </c>
      <c r="F869" s="10" t="s">
        <v>851</v>
      </c>
      <c r="G869" s="10" t="s">
        <v>42</v>
      </c>
      <c r="H869" s="10" t="s">
        <v>183</v>
      </c>
      <c r="I869" s="10" t="s">
        <v>184</v>
      </c>
      <c r="J869" s="10" t="s">
        <v>54</v>
      </c>
      <c r="K869" s="10" t="s">
        <v>35</v>
      </c>
      <c r="L869" s="10" t="s">
        <v>36</v>
      </c>
      <c r="M869" s="10" t="s">
        <v>2200</v>
      </c>
      <c r="N869" s="11">
        <v>468.96</v>
      </c>
      <c r="O869" s="12">
        <v>8</v>
      </c>
      <c r="P869" s="13">
        <v>0</v>
      </c>
      <c r="Q869" s="11">
        <v>226.53</v>
      </c>
    </row>
    <row r="870" spans="1:17" x14ac:dyDescent="0.3">
      <c r="A870" s="2" t="s">
        <v>2201</v>
      </c>
      <c r="B870" s="3">
        <v>45305</v>
      </c>
      <c r="C870" s="3">
        <v>45308</v>
      </c>
      <c r="D870" s="2" t="s">
        <v>18</v>
      </c>
      <c r="E870" s="2" t="s">
        <v>175</v>
      </c>
      <c r="F870" s="4" t="s">
        <v>176</v>
      </c>
      <c r="G870" s="4" t="s">
        <v>51</v>
      </c>
      <c r="H870" s="4" t="s">
        <v>177</v>
      </c>
      <c r="I870" s="4" t="s">
        <v>178</v>
      </c>
      <c r="J870" s="4" t="s">
        <v>24</v>
      </c>
      <c r="K870" s="4" t="s">
        <v>35</v>
      </c>
      <c r="L870" s="4" t="s">
        <v>36</v>
      </c>
      <c r="M870" s="4" t="s">
        <v>2202</v>
      </c>
      <c r="N870" s="5">
        <v>126.5</v>
      </c>
      <c r="O870" s="6">
        <v>2</v>
      </c>
      <c r="P870" s="7">
        <v>0</v>
      </c>
      <c r="Q870" s="5">
        <v>49.73</v>
      </c>
    </row>
    <row r="871" spans="1:17" x14ac:dyDescent="0.3">
      <c r="A871" s="8" t="s">
        <v>2203</v>
      </c>
      <c r="B871" s="9">
        <v>45530</v>
      </c>
      <c r="C871" s="9">
        <v>45532</v>
      </c>
      <c r="D871" s="8" t="s">
        <v>18</v>
      </c>
      <c r="E871" s="8" t="s">
        <v>432</v>
      </c>
      <c r="F871" s="10" t="s">
        <v>433</v>
      </c>
      <c r="G871" s="10" t="s">
        <v>51</v>
      </c>
      <c r="H871" s="10" t="s">
        <v>171</v>
      </c>
      <c r="I871" s="10" t="s">
        <v>172</v>
      </c>
      <c r="J871" s="10" t="s">
        <v>24</v>
      </c>
      <c r="K871" s="10" t="s">
        <v>25</v>
      </c>
      <c r="L871" s="10" t="s">
        <v>26</v>
      </c>
      <c r="M871" s="10" t="s">
        <v>2204</v>
      </c>
      <c r="N871" s="11">
        <v>7430.9</v>
      </c>
      <c r="O871" s="12">
        <v>8</v>
      </c>
      <c r="P871" s="13">
        <v>0.15</v>
      </c>
      <c r="Q871" s="11">
        <v>162.31</v>
      </c>
    </row>
    <row r="872" spans="1:17" x14ac:dyDescent="0.3">
      <c r="A872" s="2" t="s">
        <v>2205</v>
      </c>
      <c r="B872" s="3">
        <v>44747</v>
      </c>
      <c r="C872" s="3">
        <v>44752</v>
      </c>
      <c r="D872" s="2" t="s">
        <v>73</v>
      </c>
      <c r="E872" s="2" t="s">
        <v>1330</v>
      </c>
      <c r="F872" s="4" t="s">
        <v>1331</v>
      </c>
      <c r="G872" s="4" t="s">
        <v>51</v>
      </c>
      <c r="H872" s="4" t="s">
        <v>52</v>
      </c>
      <c r="I872" s="4" t="s">
        <v>53</v>
      </c>
      <c r="J872" s="4" t="s">
        <v>54</v>
      </c>
      <c r="K872" s="4" t="s">
        <v>35</v>
      </c>
      <c r="L872" s="4" t="s">
        <v>216</v>
      </c>
      <c r="M872" s="4" t="s">
        <v>2206</v>
      </c>
      <c r="N872" s="5">
        <v>78.459999999999994</v>
      </c>
      <c r="O872" s="6">
        <v>10</v>
      </c>
      <c r="P872" s="7">
        <v>0.15</v>
      </c>
      <c r="Q872" s="5">
        <v>23.05</v>
      </c>
    </row>
    <row r="873" spans="1:17" x14ac:dyDescent="0.3">
      <c r="A873" s="8" t="s">
        <v>2207</v>
      </c>
      <c r="B873" s="9">
        <v>44614</v>
      </c>
      <c r="C873" s="9">
        <v>44615</v>
      </c>
      <c r="D873" s="8" t="s">
        <v>18</v>
      </c>
      <c r="E873" s="8" t="s">
        <v>717</v>
      </c>
      <c r="F873" s="10" t="s">
        <v>718</v>
      </c>
      <c r="G873" s="10" t="s">
        <v>51</v>
      </c>
      <c r="H873" s="10" t="s">
        <v>86</v>
      </c>
      <c r="I873" s="10" t="s">
        <v>87</v>
      </c>
      <c r="J873" s="10" t="s">
        <v>88</v>
      </c>
      <c r="K873" s="10" t="s">
        <v>35</v>
      </c>
      <c r="L873" s="10" t="s">
        <v>166</v>
      </c>
      <c r="M873" s="10" t="s">
        <v>2208</v>
      </c>
      <c r="N873" s="11">
        <v>218.2</v>
      </c>
      <c r="O873" s="12">
        <v>8</v>
      </c>
      <c r="P873" s="13">
        <v>0.05</v>
      </c>
      <c r="Q873" s="11">
        <v>63.88</v>
      </c>
    </row>
    <row r="874" spans="1:17" x14ac:dyDescent="0.3">
      <c r="A874" s="2" t="s">
        <v>2209</v>
      </c>
      <c r="B874" s="3">
        <v>45066</v>
      </c>
      <c r="C874" s="3">
        <v>45072</v>
      </c>
      <c r="D874" s="2" t="s">
        <v>29</v>
      </c>
      <c r="E874" s="2" t="s">
        <v>102</v>
      </c>
      <c r="F874" s="4" t="s">
        <v>103</v>
      </c>
      <c r="G874" s="4" t="s">
        <v>42</v>
      </c>
      <c r="H874" s="4" t="s">
        <v>104</v>
      </c>
      <c r="I874" s="4" t="s">
        <v>105</v>
      </c>
      <c r="J874" s="4" t="s">
        <v>88</v>
      </c>
      <c r="K874" s="4" t="s">
        <v>25</v>
      </c>
      <c r="L874" s="4" t="s">
        <v>74</v>
      </c>
      <c r="M874" s="4" t="s">
        <v>2210</v>
      </c>
      <c r="N874" s="5">
        <v>2534.17</v>
      </c>
      <c r="O874" s="6">
        <v>9</v>
      </c>
      <c r="P874" s="7">
        <v>0.1</v>
      </c>
      <c r="Q874" s="5">
        <v>652.74</v>
      </c>
    </row>
    <row r="875" spans="1:17" x14ac:dyDescent="0.3">
      <c r="A875" s="8" t="s">
        <v>2211</v>
      </c>
      <c r="B875" s="9">
        <v>44983</v>
      </c>
      <c r="C875" s="9">
        <v>44985</v>
      </c>
      <c r="D875" s="8" t="s">
        <v>18</v>
      </c>
      <c r="E875" s="8" t="s">
        <v>49</v>
      </c>
      <c r="F875" s="10" t="s">
        <v>50</v>
      </c>
      <c r="G875" s="10" t="s">
        <v>51</v>
      </c>
      <c r="H875" s="10" t="s">
        <v>52</v>
      </c>
      <c r="I875" s="10" t="s">
        <v>53</v>
      </c>
      <c r="J875" s="10" t="s">
        <v>54</v>
      </c>
      <c r="K875" s="10" t="s">
        <v>25</v>
      </c>
      <c r="L875" s="10" t="s">
        <v>68</v>
      </c>
      <c r="M875" s="10" t="s">
        <v>2212</v>
      </c>
      <c r="N875" s="11">
        <v>122.11</v>
      </c>
      <c r="O875" s="12">
        <v>1</v>
      </c>
      <c r="P875" s="13">
        <v>0.3</v>
      </c>
      <c r="Q875" s="11">
        <v>27.59</v>
      </c>
    </row>
    <row r="876" spans="1:17" x14ac:dyDescent="0.3">
      <c r="A876" s="2" t="s">
        <v>2213</v>
      </c>
      <c r="B876" s="3">
        <v>44671</v>
      </c>
      <c r="C876" s="3">
        <v>44674</v>
      </c>
      <c r="D876" s="2" t="s">
        <v>18</v>
      </c>
      <c r="E876" s="2" t="s">
        <v>265</v>
      </c>
      <c r="F876" s="4" t="s">
        <v>266</v>
      </c>
      <c r="G876" s="4" t="s">
        <v>21</v>
      </c>
      <c r="H876" s="4" t="s">
        <v>171</v>
      </c>
      <c r="I876" s="4" t="s">
        <v>172</v>
      </c>
      <c r="J876" s="4" t="s">
        <v>24</v>
      </c>
      <c r="K876" s="4" t="s">
        <v>35</v>
      </c>
      <c r="L876" s="4" t="s">
        <v>89</v>
      </c>
      <c r="M876" s="4" t="s">
        <v>2214</v>
      </c>
      <c r="N876" s="5">
        <v>780.14</v>
      </c>
      <c r="O876" s="6">
        <v>3</v>
      </c>
      <c r="P876" s="7">
        <v>0.1</v>
      </c>
      <c r="Q876" s="5">
        <v>273.14999999999998</v>
      </c>
    </row>
    <row r="877" spans="1:17" x14ac:dyDescent="0.3">
      <c r="A877" s="8" t="s">
        <v>2215</v>
      </c>
      <c r="B877" s="9">
        <v>44909</v>
      </c>
      <c r="C877" s="9">
        <v>44916</v>
      </c>
      <c r="D877" s="8" t="s">
        <v>29</v>
      </c>
      <c r="E877" s="8" t="s">
        <v>890</v>
      </c>
      <c r="F877" s="10" t="s">
        <v>891</v>
      </c>
      <c r="G877" s="10" t="s">
        <v>42</v>
      </c>
      <c r="H877" s="10" t="s">
        <v>22</v>
      </c>
      <c r="I877" s="10" t="s">
        <v>23</v>
      </c>
      <c r="J877" s="10" t="s">
        <v>24</v>
      </c>
      <c r="K877" s="10" t="s">
        <v>35</v>
      </c>
      <c r="L877" s="10" t="s">
        <v>166</v>
      </c>
      <c r="M877" s="10" t="s">
        <v>2216</v>
      </c>
      <c r="N877" s="11">
        <v>55.05</v>
      </c>
      <c r="O877" s="12">
        <v>5</v>
      </c>
      <c r="P877" s="13">
        <v>0</v>
      </c>
      <c r="Q877" s="11">
        <v>16.149999999999999</v>
      </c>
    </row>
    <row r="878" spans="1:17" x14ac:dyDescent="0.3">
      <c r="A878" s="2" t="s">
        <v>2217</v>
      </c>
      <c r="B878" s="3">
        <v>44762</v>
      </c>
      <c r="C878" s="3">
        <v>44764</v>
      </c>
      <c r="D878" s="2" t="s">
        <v>18</v>
      </c>
      <c r="E878" s="2" t="s">
        <v>1052</v>
      </c>
      <c r="F878" s="4" t="s">
        <v>1053</v>
      </c>
      <c r="G878" s="4" t="s">
        <v>42</v>
      </c>
      <c r="H878" s="4" t="s">
        <v>694</v>
      </c>
      <c r="I878" s="4" t="s">
        <v>67</v>
      </c>
      <c r="J878" s="4" t="s">
        <v>34</v>
      </c>
      <c r="K878" s="4" t="s">
        <v>45</v>
      </c>
      <c r="L878" s="4" t="s">
        <v>99</v>
      </c>
      <c r="M878" s="4" t="s">
        <v>2218</v>
      </c>
      <c r="N878" s="5">
        <v>55.46</v>
      </c>
      <c r="O878" s="6">
        <v>1</v>
      </c>
      <c r="P878" s="7">
        <v>0</v>
      </c>
      <c r="Q878" s="5">
        <v>21.41</v>
      </c>
    </row>
    <row r="879" spans="1:17" x14ac:dyDescent="0.3">
      <c r="A879" s="8" t="s">
        <v>2219</v>
      </c>
      <c r="B879" s="9">
        <v>44821</v>
      </c>
      <c r="C879" s="9">
        <v>44825</v>
      </c>
      <c r="D879" s="8" t="s">
        <v>73</v>
      </c>
      <c r="E879" s="8" t="s">
        <v>1258</v>
      </c>
      <c r="F879" s="10" t="s">
        <v>1259</v>
      </c>
      <c r="G879" s="10" t="s">
        <v>21</v>
      </c>
      <c r="H879" s="10" t="s">
        <v>438</v>
      </c>
      <c r="I879" s="10" t="s">
        <v>157</v>
      </c>
      <c r="J879" s="10" t="s">
        <v>88</v>
      </c>
      <c r="K879" s="10" t="s">
        <v>35</v>
      </c>
      <c r="L879" s="10" t="s">
        <v>110</v>
      </c>
      <c r="M879" s="10" t="s">
        <v>2220</v>
      </c>
      <c r="N879" s="11">
        <v>27.72</v>
      </c>
      <c r="O879" s="12">
        <v>6</v>
      </c>
      <c r="P879" s="13">
        <v>0.5</v>
      </c>
      <c r="Q879" s="11">
        <v>-4.1500000000000004</v>
      </c>
    </row>
    <row r="880" spans="1:17" x14ac:dyDescent="0.3">
      <c r="A880" s="2" t="s">
        <v>2221</v>
      </c>
      <c r="B880" s="3">
        <v>45398</v>
      </c>
      <c r="C880" s="3">
        <v>45404</v>
      </c>
      <c r="D880" s="2" t="s">
        <v>29</v>
      </c>
      <c r="E880" s="2" t="s">
        <v>606</v>
      </c>
      <c r="F880" s="4" t="s">
        <v>607</v>
      </c>
      <c r="G880" s="4" t="s">
        <v>51</v>
      </c>
      <c r="H880" s="4" t="s">
        <v>104</v>
      </c>
      <c r="I880" s="4" t="s">
        <v>105</v>
      </c>
      <c r="J880" s="4" t="s">
        <v>88</v>
      </c>
      <c r="K880" s="4" t="s">
        <v>25</v>
      </c>
      <c r="L880" s="4" t="s">
        <v>74</v>
      </c>
      <c r="M880" s="4" t="s">
        <v>2222</v>
      </c>
      <c r="N880" s="5">
        <v>2616.0500000000002</v>
      </c>
      <c r="O880" s="6">
        <v>6</v>
      </c>
      <c r="P880" s="7">
        <v>0.3</v>
      </c>
      <c r="Q880" s="5">
        <v>190.39</v>
      </c>
    </row>
    <row r="881" spans="1:17" x14ac:dyDescent="0.3">
      <c r="A881" s="8" t="s">
        <v>2223</v>
      </c>
      <c r="B881" s="9">
        <v>45297</v>
      </c>
      <c r="C881" s="9">
        <v>45303</v>
      </c>
      <c r="D881" s="8" t="s">
        <v>29</v>
      </c>
      <c r="E881" s="8" t="s">
        <v>240</v>
      </c>
      <c r="F881" s="10" t="s">
        <v>241</v>
      </c>
      <c r="G881" s="10" t="s">
        <v>42</v>
      </c>
      <c r="H881" s="10" t="s">
        <v>115</v>
      </c>
      <c r="I881" s="10" t="s">
        <v>116</v>
      </c>
      <c r="J881" s="10" t="s">
        <v>54</v>
      </c>
      <c r="K881" s="10" t="s">
        <v>25</v>
      </c>
      <c r="L881" s="10" t="s">
        <v>124</v>
      </c>
      <c r="M881" s="10" t="s">
        <v>2224</v>
      </c>
      <c r="N881" s="11">
        <v>377.99</v>
      </c>
      <c r="O881" s="12">
        <v>1</v>
      </c>
      <c r="P881" s="13">
        <v>0.5</v>
      </c>
      <c r="Q881" s="11">
        <v>-200.68</v>
      </c>
    </row>
    <row r="882" spans="1:17" x14ac:dyDescent="0.3">
      <c r="A882" s="2" t="s">
        <v>2225</v>
      </c>
      <c r="B882" s="3">
        <v>45414</v>
      </c>
      <c r="C882" s="3">
        <v>45420</v>
      </c>
      <c r="D882" s="2" t="s">
        <v>29</v>
      </c>
      <c r="E882" s="2" t="s">
        <v>232</v>
      </c>
      <c r="F882" s="4" t="s">
        <v>233</v>
      </c>
      <c r="G882" s="4" t="s">
        <v>21</v>
      </c>
      <c r="H882" s="4" t="s">
        <v>156</v>
      </c>
      <c r="I882" s="4" t="s">
        <v>157</v>
      </c>
      <c r="J882" s="4" t="s">
        <v>88</v>
      </c>
      <c r="K882" s="4" t="s">
        <v>35</v>
      </c>
      <c r="L882" s="4" t="s">
        <v>166</v>
      </c>
      <c r="M882" s="4" t="s">
        <v>2226</v>
      </c>
      <c r="N882" s="5">
        <v>91.6</v>
      </c>
      <c r="O882" s="6">
        <v>5</v>
      </c>
      <c r="P882" s="7">
        <v>0</v>
      </c>
      <c r="Q882" s="5">
        <v>24.74</v>
      </c>
    </row>
    <row r="883" spans="1:17" x14ac:dyDescent="0.3">
      <c r="A883" s="8" t="s">
        <v>2227</v>
      </c>
      <c r="B883" s="9">
        <v>45224</v>
      </c>
      <c r="C883" s="9">
        <v>45227</v>
      </c>
      <c r="D883" s="8" t="s">
        <v>39</v>
      </c>
      <c r="E883" s="8" t="s">
        <v>666</v>
      </c>
      <c r="F883" s="10" t="s">
        <v>667</v>
      </c>
      <c r="G883" s="10" t="s">
        <v>21</v>
      </c>
      <c r="H883" s="10" t="s">
        <v>372</v>
      </c>
      <c r="I883" s="10" t="s">
        <v>373</v>
      </c>
      <c r="J883" s="10" t="s">
        <v>34</v>
      </c>
      <c r="K883" s="10" t="s">
        <v>45</v>
      </c>
      <c r="L883" s="10" t="s">
        <v>117</v>
      </c>
      <c r="M883" s="10" t="s">
        <v>2228</v>
      </c>
      <c r="N883" s="11">
        <v>1482.33</v>
      </c>
      <c r="O883" s="12">
        <v>3</v>
      </c>
      <c r="P883" s="13">
        <v>0</v>
      </c>
      <c r="Q883" s="11">
        <v>298.02999999999997</v>
      </c>
    </row>
    <row r="884" spans="1:17" x14ac:dyDescent="0.3">
      <c r="A884" s="2" t="s">
        <v>2229</v>
      </c>
      <c r="B884" s="3">
        <v>44812</v>
      </c>
      <c r="C884" s="3">
        <v>44817</v>
      </c>
      <c r="D884" s="2" t="s">
        <v>29</v>
      </c>
      <c r="E884" s="2" t="s">
        <v>445</v>
      </c>
      <c r="F884" s="4" t="s">
        <v>446</v>
      </c>
      <c r="G884" s="4" t="s">
        <v>51</v>
      </c>
      <c r="H884" s="4" t="s">
        <v>183</v>
      </c>
      <c r="I884" s="4" t="s">
        <v>184</v>
      </c>
      <c r="J884" s="4" t="s">
        <v>54</v>
      </c>
      <c r="K884" s="4" t="s">
        <v>45</v>
      </c>
      <c r="L884" s="4" t="s">
        <v>61</v>
      </c>
      <c r="M884" s="4" t="s">
        <v>2230</v>
      </c>
      <c r="N884" s="5">
        <v>3460.77</v>
      </c>
      <c r="O884" s="6">
        <v>5</v>
      </c>
      <c r="P884" s="7">
        <v>0.1</v>
      </c>
      <c r="Q884" s="5">
        <v>-54.29</v>
      </c>
    </row>
    <row r="885" spans="1:17" x14ac:dyDescent="0.3">
      <c r="A885" s="8" t="s">
        <v>2231</v>
      </c>
      <c r="B885" s="9">
        <v>44705</v>
      </c>
      <c r="C885" s="9">
        <v>44709</v>
      </c>
      <c r="D885" s="8" t="s">
        <v>39</v>
      </c>
      <c r="E885" s="8" t="s">
        <v>384</v>
      </c>
      <c r="F885" s="10" t="s">
        <v>385</v>
      </c>
      <c r="G885" s="10" t="s">
        <v>51</v>
      </c>
      <c r="H885" s="10" t="s">
        <v>386</v>
      </c>
      <c r="I885" s="10" t="s">
        <v>347</v>
      </c>
      <c r="J885" s="10" t="s">
        <v>88</v>
      </c>
      <c r="K885" s="10" t="s">
        <v>45</v>
      </c>
      <c r="L885" s="10" t="s">
        <v>46</v>
      </c>
      <c r="M885" s="10" t="s">
        <v>2232</v>
      </c>
      <c r="N885" s="11">
        <v>1372.46</v>
      </c>
      <c r="O885" s="12">
        <v>5</v>
      </c>
      <c r="P885" s="13">
        <v>0.05</v>
      </c>
      <c r="Q885" s="11">
        <v>406.2</v>
      </c>
    </row>
    <row r="886" spans="1:17" x14ac:dyDescent="0.3">
      <c r="A886" s="2" t="s">
        <v>2233</v>
      </c>
      <c r="B886" s="3">
        <v>45190</v>
      </c>
      <c r="C886" s="3">
        <v>45192</v>
      </c>
      <c r="D886" s="2" t="s">
        <v>18</v>
      </c>
      <c r="E886" s="2" t="s">
        <v>733</v>
      </c>
      <c r="F886" s="4" t="s">
        <v>734</v>
      </c>
      <c r="G886" s="4" t="s">
        <v>51</v>
      </c>
      <c r="H886" s="4" t="s">
        <v>324</v>
      </c>
      <c r="I886" s="4" t="s">
        <v>116</v>
      </c>
      <c r="J886" s="4" t="s">
        <v>54</v>
      </c>
      <c r="K886" s="4" t="s">
        <v>35</v>
      </c>
      <c r="L886" s="4" t="s">
        <v>158</v>
      </c>
      <c r="M886" s="4" t="s">
        <v>2234</v>
      </c>
      <c r="N886" s="5">
        <v>31.67</v>
      </c>
      <c r="O886" s="6">
        <v>9</v>
      </c>
      <c r="P886" s="7">
        <v>0.1</v>
      </c>
      <c r="Q886" s="5">
        <v>10.57</v>
      </c>
    </row>
    <row r="887" spans="1:17" x14ac:dyDescent="0.3">
      <c r="A887" s="8" t="s">
        <v>2235</v>
      </c>
      <c r="B887" s="9">
        <v>45342</v>
      </c>
      <c r="C887" s="9">
        <v>45343</v>
      </c>
      <c r="D887" s="8" t="s">
        <v>18</v>
      </c>
      <c r="E887" s="8" t="s">
        <v>480</v>
      </c>
      <c r="F887" s="10" t="s">
        <v>481</v>
      </c>
      <c r="G887" s="10" t="s">
        <v>42</v>
      </c>
      <c r="H887" s="10" t="s">
        <v>352</v>
      </c>
      <c r="I887" s="10" t="s">
        <v>306</v>
      </c>
      <c r="J887" s="10" t="s">
        <v>34</v>
      </c>
      <c r="K887" s="10" t="s">
        <v>25</v>
      </c>
      <c r="L887" s="10" t="s">
        <v>74</v>
      </c>
      <c r="M887" s="10" t="s">
        <v>2236</v>
      </c>
      <c r="N887" s="11">
        <v>156.30000000000001</v>
      </c>
      <c r="O887" s="12">
        <v>5</v>
      </c>
      <c r="P887" s="13">
        <v>0.5</v>
      </c>
      <c r="Q887" s="11">
        <v>-27.7</v>
      </c>
    </row>
    <row r="888" spans="1:17" x14ac:dyDescent="0.3">
      <c r="A888" s="2" t="s">
        <v>2237</v>
      </c>
      <c r="B888" s="3">
        <v>44995</v>
      </c>
      <c r="C888" s="3">
        <v>44999</v>
      </c>
      <c r="D888" s="2" t="s">
        <v>73</v>
      </c>
      <c r="E888" s="2" t="s">
        <v>265</v>
      </c>
      <c r="F888" s="4" t="s">
        <v>266</v>
      </c>
      <c r="G888" s="4" t="s">
        <v>21</v>
      </c>
      <c r="H888" s="4" t="s">
        <v>171</v>
      </c>
      <c r="I888" s="4" t="s">
        <v>172</v>
      </c>
      <c r="J888" s="4" t="s">
        <v>24</v>
      </c>
      <c r="K888" s="4" t="s">
        <v>25</v>
      </c>
      <c r="L888" s="4" t="s">
        <v>68</v>
      </c>
      <c r="M888" s="4" t="s">
        <v>2238</v>
      </c>
      <c r="N888" s="5">
        <v>800.24</v>
      </c>
      <c r="O888" s="6">
        <v>6</v>
      </c>
      <c r="P888" s="7">
        <v>0.15</v>
      </c>
      <c r="Q888" s="5">
        <v>185.3</v>
      </c>
    </row>
    <row r="889" spans="1:17" x14ac:dyDescent="0.3">
      <c r="A889" s="8" t="s">
        <v>2239</v>
      </c>
      <c r="B889" s="9">
        <v>45657</v>
      </c>
      <c r="C889" s="9">
        <v>45658</v>
      </c>
      <c r="D889" s="8" t="s">
        <v>18</v>
      </c>
      <c r="E889" s="8" t="s">
        <v>1578</v>
      </c>
      <c r="F889" s="10" t="s">
        <v>1579</v>
      </c>
      <c r="G889" s="10" t="s">
        <v>51</v>
      </c>
      <c r="H889" s="10" t="s">
        <v>207</v>
      </c>
      <c r="I889" s="10" t="s">
        <v>60</v>
      </c>
      <c r="J889" s="10" t="s">
        <v>54</v>
      </c>
      <c r="K889" s="10" t="s">
        <v>35</v>
      </c>
      <c r="L889" s="10" t="s">
        <v>81</v>
      </c>
      <c r="M889" s="10" t="s">
        <v>2240</v>
      </c>
      <c r="N889" s="11">
        <v>7.6</v>
      </c>
      <c r="O889" s="12">
        <v>2</v>
      </c>
      <c r="P889" s="13">
        <v>0.3</v>
      </c>
      <c r="Q889" s="11">
        <v>2.74</v>
      </c>
    </row>
    <row r="890" spans="1:17" x14ac:dyDescent="0.3">
      <c r="A890" s="2" t="s">
        <v>2241</v>
      </c>
      <c r="B890" s="3">
        <v>45440</v>
      </c>
      <c r="C890" s="3">
        <v>45443</v>
      </c>
      <c r="D890" s="2" t="s">
        <v>18</v>
      </c>
      <c r="E890" s="2" t="s">
        <v>406</v>
      </c>
      <c r="F890" s="4" t="s">
        <v>407</v>
      </c>
      <c r="G890" s="4" t="s">
        <v>42</v>
      </c>
      <c r="H890" s="4" t="s">
        <v>165</v>
      </c>
      <c r="I890" s="4" t="s">
        <v>44</v>
      </c>
      <c r="J890" s="4" t="s">
        <v>24</v>
      </c>
      <c r="K890" s="4" t="s">
        <v>45</v>
      </c>
      <c r="L890" s="4" t="s">
        <v>61</v>
      </c>
      <c r="M890" s="4" t="s">
        <v>2242</v>
      </c>
      <c r="N890" s="5">
        <v>637.4</v>
      </c>
      <c r="O890" s="6">
        <v>2</v>
      </c>
      <c r="P890" s="7">
        <v>0.4</v>
      </c>
      <c r="Q890" s="5">
        <v>-369.39</v>
      </c>
    </row>
    <row r="891" spans="1:17" x14ac:dyDescent="0.3">
      <c r="A891" s="8" t="s">
        <v>2243</v>
      </c>
      <c r="B891" s="9">
        <v>44821</v>
      </c>
      <c r="C891" s="9">
        <v>44826</v>
      </c>
      <c r="D891" s="8" t="s">
        <v>73</v>
      </c>
      <c r="E891" s="8" t="s">
        <v>670</v>
      </c>
      <c r="F891" s="10" t="s">
        <v>671</v>
      </c>
      <c r="G891" s="10" t="s">
        <v>21</v>
      </c>
      <c r="H891" s="10" t="s">
        <v>465</v>
      </c>
      <c r="I891" s="10" t="s">
        <v>423</v>
      </c>
      <c r="J891" s="10" t="s">
        <v>88</v>
      </c>
      <c r="K891" s="10" t="s">
        <v>35</v>
      </c>
      <c r="L891" s="10" t="s">
        <v>81</v>
      </c>
      <c r="M891" s="10" t="s">
        <v>2244</v>
      </c>
      <c r="N891" s="11">
        <v>40.26</v>
      </c>
      <c r="O891" s="12">
        <v>2</v>
      </c>
      <c r="P891" s="13">
        <v>0</v>
      </c>
      <c r="Q891" s="11">
        <v>20.260000000000002</v>
      </c>
    </row>
    <row r="892" spans="1:17" x14ac:dyDescent="0.3">
      <c r="A892" s="2" t="s">
        <v>2245</v>
      </c>
      <c r="B892" s="3">
        <v>44620</v>
      </c>
      <c r="C892" s="3">
        <v>44623</v>
      </c>
      <c r="D892" s="2" t="s">
        <v>39</v>
      </c>
      <c r="E892" s="2" t="s">
        <v>838</v>
      </c>
      <c r="F892" s="4" t="s">
        <v>839</v>
      </c>
      <c r="G892" s="4" t="s">
        <v>51</v>
      </c>
      <c r="H892" s="4" t="s">
        <v>438</v>
      </c>
      <c r="I892" s="4" t="s">
        <v>157</v>
      </c>
      <c r="J892" s="4" t="s">
        <v>88</v>
      </c>
      <c r="K892" s="4" t="s">
        <v>35</v>
      </c>
      <c r="L892" s="4" t="s">
        <v>81</v>
      </c>
      <c r="M892" s="4" t="s">
        <v>2246</v>
      </c>
      <c r="N892" s="5">
        <v>21.43</v>
      </c>
      <c r="O892" s="6">
        <v>6</v>
      </c>
      <c r="P892" s="7">
        <v>0.05</v>
      </c>
      <c r="Q892" s="5">
        <v>11.8</v>
      </c>
    </row>
    <row r="893" spans="1:17" x14ac:dyDescent="0.3">
      <c r="A893" s="8" t="s">
        <v>2247</v>
      </c>
      <c r="B893" s="9">
        <v>44875</v>
      </c>
      <c r="C893" s="9">
        <v>44878</v>
      </c>
      <c r="D893" s="8" t="s">
        <v>39</v>
      </c>
      <c r="E893" s="8" t="s">
        <v>717</v>
      </c>
      <c r="F893" s="10" t="s">
        <v>718</v>
      </c>
      <c r="G893" s="10" t="s">
        <v>51</v>
      </c>
      <c r="H893" s="10" t="s">
        <v>86</v>
      </c>
      <c r="I893" s="10" t="s">
        <v>87</v>
      </c>
      <c r="J893" s="10" t="s">
        <v>88</v>
      </c>
      <c r="K893" s="10" t="s">
        <v>45</v>
      </c>
      <c r="L893" s="10" t="s">
        <v>117</v>
      </c>
      <c r="M893" s="10" t="s">
        <v>47</v>
      </c>
      <c r="N893" s="11">
        <v>981.64</v>
      </c>
      <c r="O893" s="12">
        <v>5</v>
      </c>
      <c r="P893" s="13">
        <v>0.2</v>
      </c>
      <c r="Q893" s="11">
        <v>41.6</v>
      </c>
    </row>
    <row r="894" spans="1:17" x14ac:dyDescent="0.3">
      <c r="A894" s="2" t="s">
        <v>2248</v>
      </c>
      <c r="B894" s="3">
        <v>44812</v>
      </c>
      <c r="C894" s="3">
        <v>44814</v>
      </c>
      <c r="D894" s="2" t="s">
        <v>39</v>
      </c>
      <c r="E894" s="2" t="s">
        <v>817</v>
      </c>
      <c r="F894" s="4" t="s">
        <v>818</v>
      </c>
      <c r="G894" s="4" t="s">
        <v>42</v>
      </c>
      <c r="H894" s="4" t="s">
        <v>98</v>
      </c>
      <c r="I894" s="4" t="s">
        <v>80</v>
      </c>
      <c r="J894" s="4" t="s">
        <v>54</v>
      </c>
      <c r="K894" s="4" t="s">
        <v>25</v>
      </c>
      <c r="L894" s="4" t="s">
        <v>26</v>
      </c>
      <c r="M894" s="4" t="s">
        <v>2249</v>
      </c>
      <c r="N894" s="5">
        <v>1058.8900000000001</v>
      </c>
      <c r="O894" s="6">
        <v>3</v>
      </c>
      <c r="P894" s="7">
        <v>0.4</v>
      </c>
      <c r="Q894" s="5">
        <v>-274.19</v>
      </c>
    </row>
    <row r="895" spans="1:17" x14ac:dyDescent="0.3">
      <c r="A895" s="8" t="s">
        <v>2250</v>
      </c>
      <c r="B895" s="9">
        <v>45360</v>
      </c>
      <c r="C895" s="9">
        <v>45362</v>
      </c>
      <c r="D895" s="8" t="s">
        <v>39</v>
      </c>
      <c r="E895" s="8" t="s">
        <v>1011</v>
      </c>
      <c r="F895" s="10" t="s">
        <v>1012</v>
      </c>
      <c r="G895" s="10" t="s">
        <v>21</v>
      </c>
      <c r="H895" s="10" t="s">
        <v>59</v>
      </c>
      <c r="I895" s="10" t="s">
        <v>60</v>
      </c>
      <c r="J895" s="10" t="s">
        <v>54</v>
      </c>
      <c r="K895" s="10" t="s">
        <v>25</v>
      </c>
      <c r="L895" s="10" t="s">
        <v>26</v>
      </c>
      <c r="M895" s="10" t="s">
        <v>2251</v>
      </c>
      <c r="N895" s="11">
        <v>10950.97</v>
      </c>
      <c r="O895" s="12">
        <v>9</v>
      </c>
      <c r="P895" s="13">
        <v>0.3</v>
      </c>
      <c r="Q895" s="11">
        <v>-1373.78</v>
      </c>
    </row>
    <row r="896" spans="1:17" x14ac:dyDescent="0.3">
      <c r="A896" s="2" t="s">
        <v>2252</v>
      </c>
      <c r="B896" s="3">
        <v>44618</v>
      </c>
      <c r="C896" s="3">
        <v>44621</v>
      </c>
      <c r="D896" s="2" t="s">
        <v>18</v>
      </c>
      <c r="E896" s="2" t="s">
        <v>1982</v>
      </c>
      <c r="F896" s="4" t="s">
        <v>1983</v>
      </c>
      <c r="G896" s="4" t="s">
        <v>21</v>
      </c>
      <c r="H896" s="4" t="s">
        <v>22</v>
      </c>
      <c r="I896" s="4" t="s">
        <v>23</v>
      </c>
      <c r="J896" s="4" t="s">
        <v>24</v>
      </c>
      <c r="K896" s="4" t="s">
        <v>45</v>
      </c>
      <c r="L896" s="4" t="s">
        <v>46</v>
      </c>
      <c r="M896" s="4" t="s">
        <v>2253</v>
      </c>
      <c r="N896" s="5">
        <v>741.63</v>
      </c>
      <c r="O896" s="6">
        <v>4</v>
      </c>
      <c r="P896" s="7">
        <v>0.2</v>
      </c>
      <c r="Q896" s="5">
        <v>89.27</v>
      </c>
    </row>
    <row r="897" spans="1:17" x14ac:dyDescent="0.3">
      <c r="A897" s="8" t="s">
        <v>2254</v>
      </c>
      <c r="B897" s="9">
        <v>45350</v>
      </c>
      <c r="C897" s="9">
        <v>45355</v>
      </c>
      <c r="D897" s="8" t="s">
        <v>73</v>
      </c>
      <c r="E897" s="8" t="s">
        <v>476</v>
      </c>
      <c r="F897" s="10" t="s">
        <v>477</v>
      </c>
      <c r="G897" s="10" t="s">
        <v>42</v>
      </c>
      <c r="H897" s="10" t="s">
        <v>150</v>
      </c>
      <c r="I897" s="10" t="s">
        <v>151</v>
      </c>
      <c r="J897" s="10" t="s">
        <v>34</v>
      </c>
      <c r="K897" s="10" t="s">
        <v>45</v>
      </c>
      <c r="L897" s="10" t="s">
        <v>99</v>
      </c>
      <c r="M897" s="10" t="s">
        <v>2255</v>
      </c>
      <c r="N897" s="11">
        <v>79.78</v>
      </c>
      <c r="O897" s="12">
        <v>3</v>
      </c>
      <c r="P897" s="13">
        <v>0.4</v>
      </c>
      <c r="Q897" s="11">
        <v>-17.5</v>
      </c>
    </row>
    <row r="898" spans="1:17" x14ac:dyDescent="0.3">
      <c r="A898" s="2" t="s">
        <v>2256</v>
      </c>
      <c r="B898" s="3">
        <v>44813</v>
      </c>
      <c r="C898" s="3">
        <v>44817</v>
      </c>
      <c r="D898" s="2" t="s">
        <v>39</v>
      </c>
      <c r="E898" s="2" t="s">
        <v>210</v>
      </c>
      <c r="F898" s="4" t="s">
        <v>211</v>
      </c>
      <c r="G898" s="4" t="s">
        <v>42</v>
      </c>
      <c r="H898" s="4" t="s">
        <v>86</v>
      </c>
      <c r="I898" s="4" t="s">
        <v>87</v>
      </c>
      <c r="J898" s="4" t="s">
        <v>88</v>
      </c>
      <c r="K898" s="4" t="s">
        <v>35</v>
      </c>
      <c r="L898" s="4" t="s">
        <v>89</v>
      </c>
      <c r="M898" s="4" t="s">
        <v>2257</v>
      </c>
      <c r="N898" s="5">
        <v>698.08</v>
      </c>
      <c r="O898" s="6">
        <v>8</v>
      </c>
      <c r="P898" s="7">
        <v>0</v>
      </c>
      <c r="Q898" s="5">
        <v>207.72</v>
      </c>
    </row>
    <row r="899" spans="1:17" x14ac:dyDescent="0.3">
      <c r="A899" s="8" t="s">
        <v>2258</v>
      </c>
      <c r="B899" s="9">
        <v>44248</v>
      </c>
      <c r="C899" s="9">
        <v>44250</v>
      </c>
      <c r="D899" s="8" t="s">
        <v>18</v>
      </c>
      <c r="E899" s="8" t="s">
        <v>1101</v>
      </c>
      <c r="F899" s="10" t="s">
        <v>1102</v>
      </c>
      <c r="G899" s="10" t="s">
        <v>42</v>
      </c>
      <c r="H899" s="10" t="s">
        <v>1103</v>
      </c>
      <c r="I899" s="10" t="s">
        <v>172</v>
      </c>
      <c r="J899" s="10" t="s">
        <v>24</v>
      </c>
      <c r="K899" s="10" t="s">
        <v>45</v>
      </c>
      <c r="L899" s="10" t="s">
        <v>99</v>
      </c>
      <c r="M899" s="10" t="s">
        <v>2259</v>
      </c>
      <c r="N899" s="11">
        <v>171.36</v>
      </c>
      <c r="O899" s="12">
        <v>3</v>
      </c>
      <c r="P899" s="13">
        <v>0.4</v>
      </c>
      <c r="Q899" s="11">
        <v>-13.78</v>
      </c>
    </row>
    <row r="900" spans="1:17" x14ac:dyDescent="0.3">
      <c r="A900" s="2" t="s">
        <v>2260</v>
      </c>
      <c r="B900" s="3">
        <v>45036</v>
      </c>
      <c r="C900" s="3">
        <v>45041</v>
      </c>
      <c r="D900" s="2" t="s">
        <v>29</v>
      </c>
      <c r="E900" s="2" t="s">
        <v>400</v>
      </c>
      <c r="F900" s="4" t="s">
        <v>401</v>
      </c>
      <c r="G900" s="4" t="s">
        <v>21</v>
      </c>
      <c r="H900" s="4" t="s">
        <v>129</v>
      </c>
      <c r="I900" s="4" t="s">
        <v>33</v>
      </c>
      <c r="J900" s="4" t="s">
        <v>34</v>
      </c>
      <c r="K900" s="4" t="s">
        <v>35</v>
      </c>
      <c r="L900" s="4" t="s">
        <v>81</v>
      </c>
      <c r="M900" s="4" t="s">
        <v>2261</v>
      </c>
      <c r="N900" s="5">
        <v>192.46</v>
      </c>
      <c r="O900" s="6">
        <v>9</v>
      </c>
      <c r="P900" s="7">
        <v>0.05</v>
      </c>
      <c r="Q900" s="5">
        <v>102.49</v>
      </c>
    </row>
    <row r="901" spans="1:17" x14ac:dyDescent="0.3">
      <c r="A901" s="8" t="s">
        <v>2262</v>
      </c>
      <c r="B901" s="9">
        <v>45499</v>
      </c>
      <c r="C901" s="9">
        <v>45504</v>
      </c>
      <c r="D901" s="8" t="s">
        <v>29</v>
      </c>
      <c r="E901" s="8" t="s">
        <v>30</v>
      </c>
      <c r="F901" s="10" t="s">
        <v>31</v>
      </c>
      <c r="G901" s="10" t="s">
        <v>21</v>
      </c>
      <c r="H901" s="10" t="s">
        <v>32</v>
      </c>
      <c r="I901" s="10" t="s">
        <v>33</v>
      </c>
      <c r="J901" s="10" t="s">
        <v>34</v>
      </c>
      <c r="K901" s="10" t="s">
        <v>25</v>
      </c>
      <c r="L901" s="10" t="s">
        <v>68</v>
      </c>
      <c r="M901" s="10" t="s">
        <v>2263</v>
      </c>
      <c r="N901" s="11">
        <v>40.799999999999997</v>
      </c>
      <c r="O901" s="12">
        <v>3</v>
      </c>
      <c r="P901" s="13">
        <v>0.5</v>
      </c>
      <c r="Q901" s="11">
        <v>-13.42</v>
      </c>
    </row>
    <row r="902" spans="1:17" x14ac:dyDescent="0.3">
      <c r="A902" s="2" t="s">
        <v>2264</v>
      </c>
      <c r="B902" s="3">
        <v>44555</v>
      </c>
      <c r="C902" s="3">
        <v>44558</v>
      </c>
      <c r="D902" s="2" t="s">
        <v>18</v>
      </c>
      <c r="E902" s="2" t="s">
        <v>175</v>
      </c>
      <c r="F902" s="4" t="s">
        <v>176</v>
      </c>
      <c r="G902" s="4" t="s">
        <v>51</v>
      </c>
      <c r="H902" s="4" t="s">
        <v>177</v>
      </c>
      <c r="I902" s="4" t="s">
        <v>178</v>
      </c>
      <c r="J902" s="4" t="s">
        <v>24</v>
      </c>
      <c r="K902" s="4" t="s">
        <v>25</v>
      </c>
      <c r="L902" s="4" t="s">
        <v>124</v>
      </c>
      <c r="M902" s="4" t="s">
        <v>2265</v>
      </c>
      <c r="N902" s="5">
        <v>6939.13</v>
      </c>
      <c r="O902" s="6">
        <v>7</v>
      </c>
      <c r="P902" s="7">
        <v>0.5</v>
      </c>
      <c r="Q902" s="5">
        <v>-2369.64</v>
      </c>
    </row>
    <row r="903" spans="1:17" x14ac:dyDescent="0.3">
      <c r="A903" s="8" t="s">
        <v>2266</v>
      </c>
      <c r="B903" s="9">
        <v>45353</v>
      </c>
      <c r="C903" s="9">
        <v>45357</v>
      </c>
      <c r="D903" s="8" t="s">
        <v>73</v>
      </c>
      <c r="E903" s="8" t="s">
        <v>1166</v>
      </c>
      <c r="F903" s="10" t="s">
        <v>1167</v>
      </c>
      <c r="G903" s="10" t="s">
        <v>21</v>
      </c>
      <c r="H903" s="10" t="s">
        <v>98</v>
      </c>
      <c r="I903" s="10" t="s">
        <v>80</v>
      </c>
      <c r="J903" s="10" t="s">
        <v>54</v>
      </c>
      <c r="K903" s="10" t="s">
        <v>25</v>
      </c>
      <c r="L903" s="10" t="s">
        <v>74</v>
      </c>
      <c r="M903" s="10" t="s">
        <v>2267</v>
      </c>
      <c r="N903" s="11">
        <v>645.12</v>
      </c>
      <c r="O903" s="12">
        <v>9</v>
      </c>
      <c r="P903" s="13">
        <v>0</v>
      </c>
      <c r="Q903" s="11">
        <v>263.8</v>
      </c>
    </row>
    <row r="904" spans="1:17" x14ac:dyDescent="0.3">
      <c r="A904" s="2" t="s">
        <v>2268</v>
      </c>
      <c r="B904" s="3">
        <v>44678</v>
      </c>
      <c r="C904" s="3">
        <v>44681</v>
      </c>
      <c r="D904" s="2" t="s">
        <v>18</v>
      </c>
      <c r="E904" s="2" t="s">
        <v>163</v>
      </c>
      <c r="F904" s="4" t="s">
        <v>164</v>
      </c>
      <c r="G904" s="4" t="s">
        <v>21</v>
      </c>
      <c r="H904" s="4" t="s">
        <v>165</v>
      </c>
      <c r="I904" s="4" t="s">
        <v>44</v>
      </c>
      <c r="J904" s="4" t="s">
        <v>24</v>
      </c>
      <c r="K904" s="4" t="s">
        <v>35</v>
      </c>
      <c r="L904" s="4" t="s">
        <v>166</v>
      </c>
      <c r="M904" s="4" t="s">
        <v>2269</v>
      </c>
      <c r="N904" s="5">
        <v>175.44</v>
      </c>
      <c r="O904" s="6">
        <v>6</v>
      </c>
      <c r="P904" s="7">
        <v>0</v>
      </c>
      <c r="Q904" s="5">
        <v>65.66</v>
      </c>
    </row>
    <row r="905" spans="1:17" x14ac:dyDescent="0.3">
      <c r="A905" s="8" t="s">
        <v>2270</v>
      </c>
      <c r="B905" s="9">
        <v>44199</v>
      </c>
      <c r="C905" s="9">
        <v>44202</v>
      </c>
      <c r="D905" s="8" t="s">
        <v>18</v>
      </c>
      <c r="E905" s="8" t="s">
        <v>850</v>
      </c>
      <c r="F905" s="10" t="s">
        <v>851</v>
      </c>
      <c r="G905" s="10" t="s">
        <v>42</v>
      </c>
      <c r="H905" s="10" t="s">
        <v>183</v>
      </c>
      <c r="I905" s="10" t="s">
        <v>184</v>
      </c>
      <c r="J905" s="10" t="s">
        <v>54</v>
      </c>
      <c r="K905" s="10" t="s">
        <v>45</v>
      </c>
      <c r="L905" s="10" t="s">
        <v>117</v>
      </c>
      <c r="M905" s="10" t="s">
        <v>2271</v>
      </c>
      <c r="N905" s="11">
        <v>1451.69</v>
      </c>
      <c r="O905" s="12">
        <v>7</v>
      </c>
      <c r="P905" s="13">
        <v>0.4</v>
      </c>
      <c r="Q905" s="11">
        <v>-271.64999999999998</v>
      </c>
    </row>
    <row r="906" spans="1:17" x14ac:dyDescent="0.3">
      <c r="A906" s="2" t="s">
        <v>2272</v>
      </c>
      <c r="B906" s="3">
        <v>44204</v>
      </c>
      <c r="C906" s="3">
        <v>44209</v>
      </c>
      <c r="D906" s="2" t="s">
        <v>73</v>
      </c>
      <c r="E906" s="2" t="s">
        <v>191</v>
      </c>
      <c r="F906" s="4" t="s">
        <v>192</v>
      </c>
      <c r="G906" s="4" t="s">
        <v>21</v>
      </c>
      <c r="H906" s="4" t="s">
        <v>193</v>
      </c>
      <c r="I906" s="4" t="s">
        <v>194</v>
      </c>
      <c r="J906" s="4" t="s">
        <v>34</v>
      </c>
      <c r="K906" s="4" t="s">
        <v>45</v>
      </c>
      <c r="L906" s="4" t="s">
        <v>61</v>
      </c>
      <c r="M906" s="4" t="s">
        <v>2273</v>
      </c>
      <c r="N906" s="5">
        <v>560.62</v>
      </c>
      <c r="O906" s="6">
        <v>1</v>
      </c>
      <c r="P906" s="7">
        <v>0.3</v>
      </c>
      <c r="Q906" s="5">
        <v>-124.22</v>
      </c>
    </row>
    <row r="907" spans="1:17" x14ac:dyDescent="0.3">
      <c r="A907" s="8" t="s">
        <v>2274</v>
      </c>
      <c r="B907" s="9">
        <v>44592</v>
      </c>
      <c r="C907" s="9">
        <v>44597</v>
      </c>
      <c r="D907" s="8" t="s">
        <v>73</v>
      </c>
      <c r="E907" s="8" t="s">
        <v>2013</v>
      </c>
      <c r="F907" s="10" t="s">
        <v>2014</v>
      </c>
      <c r="G907" s="10" t="s">
        <v>42</v>
      </c>
      <c r="H907" s="10" t="s">
        <v>177</v>
      </c>
      <c r="I907" s="10" t="s">
        <v>178</v>
      </c>
      <c r="J907" s="10" t="s">
        <v>24</v>
      </c>
      <c r="K907" s="10" t="s">
        <v>25</v>
      </c>
      <c r="L907" s="10" t="s">
        <v>68</v>
      </c>
      <c r="M907" s="10" t="s">
        <v>2275</v>
      </c>
      <c r="N907" s="11">
        <v>70.150000000000006</v>
      </c>
      <c r="O907" s="12">
        <v>4</v>
      </c>
      <c r="P907" s="13">
        <v>0.4</v>
      </c>
      <c r="Q907" s="11">
        <v>2.14</v>
      </c>
    </row>
    <row r="908" spans="1:17" x14ac:dyDescent="0.3">
      <c r="A908" s="2" t="s">
        <v>2276</v>
      </c>
      <c r="B908" s="3">
        <v>45606</v>
      </c>
      <c r="C908" s="3">
        <v>45613</v>
      </c>
      <c r="D908" s="2" t="s">
        <v>29</v>
      </c>
      <c r="E908" s="2" t="s">
        <v>277</v>
      </c>
      <c r="F908" s="4" t="s">
        <v>278</v>
      </c>
      <c r="G908" s="4" t="s">
        <v>21</v>
      </c>
      <c r="H908" s="4" t="s">
        <v>104</v>
      </c>
      <c r="I908" s="4" t="s">
        <v>105</v>
      </c>
      <c r="J908" s="4" t="s">
        <v>88</v>
      </c>
      <c r="K908" s="4" t="s">
        <v>45</v>
      </c>
      <c r="L908" s="4" t="s">
        <v>99</v>
      </c>
      <c r="M908" s="4" t="s">
        <v>2277</v>
      </c>
      <c r="N908" s="5">
        <v>484.02</v>
      </c>
      <c r="O908" s="6">
        <v>6</v>
      </c>
      <c r="P908" s="7">
        <v>0</v>
      </c>
      <c r="Q908" s="5">
        <v>192.86</v>
      </c>
    </row>
    <row r="909" spans="1:17" x14ac:dyDescent="0.3">
      <c r="A909" s="8" t="s">
        <v>2278</v>
      </c>
      <c r="B909" s="9">
        <v>44623</v>
      </c>
      <c r="C909" s="9">
        <v>44627</v>
      </c>
      <c r="D909" s="8" t="s">
        <v>73</v>
      </c>
      <c r="E909" s="8" t="s">
        <v>476</v>
      </c>
      <c r="F909" s="10" t="s">
        <v>477</v>
      </c>
      <c r="G909" s="10" t="s">
        <v>42</v>
      </c>
      <c r="H909" s="10" t="s">
        <v>150</v>
      </c>
      <c r="I909" s="10" t="s">
        <v>151</v>
      </c>
      <c r="J909" s="10" t="s">
        <v>34</v>
      </c>
      <c r="K909" s="10" t="s">
        <v>35</v>
      </c>
      <c r="L909" s="10" t="s">
        <v>229</v>
      </c>
      <c r="M909" s="10" t="s">
        <v>2279</v>
      </c>
      <c r="N909" s="11">
        <v>30.66</v>
      </c>
      <c r="O909" s="12">
        <v>7</v>
      </c>
      <c r="P909" s="13">
        <v>0</v>
      </c>
      <c r="Q909" s="11">
        <v>17.07</v>
      </c>
    </row>
    <row r="910" spans="1:17" x14ac:dyDescent="0.3">
      <c r="A910" s="2" t="s">
        <v>2280</v>
      </c>
      <c r="B910" s="3">
        <v>45191</v>
      </c>
      <c r="C910" s="3">
        <v>45193</v>
      </c>
      <c r="D910" s="2" t="s">
        <v>18</v>
      </c>
      <c r="E910" s="2" t="s">
        <v>610</v>
      </c>
      <c r="F910" s="4" t="s">
        <v>611</v>
      </c>
      <c r="G910" s="4" t="s">
        <v>51</v>
      </c>
      <c r="H910" s="4" t="s">
        <v>346</v>
      </c>
      <c r="I910" s="4" t="s">
        <v>347</v>
      </c>
      <c r="J910" s="4" t="s">
        <v>88</v>
      </c>
      <c r="K910" s="4" t="s">
        <v>25</v>
      </c>
      <c r="L910" s="4" t="s">
        <v>68</v>
      </c>
      <c r="M910" s="4" t="s">
        <v>2281</v>
      </c>
      <c r="N910" s="5">
        <v>483.17</v>
      </c>
      <c r="O910" s="6">
        <v>5</v>
      </c>
      <c r="P910" s="7">
        <v>0.3</v>
      </c>
      <c r="Q910" s="5">
        <v>51.14</v>
      </c>
    </row>
    <row r="911" spans="1:17" x14ac:dyDescent="0.3">
      <c r="A911" s="8" t="s">
        <v>2282</v>
      </c>
      <c r="B911" s="9">
        <v>44387</v>
      </c>
      <c r="C911" s="9">
        <v>44390</v>
      </c>
      <c r="D911" s="8" t="s">
        <v>18</v>
      </c>
      <c r="E911" s="8" t="s">
        <v>1578</v>
      </c>
      <c r="F911" s="10" t="s">
        <v>1579</v>
      </c>
      <c r="G911" s="10" t="s">
        <v>51</v>
      </c>
      <c r="H911" s="10" t="s">
        <v>207</v>
      </c>
      <c r="I911" s="10" t="s">
        <v>60</v>
      </c>
      <c r="J911" s="10" t="s">
        <v>54</v>
      </c>
      <c r="K911" s="10" t="s">
        <v>35</v>
      </c>
      <c r="L911" s="10" t="s">
        <v>89</v>
      </c>
      <c r="M911" s="10" t="s">
        <v>2283</v>
      </c>
      <c r="N911" s="11">
        <v>857.46</v>
      </c>
      <c r="O911" s="12">
        <v>6</v>
      </c>
      <c r="P911" s="13">
        <v>0.5</v>
      </c>
      <c r="Q911" s="11">
        <v>-120.72</v>
      </c>
    </row>
    <row r="912" spans="1:17" x14ac:dyDescent="0.3">
      <c r="A912" s="2" t="s">
        <v>2284</v>
      </c>
      <c r="B912" s="3">
        <v>45370</v>
      </c>
      <c r="C912" s="3">
        <v>45376</v>
      </c>
      <c r="D912" s="2" t="s">
        <v>29</v>
      </c>
      <c r="E912" s="2" t="s">
        <v>813</v>
      </c>
      <c r="F912" s="4" t="s">
        <v>814</v>
      </c>
      <c r="G912" s="4" t="s">
        <v>51</v>
      </c>
      <c r="H912" s="4" t="s">
        <v>134</v>
      </c>
      <c r="I912" s="4" t="s">
        <v>87</v>
      </c>
      <c r="J912" s="4" t="s">
        <v>88</v>
      </c>
      <c r="K912" s="4" t="s">
        <v>35</v>
      </c>
      <c r="L912" s="4" t="s">
        <v>81</v>
      </c>
      <c r="M912" s="4" t="s">
        <v>2285</v>
      </c>
      <c r="N912" s="5">
        <v>61.67</v>
      </c>
      <c r="O912" s="6">
        <v>5</v>
      </c>
      <c r="P912" s="7">
        <v>0.15</v>
      </c>
      <c r="Q912" s="5">
        <v>27.69</v>
      </c>
    </row>
    <row r="913" spans="1:17" x14ac:dyDescent="0.3">
      <c r="A913" s="8" t="s">
        <v>2286</v>
      </c>
      <c r="B913" s="9">
        <v>45641</v>
      </c>
      <c r="C913" s="9">
        <v>45644</v>
      </c>
      <c r="D913" s="8" t="s">
        <v>39</v>
      </c>
      <c r="E913" s="8" t="s">
        <v>232</v>
      </c>
      <c r="F913" s="10" t="s">
        <v>233</v>
      </c>
      <c r="G913" s="10" t="s">
        <v>21</v>
      </c>
      <c r="H913" s="10" t="s">
        <v>156</v>
      </c>
      <c r="I913" s="10" t="s">
        <v>157</v>
      </c>
      <c r="J913" s="10" t="s">
        <v>88</v>
      </c>
      <c r="K913" s="10" t="s">
        <v>35</v>
      </c>
      <c r="L913" s="10" t="s">
        <v>158</v>
      </c>
      <c r="M913" s="10" t="s">
        <v>2287</v>
      </c>
      <c r="N913" s="11">
        <v>14.26</v>
      </c>
      <c r="O913" s="12">
        <v>9</v>
      </c>
      <c r="P913" s="13">
        <v>0.4</v>
      </c>
      <c r="Q913" s="11">
        <v>0.17</v>
      </c>
    </row>
    <row r="914" spans="1:17" x14ac:dyDescent="0.3">
      <c r="A914" s="2" t="s">
        <v>2288</v>
      </c>
      <c r="B914" s="3">
        <v>44826</v>
      </c>
      <c r="C914" s="3">
        <v>44829</v>
      </c>
      <c r="D914" s="2" t="s">
        <v>39</v>
      </c>
      <c r="E914" s="2" t="s">
        <v>1047</v>
      </c>
      <c r="F914" s="4" t="s">
        <v>1048</v>
      </c>
      <c r="G914" s="4" t="s">
        <v>42</v>
      </c>
      <c r="H914" s="4" t="s">
        <v>79</v>
      </c>
      <c r="I914" s="4" t="s">
        <v>80</v>
      </c>
      <c r="J914" s="4" t="s">
        <v>54</v>
      </c>
      <c r="K914" s="4" t="s">
        <v>45</v>
      </c>
      <c r="L914" s="4" t="s">
        <v>117</v>
      </c>
      <c r="M914" s="4" t="s">
        <v>2289</v>
      </c>
      <c r="N914" s="5">
        <v>886.06</v>
      </c>
      <c r="O914" s="6">
        <v>10</v>
      </c>
      <c r="P914" s="7">
        <v>0.3</v>
      </c>
      <c r="Q914" s="5">
        <v>-89.21</v>
      </c>
    </row>
    <row r="915" spans="1:17" x14ac:dyDescent="0.3">
      <c r="A915" s="8" t="s">
        <v>2290</v>
      </c>
      <c r="B915" s="9">
        <v>45583</v>
      </c>
      <c r="C915" s="9">
        <v>45589</v>
      </c>
      <c r="D915" s="8" t="s">
        <v>29</v>
      </c>
      <c r="E915" s="8" t="s">
        <v>1148</v>
      </c>
      <c r="F915" s="10" t="s">
        <v>1149</v>
      </c>
      <c r="G915" s="10" t="s">
        <v>51</v>
      </c>
      <c r="H915" s="10" t="s">
        <v>150</v>
      </c>
      <c r="I915" s="10" t="s">
        <v>151</v>
      </c>
      <c r="J915" s="10" t="s">
        <v>34</v>
      </c>
      <c r="K915" s="10" t="s">
        <v>25</v>
      </c>
      <c r="L915" s="10" t="s">
        <v>124</v>
      </c>
      <c r="M915" s="10" t="s">
        <v>2291</v>
      </c>
      <c r="N915" s="11">
        <v>3497.42</v>
      </c>
      <c r="O915" s="12">
        <v>2</v>
      </c>
      <c r="P915" s="13">
        <v>0.05</v>
      </c>
      <c r="Q915" s="11">
        <v>578.28</v>
      </c>
    </row>
    <row r="916" spans="1:17" x14ac:dyDescent="0.3">
      <c r="A916" s="2" t="s">
        <v>2292</v>
      </c>
      <c r="B916" s="3">
        <v>45531</v>
      </c>
      <c r="C916" s="3">
        <v>45536</v>
      </c>
      <c r="D916" s="2" t="s">
        <v>29</v>
      </c>
      <c r="E916" s="2" t="s">
        <v>701</v>
      </c>
      <c r="F916" s="4" t="s">
        <v>702</v>
      </c>
      <c r="G916" s="4" t="s">
        <v>21</v>
      </c>
      <c r="H916" s="4" t="s">
        <v>43</v>
      </c>
      <c r="I916" s="4" t="s">
        <v>44</v>
      </c>
      <c r="J916" s="4" t="s">
        <v>24</v>
      </c>
      <c r="K916" s="4" t="s">
        <v>35</v>
      </c>
      <c r="L916" s="4" t="s">
        <v>216</v>
      </c>
      <c r="M916" s="4" t="s">
        <v>2293</v>
      </c>
      <c r="N916" s="5">
        <v>195.48</v>
      </c>
      <c r="O916" s="6">
        <v>10</v>
      </c>
      <c r="P916" s="7">
        <v>0.4</v>
      </c>
      <c r="Q916" s="5">
        <v>5.15</v>
      </c>
    </row>
    <row r="917" spans="1:17" x14ac:dyDescent="0.3">
      <c r="A917" s="8" t="s">
        <v>2294</v>
      </c>
      <c r="B917" s="9">
        <v>45437</v>
      </c>
      <c r="C917" s="9">
        <v>45441</v>
      </c>
      <c r="D917" s="8" t="s">
        <v>73</v>
      </c>
      <c r="E917" s="8" t="s">
        <v>360</v>
      </c>
      <c r="F917" s="10" t="s">
        <v>361</v>
      </c>
      <c r="G917" s="10" t="s">
        <v>42</v>
      </c>
      <c r="H917" s="10" t="s">
        <v>346</v>
      </c>
      <c r="I917" s="10" t="s">
        <v>347</v>
      </c>
      <c r="J917" s="10" t="s">
        <v>88</v>
      </c>
      <c r="K917" s="10" t="s">
        <v>25</v>
      </c>
      <c r="L917" s="10" t="s">
        <v>74</v>
      </c>
      <c r="M917" s="10" t="s">
        <v>2295</v>
      </c>
      <c r="N917" s="11">
        <v>1025.3499999999999</v>
      </c>
      <c r="O917" s="12">
        <v>4</v>
      </c>
      <c r="P917" s="13">
        <v>0.05</v>
      </c>
      <c r="Q917" s="11">
        <v>369.29</v>
      </c>
    </row>
    <row r="918" spans="1:17" x14ac:dyDescent="0.3">
      <c r="A918" s="2" t="s">
        <v>2296</v>
      </c>
      <c r="B918" s="3">
        <v>44705</v>
      </c>
      <c r="C918" s="3">
        <v>44708</v>
      </c>
      <c r="D918" s="2" t="s">
        <v>39</v>
      </c>
      <c r="E918" s="2" t="s">
        <v>248</v>
      </c>
      <c r="F918" s="4" t="s">
        <v>249</v>
      </c>
      <c r="G918" s="4" t="s">
        <v>51</v>
      </c>
      <c r="H918" s="4" t="s">
        <v>250</v>
      </c>
      <c r="I918" s="4" t="s">
        <v>251</v>
      </c>
      <c r="J918" s="4" t="s">
        <v>88</v>
      </c>
      <c r="K918" s="4" t="s">
        <v>35</v>
      </c>
      <c r="L918" s="4" t="s">
        <v>36</v>
      </c>
      <c r="M918" s="4" t="s">
        <v>2297</v>
      </c>
      <c r="N918" s="5">
        <v>463.8</v>
      </c>
      <c r="O918" s="6">
        <v>6</v>
      </c>
      <c r="P918" s="7">
        <v>0</v>
      </c>
      <c r="Q918" s="5">
        <v>225.13</v>
      </c>
    </row>
    <row r="919" spans="1:17" x14ac:dyDescent="0.3">
      <c r="A919" s="8" t="s">
        <v>2298</v>
      </c>
      <c r="B919" s="9">
        <v>45222</v>
      </c>
      <c r="C919" s="9">
        <v>45225</v>
      </c>
      <c r="D919" s="8" t="s">
        <v>18</v>
      </c>
      <c r="E919" s="8" t="s">
        <v>753</v>
      </c>
      <c r="F919" s="10" t="s">
        <v>754</v>
      </c>
      <c r="G919" s="10" t="s">
        <v>42</v>
      </c>
      <c r="H919" s="10" t="s">
        <v>22</v>
      </c>
      <c r="I919" s="10" t="s">
        <v>23</v>
      </c>
      <c r="J919" s="10" t="s">
        <v>24</v>
      </c>
      <c r="K919" s="10" t="s">
        <v>45</v>
      </c>
      <c r="L919" s="10" t="s">
        <v>61</v>
      </c>
      <c r="M919" s="10" t="s">
        <v>2299</v>
      </c>
      <c r="N919" s="11">
        <v>1465.76</v>
      </c>
      <c r="O919" s="12">
        <v>7</v>
      </c>
      <c r="P919" s="13">
        <v>0.1</v>
      </c>
      <c r="Q919" s="11">
        <v>-49.99</v>
      </c>
    </row>
    <row r="920" spans="1:17" x14ac:dyDescent="0.3">
      <c r="A920" s="2" t="s">
        <v>2300</v>
      </c>
      <c r="B920" s="3">
        <v>45172</v>
      </c>
      <c r="C920" s="3">
        <v>45178</v>
      </c>
      <c r="D920" s="2" t="s">
        <v>29</v>
      </c>
      <c r="E920" s="2" t="s">
        <v>809</v>
      </c>
      <c r="F920" s="4" t="s">
        <v>810</v>
      </c>
      <c r="G920" s="4" t="s">
        <v>42</v>
      </c>
      <c r="H920" s="4" t="s">
        <v>352</v>
      </c>
      <c r="I920" s="4" t="s">
        <v>306</v>
      </c>
      <c r="J920" s="4" t="s">
        <v>34</v>
      </c>
      <c r="K920" s="4" t="s">
        <v>35</v>
      </c>
      <c r="L920" s="4" t="s">
        <v>110</v>
      </c>
      <c r="M920" s="4" t="s">
        <v>2301</v>
      </c>
      <c r="N920" s="5">
        <v>46.32</v>
      </c>
      <c r="O920" s="6">
        <v>4</v>
      </c>
      <c r="P920" s="7">
        <v>0.4</v>
      </c>
      <c r="Q920" s="5">
        <v>4.07</v>
      </c>
    </row>
    <row r="921" spans="1:17" x14ac:dyDescent="0.3">
      <c r="A921" s="8" t="s">
        <v>2302</v>
      </c>
      <c r="B921" s="9">
        <v>44831</v>
      </c>
      <c r="C921" s="9">
        <v>44834</v>
      </c>
      <c r="D921" s="8" t="s">
        <v>18</v>
      </c>
      <c r="E921" s="8" t="s">
        <v>322</v>
      </c>
      <c r="F921" s="10" t="s">
        <v>323</v>
      </c>
      <c r="G921" s="10" t="s">
        <v>42</v>
      </c>
      <c r="H921" s="10" t="s">
        <v>324</v>
      </c>
      <c r="I921" s="10" t="s">
        <v>116</v>
      </c>
      <c r="J921" s="10" t="s">
        <v>54</v>
      </c>
      <c r="K921" s="10" t="s">
        <v>25</v>
      </c>
      <c r="L921" s="10" t="s">
        <v>68</v>
      </c>
      <c r="M921" s="10" t="s">
        <v>2303</v>
      </c>
      <c r="N921" s="11">
        <v>335.64</v>
      </c>
      <c r="O921" s="12">
        <v>4</v>
      </c>
      <c r="P921" s="13">
        <v>0</v>
      </c>
      <c r="Q921" s="11">
        <v>114.36</v>
      </c>
    </row>
    <row r="922" spans="1:17" x14ac:dyDescent="0.3">
      <c r="A922" s="2" t="s">
        <v>2304</v>
      </c>
      <c r="B922" s="3">
        <v>44884</v>
      </c>
      <c r="C922" s="3">
        <v>44889</v>
      </c>
      <c r="D922" s="2" t="s">
        <v>29</v>
      </c>
      <c r="E922" s="2" t="s">
        <v>248</v>
      </c>
      <c r="F922" s="4" t="s">
        <v>249</v>
      </c>
      <c r="G922" s="4" t="s">
        <v>51</v>
      </c>
      <c r="H922" s="4" t="s">
        <v>250</v>
      </c>
      <c r="I922" s="4" t="s">
        <v>251</v>
      </c>
      <c r="J922" s="4" t="s">
        <v>88</v>
      </c>
      <c r="K922" s="4" t="s">
        <v>25</v>
      </c>
      <c r="L922" s="4" t="s">
        <v>124</v>
      </c>
      <c r="M922" s="4" t="s">
        <v>2305</v>
      </c>
      <c r="N922" s="5">
        <v>5959.52</v>
      </c>
      <c r="O922" s="6">
        <v>4</v>
      </c>
      <c r="P922" s="7">
        <v>0</v>
      </c>
      <c r="Q922" s="5">
        <v>1401.12</v>
      </c>
    </row>
    <row r="923" spans="1:17" x14ac:dyDescent="0.3">
      <c r="A923" s="8" t="s">
        <v>2306</v>
      </c>
      <c r="B923" s="9">
        <v>44776</v>
      </c>
      <c r="C923" s="9">
        <v>44780</v>
      </c>
      <c r="D923" s="8" t="s">
        <v>39</v>
      </c>
      <c r="E923" s="8" t="s">
        <v>723</v>
      </c>
      <c r="F923" s="10" t="s">
        <v>724</v>
      </c>
      <c r="G923" s="10" t="s">
        <v>21</v>
      </c>
      <c r="H923" s="10" t="s">
        <v>98</v>
      </c>
      <c r="I923" s="10" t="s">
        <v>80</v>
      </c>
      <c r="J923" s="10" t="s">
        <v>54</v>
      </c>
      <c r="K923" s="10" t="s">
        <v>35</v>
      </c>
      <c r="L923" s="10" t="s">
        <v>110</v>
      </c>
      <c r="M923" s="10" t="s">
        <v>2307</v>
      </c>
      <c r="N923" s="11">
        <v>215.53</v>
      </c>
      <c r="O923" s="12">
        <v>7</v>
      </c>
      <c r="P923" s="13">
        <v>0</v>
      </c>
      <c r="Q923" s="11">
        <v>96.03</v>
      </c>
    </row>
    <row r="924" spans="1:17" x14ac:dyDescent="0.3">
      <c r="A924" s="2" t="s">
        <v>2308</v>
      </c>
      <c r="B924" s="3">
        <v>44823</v>
      </c>
      <c r="C924" s="3">
        <v>44828</v>
      </c>
      <c r="D924" s="2" t="s">
        <v>73</v>
      </c>
      <c r="E924" s="2" t="s">
        <v>436</v>
      </c>
      <c r="F924" s="4" t="s">
        <v>437</v>
      </c>
      <c r="G924" s="4" t="s">
        <v>51</v>
      </c>
      <c r="H924" s="4" t="s">
        <v>438</v>
      </c>
      <c r="I924" s="4" t="s">
        <v>157</v>
      </c>
      <c r="J924" s="4" t="s">
        <v>88</v>
      </c>
      <c r="K924" s="4" t="s">
        <v>45</v>
      </c>
      <c r="L924" s="4" t="s">
        <v>117</v>
      </c>
      <c r="M924" s="4" t="s">
        <v>2309</v>
      </c>
      <c r="N924" s="5">
        <v>1528.5</v>
      </c>
      <c r="O924" s="6">
        <v>8</v>
      </c>
      <c r="P924" s="7">
        <v>0.15</v>
      </c>
      <c r="Q924" s="5">
        <v>200.29</v>
      </c>
    </row>
    <row r="925" spans="1:17" x14ac:dyDescent="0.3">
      <c r="A925" s="8" t="s">
        <v>2310</v>
      </c>
      <c r="B925" s="9">
        <v>45407</v>
      </c>
      <c r="C925" s="9">
        <v>45409</v>
      </c>
      <c r="D925" s="8" t="s">
        <v>18</v>
      </c>
      <c r="E925" s="8" t="s">
        <v>223</v>
      </c>
      <c r="F925" s="10" t="s">
        <v>224</v>
      </c>
      <c r="G925" s="10" t="s">
        <v>21</v>
      </c>
      <c r="H925" s="10" t="s">
        <v>59</v>
      </c>
      <c r="I925" s="10" t="s">
        <v>60</v>
      </c>
      <c r="J925" s="10" t="s">
        <v>54</v>
      </c>
      <c r="K925" s="10" t="s">
        <v>45</v>
      </c>
      <c r="L925" s="10" t="s">
        <v>61</v>
      </c>
      <c r="M925" s="10" t="s">
        <v>2311</v>
      </c>
      <c r="N925" s="11">
        <v>2320.1799999999998</v>
      </c>
      <c r="O925" s="12">
        <v>6</v>
      </c>
      <c r="P925" s="13">
        <v>0.05</v>
      </c>
      <c r="Q925" s="11">
        <v>-0.56000000000000005</v>
      </c>
    </row>
    <row r="926" spans="1:17" x14ac:dyDescent="0.3">
      <c r="A926" s="2" t="s">
        <v>2312</v>
      </c>
      <c r="B926" s="3">
        <v>44319</v>
      </c>
      <c r="C926" s="3">
        <v>44326</v>
      </c>
      <c r="D926" s="2" t="s">
        <v>29</v>
      </c>
      <c r="E926" s="2" t="s">
        <v>1011</v>
      </c>
      <c r="F926" s="4" t="s">
        <v>1012</v>
      </c>
      <c r="G926" s="4" t="s">
        <v>21</v>
      </c>
      <c r="H926" s="4" t="s">
        <v>59</v>
      </c>
      <c r="I926" s="4" t="s">
        <v>60</v>
      </c>
      <c r="J926" s="4" t="s">
        <v>54</v>
      </c>
      <c r="K926" s="4" t="s">
        <v>35</v>
      </c>
      <c r="L926" s="4" t="s">
        <v>89</v>
      </c>
      <c r="M926" s="4" t="s">
        <v>2313</v>
      </c>
      <c r="N926" s="5">
        <v>213.93</v>
      </c>
      <c r="O926" s="6">
        <v>1</v>
      </c>
      <c r="P926" s="7">
        <v>0.1</v>
      </c>
      <c r="Q926" s="5">
        <v>74.209999999999994</v>
      </c>
    </row>
    <row r="927" spans="1:17" x14ac:dyDescent="0.3">
      <c r="A927" s="8" t="s">
        <v>2314</v>
      </c>
      <c r="B927" s="9">
        <v>44887</v>
      </c>
      <c r="C927" s="9">
        <v>44889</v>
      </c>
      <c r="D927" s="8" t="s">
        <v>18</v>
      </c>
      <c r="E927" s="8" t="s">
        <v>1284</v>
      </c>
      <c r="F927" s="10" t="s">
        <v>1285</v>
      </c>
      <c r="G927" s="10" t="s">
        <v>21</v>
      </c>
      <c r="H927" s="10" t="s">
        <v>150</v>
      </c>
      <c r="I927" s="10" t="s">
        <v>151</v>
      </c>
      <c r="J927" s="10" t="s">
        <v>34</v>
      </c>
      <c r="K927" s="10" t="s">
        <v>45</v>
      </c>
      <c r="L927" s="10" t="s">
        <v>61</v>
      </c>
      <c r="M927" s="10" t="s">
        <v>2315</v>
      </c>
      <c r="N927" s="11">
        <v>2038.36</v>
      </c>
      <c r="O927" s="12">
        <v>5</v>
      </c>
      <c r="P927" s="13">
        <v>0.3</v>
      </c>
      <c r="Q927" s="11">
        <v>-569.91999999999996</v>
      </c>
    </row>
    <row r="928" spans="1:17" x14ac:dyDescent="0.3">
      <c r="A928" s="2" t="s">
        <v>2316</v>
      </c>
      <c r="B928" s="3">
        <v>45059</v>
      </c>
      <c r="C928" s="3">
        <v>45062</v>
      </c>
      <c r="D928" s="2" t="s">
        <v>39</v>
      </c>
      <c r="E928" s="2" t="s">
        <v>543</v>
      </c>
      <c r="F928" s="4" t="s">
        <v>544</v>
      </c>
      <c r="G928" s="4" t="s">
        <v>42</v>
      </c>
      <c r="H928" s="4" t="s">
        <v>346</v>
      </c>
      <c r="I928" s="4" t="s">
        <v>347</v>
      </c>
      <c r="J928" s="4" t="s">
        <v>88</v>
      </c>
      <c r="K928" s="4" t="s">
        <v>45</v>
      </c>
      <c r="L928" s="4" t="s">
        <v>61</v>
      </c>
      <c r="M928" s="4" t="s">
        <v>2317</v>
      </c>
      <c r="N928" s="5">
        <v>1852.92</v>
      </c>
      <c r="O928" s="6">
        <v>8</v>
      </c>
      <c r="P928" s="7">
        <v>0.5</v>
      </c>
      <c r="Q928" s="5">
        <v>-1620.97</v>
      </c>
    </row>
    <row r="929" spans="1:17" x14ac:dyDescent="0.3">
      <c r="A929" s="8" t="s">
        <v>2318</v>
      </c>
      <c r="B929" s="9">
        <v>44463</v>
      </c>
      <c r="C929" s="9">
        <v>44464</v>
      </c>
      <c r="D929" s="8" t="s">
        <v>18</v>
      </c>
      <c r="E929" s="8" t="s">
        <v>588</v>
      </c>
      <c r="F929" s="10" t="s">
        <v>589</v>
      </c>
      <c r="G929" s="10" t="s">
        <v>42</v>
      </c>
      <c r="H929" s="10" t="s">
        <v>397</v>
      </c>
      <c r="I929" s="10" t="s">
        <v>33</v>
      </c>
      <c r="J929" s="10" t="s">
        <v>34</v>
      </c>
      <c r="K929" s="10" t="s">
        <v>45</v>
      </c>
      <c r="L929" s="10" t="s">
        <v>61</v>
      </c>
      <c r="M929" s="10" t="s">
        <v>2319</v>
      </c>
      <c r="N929" s="11">
        <v>1525.5</v>
      </c>
      <c r="O929" s="12">
        <v>2</v>
      </c>
      <c r="P929" s="13">
        <v>0</v>
      </c>
      <c r="Q929" s="11">
        <v>259.41000000000003</v>
      </c>
    </row>
    <row r="930" spans="1:17" x14ac:dyDescent="0.3">
      <c r="A930" s="2" t="s">
        <v>2320</v>
      </c>
      <c r="B930" s="3">
        <v>45591</v>
      </c>
      <c r="C930" s="3">
        <v>45592</v>
      </c>
      <c r="D930" s="2" t="s">
        <v>18</v>
      </c>
      <c r="E930" s="2" t="s">
        <v>614</v>
      </c>
      <c r="F930" s="4" t="s">
        <v>615</v>
      </c>
      <c r="G930" s="4" t="s">
        <v>21</v>
      </c>
      <c r="H930" s="4" t="s">
        <v>139</v>
      </c>
      <c r="I930" s="4" t="s">
        <v>140</v>
      </c>
      <c r="J930" s="4" t="s">
        <v>833</v>
      </c>
      <c r="K930" s="4" t="s">
        <v>25</v>
      </c>
      <c r="L930" s="4" t="s">
        <v>68</v>
      </c>
      <c r="M930" s="4" t="s">
        <v>2321</v>
      </c>
      <c r="N930" s="5">
        <v>165.09</v>
      </c>
      <c r="O930" s="6">
        <v>6</v>
      </c>
      <c r="P930" s="7">
        <v>0.5</v>
      </c>
      <c r="Q930" s="5">
        <v>-26.22</v>
      </c>
    </row>
    <row r="931" spans="1:17" x14ac:dyDescent="0.3">
      <c r="A931" s="8" t="s">
        <v>2322</v>
      </c>
      <c r="B931" s="9">
        <v>44836</v>
      </c>
      <c r="C931" s="9">
        <v>44833</v>
      </c>
      <c r="D931" s="8" t="s">
        <v>29</v>
      </c>
      <c r="E931" s="8" t="s">
        <v>120</v>
      </c>
      <c r="F931" s="10" t="s">
        <v>121</v>
      </c>
      <c r="G931" s="10" t="s">
        <v>21</v>
      </c>
      <c r="H931" s="10" t="s">
        <v>122</v>
      </c>
      <c r="I931" s="10" t="s">
        <v>123</v>
      </c>
      <c r="J931" s="10" t="s">
        <v>24</v>
      </c>
      <c r="K931" s="10" t="s">
        <v>25</v>
      </c>
      <c r="L931" s="10" t="s">
        <v>68</v>
      </c>
      <c r="M931" s="10" t="s">
        <v>2323</v>
      </c>
      <c r="N931" s="11">
        <v>67.91</v>
      </c>
      <c r="O931" s="12">
        <v>2</v>
      </c>
      <c r="P931" s="13">
        <v>0.4</v>
      </c>
      <c r="Q931" s="11">
        <v>-5.4</v>
      </c>
    </row>
    <row r="932" spans="1:17" x14ac:dyDescent="0.3">
      <c r="A932" s="2" t="s">
        <v>2324</v>
      </c>
      <c r="B932" s="3">
        <v>44623</v>
      </c>
      <c r="C932" s="3">
        <v>44625</v>
      </c>
      <c r="D932" s="2" t="s">
        <v>18</v>
      </c>
      <c r="E932" s="2" t="s">
        <v>1464</v>
      </c>
      <c r="F932" s="4" t="s">
        <v>1465</v>
      </c>
      <c r="G932" s="4" t="s">
        <v>21</v>
      </c>
      <c r="H932" s="4" t="s">
        <v>438</v>
      </c>
      <c r="I932" s="4" t="s">
        <v>157</v>
      </c>
      <c r="J932" s="4" t="s">
        <v>88</v>
      </c>
      <c r="K932" s="4" t="s">
        <v>25</v>
      </c>
      <c r="L932" s="4" t="s">
        <v>68</v>
      </c>
      <c r="M932" s="4" t="s">
        <v>2325</v>
      </c>
      <c r="N932" s="5">
        <v>57.41</v>
      </c>
      <c r="O932" s="6">
        <v>2</v>
      </c>
      <c r="P932" s="7">
        <v>0.4</v>
      </c>
      <c r="Q932" s="5">
        <v>-2.54</v>
      </c>
    </row>
    <row r="933" spans="1:17" x14ac:dyDescent="0.3">
      <c r="A933" s="8" t="s">
        <v>2326</v>
      </c>
      <c r="B933" s="9">
        <v>44970</v>
      </c>
      <c r="C933" s="9">
        <v>44976</v>
      </c>
      <c r="D933" s="8" t="s">
        <v>29</v>
      </c>
      <c r="E933" s="8" t="s">
        <v>1015</v>
      </c>
      <c r="F933" s="10" t="s">
        <v>1016</v>
      </c>
      <c r="G933" s="10" t="s">
        <v>42</v>
      </c>
      <c r="H933" s="10" t="s">
        <v>134</v>
      </c>
      <c r="I933" s="10" t="s">
        <v>87</v>
      </c>
      <c r="J933" s="10" t="s">
        <v>88</v>
      </c>
      <c r="K933" s="10" t="s">
        <v>25</v>
      </c>
      <c r="L933" s="10" t="s">
        <v>68</v>
      </c>
      <c r="M933" s="10" t="s">
        <v>2327</v>
      </c>
      <c r="N933" s="11">
        <v>524.97</v>
      </c>
      <c r="O933" s="12">
        <v>3</v>
      </c>
      <c r="P933" s="13">
        <v>0</v>
      </c>
      <c r="Q933" s="11">
        <v>227.36</v>
      </c>
    </row>
    <row r="934" spans="1:17" x14ac:dyDescent="0.3">
      <c r="A934" s="2" t="s">
        <v>2328</v>
      </c>
      <c r="B934" s="3">
        <v>45582</v>
      </c>
      <c r="C934" s="3">
        <v>45584</v>
      </c>
      <c r="D934" s="2" t="s">
        <v>18</v>
      </c>
      <c r="E934" s="2" t="s">
        <v>1136</v>
      </c>
      <c r="F934" s="4" t="s">
        <v>1137</v>
      </c>
      <c r="G934" s="4" t="s">
        <v>51</v>
      </c>
      <c r="H934" s="4" t="s">
        <v>386</v>
      </c>
      <c r="I934" s="4" t="s">
        <v>347</v>
      </c>
      <c r="J934" s="4" t="s">
        <v>88</v>
      </c>
      <c r="K934" s="4" t="s">
        <v>35</v>
      </c>
      <c r="L934" s="4" t="s">
        <v>110</v>
      </c>
      <c r="M934" s="4" t="s">
        <v>2329</v>
      </c>
      <c r="N934" s="5">
        <v>104.85</v>
      </c>
      <c r="O934" s="6">
        <v>5</v>
      </c>
      <c r="P934" s="7">
        <v>0.1</v>
      </c>
      <c r="Q934" s="5">
        <v>47.82</v>
      </c>
    </row>
    <row r="935" spans="1:17" x14ac:dyDescent="0.3">
      <c r="A935" s="8" t="s">
        <v>2330</v>
      </c>
      <c r="B935" s="9">
        <v>45587</v>
      </c>
      <c r="C935" s="9">
        <v>45589</v>
      </c>
      <c r="D935" s="8" t="s">
        <v>18</v>
      </c>
      <c r="E935" s="8" t="s">
        <v>265</v>
      </c>
      <c r="F935" s="10" t="s">
        <v>266</v>
      </c>
      <c r="G935" s="10" t="s">
        <v>21</v>
      </c>
      <c r="H935" s="10" t="s">
        <v>171</v>
      </c>
      <c r="I935" s="10" t="s">
        <v>172</v>
      </c>
      <c r="J935" s="10" t="s">
        <v>24</v>
      </c>
      <c r="K935" s="10" t="s">
        <v>25</v>
      </c>
      <c r="L935" s="10" t="s">
        <v>26</v>
      </c>
      <c r="M935" s="10" t="s">
        <v>2331</v>
      </c>
      <c r="N935" s="11">
        <v>8199.7999999999993</v>
      </c>
      <c r="O935" s="12">
        <v>10</v>
      </c>
      <c r="P935" s="13">
        <v>0</v>
      </c>
      <c r="Q935" s="11">
        <v>1502.08</v>
      </c>
    </row>
    <row r="936" spans="1:17" x14ac:dyDescent="0.3">
      <c r="A936" s="2" t="s">
        <v>2332</v>
      </c>
      <c r="B936" s="3">
        <v>45203</v>
      </c>
      <c r="C936" s="3">
        <v>45208</v>
      </c>
      <c r="D936" s="2" t="s">
        <v>29</v>
      </c>
      <c r="E936" s="2" t="s">
        <v>293</v>
      </c>
      <c r="F936" s="4" t="s">
        <v>294</v>
      </c>
      <c r="G936" s="4" t="s">
        <v>21</v>
      </c>
      <c r="H936" s="4" t="s">
        <v>193</v>
      </c>
      <c r="I936" s="4" t="s">
        <v>194</v>
      </c>
      <c r="J936" s="4" t="s">
        <v>34</v>
      </c>
      <c r="K936" s="4" t="s">
        <v>35</v>
      </c>
      <c r="L936" s="4" t="s">
        <v>166</v>
      </c>
      <c r="M936" s="4" t="s">
        <v>2333</v>
      </c>
      <c r="N936" s="5">
        <v>335.92</v>
      </c>
      <c r="O936" s="6">
        <v>8</v>
      </c>
      <c r="P936" s="7">
        <v>0</v>
      </c>
      <c r="Q936" s="5">
        <v>124.18</v>
      </c>
    </row>
    <row r="937" spans="1:17" x14ac:dyDescent="0.3">
      <c r="A937" s="8" t="s">
        <v>2334</v>
      </c>
      <c r="B937" s="9">
        <v>45316</v>
      </c>
      <c r="C937" s="9">
        <v>45317</v>
      </c>
      <c r="D937" s="8" t="s">
        <v>18</v>
      </c>
      <c r="E937" s="8" t="s">
        <v>1300</v>
      </c>
      <c r="F937" s="10" t="s">
        <v>1301</v>
      </c>
      <c r="G937" s="10" t="s">
        <v>51</v>
      </c>
      <c r="H937" s="10" t="s">
        <v>319</v>
      </c>
      <c r="I937" s="10" t="s">
        <v>194</v>
      </c>
      <c r="J937" s="10" t="s">
        <v>34</v>
      </c>
      <c r="K937" s="10" t="s">
        <v>25</v>
      </c>
      <c r="L937" s="10" t="s">
        <v>74</v>
      </c>
      <c r="M937" s="10" t="s">
        <v>2335</v>
      </c>
      <c r="N937" s="11">
        <v>2309.04</v>
      </c>
      <c r="O937" s="12">
        <v>6</v>
      </c>
      <c r="P937" s="13">
        <v>0</v>
      </c>
      <c r="Q937" s="11">
        <v>1010.45</v>
      </c>
    </row>
    <row r="938" spans="1:17" x14ac:dyDescent="0.3">
      <c r="A938" s="2" t="s">
        <v>2336</v>
      </c>
      <c r="B938" s="3">
        <v>44282</v>
      </c>
      <c r="C938" s="3">
        <v>44287</v>
      </c>
      <c r="D938" s="2" t="s">
        <v>29</v>
      </c>
      <c r="E938" s="2" t="s">
        <v>1352</v>
      </c>
      <c r="F938" s="4" t="s">
        <v>1353</v>
      </c>
      <c r="G938" s="4" t="s">
        <v>42</v>
      </c>
      <c r="H938" s="4" t="s">
        <v>207</v>
      </c>
      <c r="I938" s="4" t="s">
        <v>60</v>
      </c>
      <c r="J938" s="4" t="s">
        <v>54</v>
      </c>
      <c r="K938" s="4" t="s">
        <v>45</v>
      </c>
      <c r="L938" s="4" t="s">
        <v>46</v>
      </c>
      <c r="M938" s="4" t="s">
        <v>2337</v>
      </c>
      <c r="N938" s="5">
        <v>6427.9</v>
      </c>
      <c r="O938" s="6">
        <v>10</v>
      </c>
      <c r="P938" s="7">
        <v>0</v>
      </c>
      <c r="Q938" s="5">
        <v>1916.94</v>
      </c>
    </row>
    <row r="939" spans="1:17" x14ac:dyDescent="0.3">
      <c r="A939" s="8" t="s">
        <v>2338</v>
      </c>
      <c r="B939" s="9">
        <v>45524</v>
      </c>
      <c r="C939" s="9">
        <v>45526</v>
      </c>
      <c r="D939" s="8" t="s">
        <v>18</v>
      </c>
      <c r="E939" s="8" t="s">
        <v>701</v>
      </c>
      <c r="F939" s="10" t="s">
        <v>702</v>
      </c>
      <c r="G939" s="10" t="s">
        <v>21</v>
      </c>
      <c r="H939" s="10" t="s">
        <v>43</v>
      </c>
      <c r="I939" s="10" t="s">
        <v>44</v>
      </c>
      <c r="J939" s="10" t="s">
        <v>24</v>
      </c>
      <c r="K939" s="10" t="s">
        <v>45</v>
      </c>
      <c r="L939" s="10" t="s">
        <v>61</v>
      </c>
      <c r="M939" s="10" t="s">
        <v>2339</v>
      </c>
      <c r="N939" s="11">
        <v>5050.08</v>
      </c>
      <c r="O939" s="12">
        <v>9</v>
      </c>
      <c r="P939" s="13">
        <v>0</v>
      </c>
      <c r="Q939" s="11">
        <v>692.59</v>
      </c>
    </row>
    <row r="940" spans="1:17" x14ac:dyDescent="0.3">
      <c r="A940" s="2" t="s">
        <v>2340</v>
      </c>
      <c r="B940" s="3">
        <v>44871</v>
      </c>
      <c r="C940" s="3">
        <v>44878</v>
      </c>
      <c r="D940" s="2" t="s">
        <v>29</v>
      </c>
      <c r="E940" s="2" t="s">
        <v>1047</v>
      </c>
      <c r="F940" s="4" t="s">
        <v>1048</v>
      </c>
      <c r="G940" s="4" t="s">
        <v>42</v>
      </c>
      <c r="H940" s="4" t="s">
        <v>79</v>
      </c>
      <c r="I940" s="4" t="s">
        <v>80</v>
      </c>
      <c r="J940" s="4" t="s">
        <v>54</v>
      </c>
      <c r="K940" s="4" t="s">
        <v>25</v>
      </c>
      <c r="L940" s="4" t="s">
        <v>74</v>
      </c>
      <c r="M940" s="4" t="s">
        <v>2341</v>
      </c>
      <c r="N940" s="5">
        <v>949.05</v>
      </c>
      <c r="O940" s="6">
        <v>5</v>
      </c>
      <c r="P940" s="7">
        <v>0.5</v>
      </c>
      <c r="Q940" s="5">
        <v>-275.76</v>
      </c>
    </row>
    <row r="941" spans="1:17" x14ac:dyDescent="0.3">
      <c r="A941" s="8" t="s">
        <v>2342</v>
      </c>
      <c r="B941" s="9">
        <v>44397</v>
      </c>
      <c r="C941" s="9">
        <v>44400</v>
      </c>
      <c r="D941" s="8" t="s">
        <v>39</v>
      </c>
      <c r="E941" s="8" t="s">
        <v>504</v>
      </c>
      <c r="F941" s="10" t="s">
        <v>505</v>
      </c>
      <c r="G941" s="10" t="s">
        <v>42</v>
      </c>
      <c r="H941" s="10" t="s">
        <v>150</v>
      </c>
      <c r="I941" s="10" t="s">
        <v>151</v>
      </c>
      <c r="J941" s="10" t="s">
        <v>34</v>
      </c>
      <c r="K941" s="10" t="s">
        <v>35</v>
      </c>
      <c r="L941" s="10" t="s">
        <v>81</v>
      </c>
      <c r="M941" s="10" t="s">
        <v>2343</v>
      </c>
      <c r="N941" s="11">
        <v>138.49</v>
      </c>
      <c r="O941" s="12">
        <v>7</v>
      </c>
      <c r="P941" s="13">
        <v>0.2</v>
      </c>
      <c r="Q941" s="11">
        <v>54.73</v>
      </c>
    </row>
    <row r="942" spans="1:17" x14ac:dyDescent="0.3">
      <c r="A942" s="2" t="s">
        <v>2344</v>
      </c>
      <c r="B942" s="3">
        <v>44919</v>
      </c>
      <c r="C942" s="3">
        <v>44924</v>
      </c>
      <c r="D942" s="2" t="s">
        <v>73</v>
      </c>
      <c r="E942" s="2" t="s">
        <v>113</v>
      </c>
      <c r="F942" s="4" t="s">
        <v>114</v>
      </c>
      <c r="G942" s="4" t="s">
        <v>21</v>
      </c>
      <c r="H942" s="4" t="s">
        <v>115</v>
      </c>
      <c r="I942" s="4" t="s">
        <v>116</v>
      </c>
      <c r="J942" s="4" t="s">
        <v>54</v>
      </c>
      <c r="K942" s="4" t="s">
        <v>35</v>
      </c>
      <c r="L942" s="4" t="s">
        <v>89</v>
      </c>
      <c r="M942" s="4" t="s">
        <v>2345</v>
      </c>
      <c r="N942" s="5">
        <v>357.12</v>
      </c>
      <c r="O942" s="6">
        <v>5</v>
      </c>
      <c r="P942" s="7">
        <v>0.1</v>
      </c>
      <c r="Q942" s="5">
        <v>85.78</v>
      </c>
    </row>
    <row r="943" spans="1:17" x14ac:dyDescent="0.3">
      <c r="A943" s="8" t="s">
        <v>2346</v>
      </c>
      <c r="B943" s="9">
        <v>44910</v>
      </c>
      <c r="C943" s="9">
        <v>44916</v>
      </c>
      <c r="D943" s="8" t="s">
        <v>29</v>
      </c>
      <c r="E943" s="8" t="s">
        <v>697</v>
      </c>
      <c r="F943" s="10" t="s">
        <v>698</v>
      </c>
      <c r="G943" s="10" t="s">
        <v>21</v>
      </c>
      <c r="H943" s="10" t="s">
        <v>319</v>
      </c>
      <c r="I943" s="10" t="s">
        <v>194</v>
      </c>
      <c r="J943" s="10" t="s">
        <v>34</v>
      </c>
      <c r="K943" s="10" t="s">
        <v>45</v>
      </c>
      <c r="L943" s="10" t="s">
        <v>61</v>
      </c>
      <c r="M943" s="10" t="s">
        <v>2347</v>
      </c>
      <c r="N943" s="11">
        <v>550.45000000000005</v>
      </c>
      <c r="O943" s="12">
        <v>5</v>
      </c>
      <c r="P943" s="13">
        <v>0.5</v>
      </c>
      <c r="Q943" s="11">
        <v>-496.3</v>
      </c>
    </row>
    <row r="944" spans="1:17" x14ac:dyDescent="0.3">
      <c r="A944" s="2" t="s">
        <v>2348</v>
      </c>
      <c r="B944" s="3">
        <v>45380</v>
      </c>
      <c r="C944" s="3">
        <v>45383</v>
      </c>
      <c r="D944" s="2" t="s">
        <v>18</v>
      </c>
      <c r="E944" s="2" t="s">
        <v>201</v>
      </c>
      <c r="F944" s="4" t="s">
        <v>202</v>
      </c>
      <c r="G944" s="4" t="s">
        <v>21</v>
      </c>
      <c r="H944" s="4" t="s">
        <v>98</v>
      </c>
      <c r="I944" s="4" t="s">
        <v>80</v>
      </c>
      <c r="J944" s="4" t="s">
        <v>54</v>
      </c>
      <c r="K944" s="4" t="s">
        <v>25</v>
      </c>
      <c r="L944" s="4" t="s">
        <v>74</v>
      </c>
      <c r="M944" s="4" t="s">
        <v>672</v>
      </c>
      <c r="N944" s="5">
        <v>624.5</v>
      </c>
      <c r="O944" s="6">
        <v>2</v>
      </c>
      <c r="P944" s="7">
        <v>0.4</v>
      </c>
      <c r="Q944" s="5">
        <v>-25.42</v>
      </c>
    </row>
    <row r="945" spans="1:17" x14ac:dyDescent="0.3">
      <c r="A945" s="8" t="s">
        <v>2349</v>
      </c>
      <c r="B945" s="9">
        <v>44445</v>
      </c>
      <c r="C945" s="9">
        <v>44449</v>
      </c>
      <c r="D945" s="8" t="s">
        <v>39</v>
      </c>
      <c r="E945" s="8" t="s">
        <v>813</v>
      </c>
      <c r="F945" s="10" t="s">
        <v>814</v>
      </c>
      <c r="G945" s="10" t="s">
        <v>51</v>
      </c>
      <c r="H945" s="10" t="s">
        <v>134</v>
      </c>
      <c r="I945" s="10" t="s">
        <v>87</v>
      </c>
      <c r="J945" s="10" t="s">
        <v>88</v>
      </c>
      <c r="K945" s="10" t="s">
        <v>35</v>
      </c>
      <c r="L945" s="10" t="s">
        <v>110</v>
      </c>
      <c r="M945" s="10" t="s">
        <v>2350</v>
      </c>
      <c r="N945" s="11">
        <v>98.98</v>
      </c>
      <c r="O945" s="12">
        <v>5</v>
      </c>
      <c r="P945" s="13">
        <v>0.15</v>
      </c>
      <c r="Q945" s="11">
        <v>43.88</v>
      </c>
    </row>
    <row r="946" spans="1:17" x14ac:dyDescent="0.3">
      <c r="A946" s="2" t="s">
        <v>2351</v>
      </c>
      <c r="B946" s="3">
        <v>45081</v>
      </c>
      <c r="C946" s="3">
        <v>45086</v>
      </c>
      <c r="D946" s="2" t="s">
        <v>73</v>
      </c>
      <c r="E946" s="2" t="s">
        <v>1166</v>
      </c>
      <c r="F946" s="4" t="s">
        <v>1167</v>
      </c>
      <c r="G946" s="4" t="s">
        <v>21</v>
      </c>
      <c r="H946" s="4" t="s">
        <v>98</v>
      </c>
      <c r="I946" s="4" t="s">
        <v>80</v>
      </c>
      <c r="J946" s="4" t="s">
        <v>54</v>
      </c>
      <c r="K946" s="4" t="s">
        <v>35</v>
      </c>
      <c r="L946" s="4" t="s">
        <v>89</v>
      </c>
      <c r="M946" s="4" t="s">
        <v>2352</v>
      </c>
      <c r="N946" s="5">
        <v>557.35</v>
      </c>
      <c r="O946" s="6">
        <v>6</v>
      </c>
      <c r="P946" s="7">
        <v>0.4</v>
      </c>
      <c r="Q946" s="5">
        <v>-112.01</v>
      </c>
    </row>
    <row r="947" spans="1:17" x14ac:dyDescent="0.3">
      <c r="A947" s="8" t="s">
        <v>2353</v>
      </c>
      <c r="B947" s="9">
        <v>44632</v>
      </c>
      <c r="C947" s="9">
        <v>44639</v>
      </c>
      <c r="D947" s="8" t="s">
        <v>29</v>
      </c>
      <c r="E947" s="8" t="s">
        <v>219</v>
      </c>
      <c r="F947" s="10" t="s">
        <v>220</v>
      </c>
      <c r="G947" s="10" t="s">
        <v>51</v>
      </c>
      <c r="H947" s="10" t="s">
        <v>171</v>
      </c>
      <c r="I947" s="10" t="s">
        <v>172</v>
      </c>
      <c r="J947" s="10" t="s">
        <v>24</v>
      </c>
      <c r="K947" s="10" t="s">
        <v>25</v>
      </c>
      <c r="L947" s="10" t="s">
        <v>68</v>
      </c>
      <c r="M947" s="10" t="s">
        <v>2354</v>
      </c>
      <c r="N947" s="11">
        <v>1315.2</v>
      </c>
      <c r="O947" s="12">
        <v>10</v>
      </c>
      <c r="P947" s="13">
        <v>0.2</v>
      </c>
      <c r="Q947" s="11"/>
    </row>
    <row r="948" spans="1:17" x14ac:dyDescent="0.3">
      <c r="A948" s="2" t="s">
        <v>2355</v>
      </c>
      <c r="B948" s="3">
        <v>44866</v>
      </c>
      <c r="C948" s="3">
        <v>44870</v>
      </c>
      <c r="D948" s="2" t="s">
        <v>39</v>
      </c>
      <c r="E948" s="2" t="s">
        <v>214</v>
      </c>
      <c r="F948" s="4" t="s">
        <v>215</v>
      </c>
      <c r="G948" s="4" t="s">
        <v>21</v>
      </c>
      <c r="H948" s="4" t="s">
        <v>52</v>
      </c>
      <c r="I948" s="4" t="s">
        <v>53</v>
      </c>
      <c r="J948" s="4" t="s">
        <v>54</v>
      </c>
      <c r="K948" s="4" t="s">
        <v>45</v>
      </c>
      <c r="L948" s="4" t="s">
        <v>117</v>
      </c>
      <c r="M948" s="4" t="s">
        <v>2356</v>
      </c>
      <c r="N948" s="5">
        <v>358.57</v>
      </c>
      <c r="O948" s="6">
        <v>1</v>
      </c>
      <c r="P948" s="7">
        <v>0.2</v>
      </c>
      <c r="Q948" s="5">
        <v>34.96</v>
      </c>
    </row>
    <row r="949" spans="1:17" x14ac:dyDescent="0.3">
      <c r="A949" s="8" t="s">
        <v>2357</v>
      </c>
      <c r="B949" s="9">
        <v>44450</v>
      </c>
      <c r="C949" s="9">
        <v>44453</v>
      </c>
      <c r="D949" s="8" t="s">
        <v>39</v>
      </c>
      <c r="E949" s="8" t="s">
        <v>954</v>
      </c>
      <c r="F949" s="10" t="s">
        <v>955</v>
      </c>
      <c r="G949" s="10" t="s">
        <v>51</v>
      </c>
      <c r="H949" s="10" t="s">
        <v>386</v>
      </c>
      <c r="I949" s="10" t="s">
        <v>347</v>
      </c>
      <c r="J949" s="10" t="s">
        <v>88</v>
      </c>
      <c r="K949" s="10" t="s">
        <v>45</v>
      </c>
      <c r="L949" s="10" t="s">
        <v>46</v>
      </c>
      <c r="M949" s="10" t="s">
        <v>2358</v>
      </c>
      <c r="N949" s="11">
        <v>183.57</v>
      </c>
      <c r="O949" s="12">
        <v>2</v>
      </c>
      <c r="P949" s="13">
        <v>0.2</v>
      </c>
      <c r="Q949" s="11">
        <v>36.47</v>
      </c>
    </row>
    <row r="950" spans="1:17" x14ac:dyDescent="0.3">
      <c r="A950" s="2" t="s">
        <v>2359</v>
      </c>
      <c r="B950" s="3">
        <v>45288</v>
      </c>
      <c r="C950" s="3">
        <v>45291</v>
      </c>
      <c r="D950" s="2" t="s">
        <v>18</v>
      </c>
      <c r="E950" s="2" t="s">
        <v>309</v>
      </c>
      <c r="F950" s="4" t="s">
        <v>310</v>
      </c>
      <c r="G950" s="4" t="s">
        <v>21</v>
      </c>
      <c r="H950" s="4" t="s">
        <v>115</v>
      </c>
      <c r="I950" s="4" t="s">
        <v>116</v>
      </c>
      <c r="J950" s="4" t="s">
        <v>54</v>
      </c>
      <c r="K950" s="4" t="s">
        <v>25</v>
      </c>
      <c r="L950" s="4" t="s">
        <v>74</v>
      </c>
      <c r="M950" s="4" t="s">
        <v>2360</v>
      </c>
      <c r="N950" s="5">
        <v>1396.58</v>
      </c>
      <c r="O950" s="6">
        <v>8</v>
      </c>
      <c r="P950" s="7">
        <v>0.1</v>
      </c>
      <c r="Q950" s="5">
        <v>325.95</v>
      </c>
    </row>
    <row r="951" spans="1:17" x14ac:dyDescent="0.3">
      <c r="A951" s="8" t="s">
        <v>2361</v>
      </c>
      <c r="B951" s="9">
        <v>45579</v>
      </c>
      <c r="C951" s="9">
        <v>45582</v>
      </c>
      <c r="D951" s="8" t="s">
        <v>73</v>
      </c>
      <c r="E951" s="8" t="s">
        <v>946</v>
      </c>
      <c r="F951" s="10" t="s">
        <v>947</v>
      </c>
      <c r="G951" s="10" t="s">
        <v>21</v>
      </c>
      <c r="H951" s="10" t="s">
        <v>156</v>
      </c>
      <c r="I951" s="10" t="s">
        <v>157</v>
      </c>
      <c r="J951" s="10" t="s">
        <v>88</v>
      </c>
      <c r="K951" s="10" t="s">
        <v>25</v>
      </c>
      <c r="L951" s="10" t="s">
        <v>74</v>
      </c>
      <c r="M951" s="10" t="s">
        <v>1062</v>
      </c>
      <c r="N951" s="11">
        <v>2610.15</v>
      </c>
      <c r="O951" s="12">
        <v>5</v>
      </c>
      <c r="P951" s="13">
        <v>0</v>
      </c>
      <c r="Q951" s="11">
        <v>1129.08</v>
      </c>
    </row>
    <row r="952" spans="1:17" x14ac:dyDescent="0.3">
      <c r="A952" s="2" t="s">
        <v>2362</v>
      </c>
      <c r="B952" s="3">
        <v>44283</v>
      </c>
      <c r="C952" s="3">
        <v>44288</v>
      </c>
      <c r="D952" s="2" t="s">
        <v>73</v>
      </c>
      <c r="E952" s="2" t="s">
        <v>426</v>
      </c>
      <c r="F952" s="4" t="s">
        <v>427</v>
      </c>
      <c r="G952" s="4" t="s">
        <v>42</v>
      </c>
      <c r="H952" s="4" t="s">
        <v>412</v>
      </c>
      <c r="I952" s="4" t="s">
        <v>178</v>
      </c>
      <c r="J952" s="4" t="s">
        <v>24</v>
      </c>
      <c r="K952" s="4" t="s">
        <v>25</v>
      </c>
      <c r="L952" s="4" t="s">
        <v>68</v>
      </c>
      <c r="M952" s="4" t="s">
        <v>2363</v>
      </c>
      <c r="N952" s="5">
        <v>609.95000000000005</v>
      </c>
      <c r="O952" s="6">
        <v>8</v>
      </c>
      <c r="P952" s="7">
        <v>0.3</v>
      </c>
      <c r="Q952" s="5">
        <v>41.54</v>
      </c>
    </row>
    <row r="953" spans="1:17" x14ac:dyDescent="0.3">
      <c r="A953" s="8" t="s">
        <v>2364</v>
      </c>
      <c r="B953" s="9">
        <v>45001</v>
      </c>
      <c r="C953" s="9">
        <v>45003</v>
      </c>
      <c r="D953" s="8" t="s">
        <v>39</v>
      </c>
      <c r="E953" s="8" t="s">
        <v>537</v>
      </c>
      <c r="F953" s="10" t="s">
        <v>538</v>
      </c>
      <c r="G953" s="10" t="s">
        <v>42</v>
      </c>
      <c r="H953" s="10" t="s">
        <v>115</v>
      </c>
      <c r="I953" s="10" t="s">
        <v>116</v>
      </c>
      <c r="J953" s="10" t="s">
        <v>54</v>
      </c>
      <c r="K953" s="10" t="s">
        <v>25</v>
      </c>
      <c r="L953" s="10" t="s">
        <v>74</v>
      </c>
      <c r="M953" s="10" t="s">
        <v>2365</v>
      </c>
      <c r="N953" s="11">
        <v>2635.61</v>
      </c>
      <c r="O953" s="12">
        <v>4</v>
      </c>
      <c r="P953" s="13">
        <v>0.15</v>
      </c>
      <c r="Q953" s="11">
        <v>774.65</v>
      </c>
    </row>
    <row r="954" spans="1:17" x14ac:dyDescent="0.3">
      <c r="A954" s="2" t="s">
        <v>2366</v>
      </c>
      <c r="B954" s="3">
        <v>44446</v>
      </c>
      <c r="C954" s="3">
        <v>44450</v>
      </c>
      <c r="D954" s="2" t="s">
        <v>73</v>
      </c>
      <c r="E954" s="2" t="s">
        <v>277</v>
      </c>
      <c r="F954" s="4" t="s">
        <v>278</v>
      </c>
      <c r="G954" s="4" t="s">
        <v>21</v>
      </c>
      <c r="H954" s="4" t="s">
        <v>104</v>
      </c>
      <c r="I954" s="4" t="s">
        <v>105</v>
      </c>
      <c r="J954" s="4" t="s">
        <v>88</v>
      </c>
      <c r="K954" s="4" t="s">
        <v>25</v>
      </c>
      <c r="L954" s="4" t="s">
        <v>74</v>
      </c>
      <c r="M954" s="4" t="s">
        <v>2367</v>
      </c>
      <c r="N954" s="5">
        <v>679.32</v>
      </c>
      <c r="O954" s="6">
        <v>5</v>
      </c>
      <c r="P954" s="7">
        <v>0.2</v>
      </c>
      <c r="Q954" s="5">
        <v>108.25</v>
      </c>
    </row>
    <row r="955" spans="1:17" x14ac:dyDescent="0.3">
      <c r="A955" s="8" t="s">
        <v>2368</v>
      </c>
      <c r="B955" s="9">
        <v>44753</v>
      </c>
      <c r="C955" s="9">
        <v>44754</v>
      </c>
      <c r="D955" s="8" t="s">
        <v>18</v>
      </c>
      <c r="E955" s="8" t="s">
        <v>309</v>
      </c>
      <c r="F955" s="10" t="s">
        <v>310</v>
      </c>
      <c r="G955" s="10" t="s">
        <v>21</v>
      </c>
      <c r="H955" s="10" t="s">
        <v>115</v>
      </c>
      <c r="I955" s="10" t="s">
        <v>116</v>
      </c>
      <c r="J955" s="10" t="s">
        <v>54</v>
      </c>
      <c r="K955" s="10" t="s">
        <v>25</v>
      </c>
      <c r="L955" s="10" t="s">
        <v>68</v>
      </c>
      <c r="M955" s="10" t="s">
        <v>2369</v>
      </c>
      <c r="N955" s="11">
        <v>740.65</v>
      </c>
      <c r="O955" s="12">
        <v>5</v>
      </c>
      <c r="P955" s="13">
        <v>0.15</v>
      </c>
      <c r="Q955" s="11">
        <v>188.58</v>
      </c>
    </row>
    <row r="956" spans="1:17" x14ac:dyDescent="0.3">
      <c r="A956" s="2" t="s">
        <v>2370</v>
      </c>
      <c r="B956" s="3">
        <v>45237</v>
      </c>
      <c r="C956" s="3">
        <v>45239</v>
      </c>
      <c r="D956" s="2" t="s">
        <v>39</v>
      </c>
      <c r="E956" s="2" t="s">
        <v>223</v>
      </c>
      <c r="F956" s="4" t="s">
        <v>224</v>
      </c>
      <c r="G956" s="4" t="s">
        <v>21</v>
      </c>
      <c r="H956" s="4" t="s">
        <v>59</v>
      </c>
      <c r="I956" s="4" t="s">
        <v>60</v>
      </c>
      <c r="J956" s="4" t="s">
        <v>54</v>
      </c>
      <c r="K956" s="4" t="s">
        <v>45</v>
      </c>
      <c r="L956" s="4" t="s">
        <v>99</v>
      </c>
      <c r="M956" s="4" t="s">
        <v>2371</v>
      </c>
      <c r="N956" s="5">
        <v>220.75</v>
      </c>
      <c r="O956" s="6">
        <v>3</v>
      </c>
      <c r="P956" s="7">
        <v>0.2</v>
      </c>
      <c r="Q956" s="5">
        <v>33.01</v>
      </c>
    </row>
    <row r="957" spans="1:17" x14ac:dyDescent="0.3">
      <c r="A957" s="8" t="s">
        <v>2372</v>
      </c>
      <c r="B957" s="9">
        <v>44320</v>
      </c>
      <c r="C957" s="9">
        <v>44322</v>
      </c>
      <c r="D957" s="8" t="s">
        <v>39</v>
      </c>
      <c r="E957" s="8" t="s">
        <v>1578</v>
      </c>
      <c r="F957" s="10" t="s">
        <v>1579</v>
      </c>
      <c r="G957" s="10" t="s">
        <v>51</v>
      </c>
      <c r="H957" s="10" t="s">
        <v>207</v>
      </c>
      <c r="I957" s="10" t="s">
        <v>60</v>
      </c>
      <c r="J957" s="10" t="s">
        <v>54</v>
      </c>
      <c r="K957" s="10" t="s">
        <v>25</v>
      </c>
      <c r="L957" s="10" t="s">
        <v>68</v>
      </c>
      <c r="M957" s="10" t="s">
        <v>2373</v>
      </c>
      <c r="N957" s="11">
        <v>734.04</v>
      </c>
      <c r="O957" s="12">
        <v>9</v>
      </c>
      <c r="P957" s="13">
        <v>0</v>
      </c>
      <c r="Q957" s="11">
        <v>322.33999999999997</v>
      </c>
    </row>
    <row r="958" spans="1:17" x14ac:dyDescent="0.3">
      <c r="A958" s="2" t="s">
        <v>2374</v>
      </c>
      <c r="B958" s="3">
        <v>45411</v>
      </c>
      <c r="C958" s="3">
        <v>45416</v>
      </c>
      <c r="D958" s="2" t="s">
        <v>29</v>
      </c>
      <c r="E958" s="2" t="s">
        <v>19</v>
      </c>
      <c r="F958" s="4" t="s">
        <v>20</v>
      </c>
      <c r="G958" s="4" t="s">
        <v>21</v>
      </c>
      <c r="H958" s="4" t="s">
        <v>22</v>
      </c>
      <c r="I958" s="4" t="s">
        <v>23</v>
      </c>
      <c r="J958" s="4" t="s">
        <v>24</v>
      </c>
      <c r="K958" s="4" t="s">
        <v>45</v>
      </c>
      <c r="L958" s="4" t="s">
        <v>99</v>
      </c>
      <c r="M958" s="4" t="s">
        <v>2375</v>
      </c>
      <c r="N958" s="5">
        <v>12.31</v>
      </c>
      <c r="O958" s="6">
        <v>1</v>
      </c>
      <c r="P958" s="7">
        <v>0.05</v>
      </c>
      <c r="Q958" s="5">
        <v>3.95</v>
      </c>
    </row>
    <row r="959" spans="1:17" x14ac:dyDescent="0.3">
      <c r="A959" s="8" t="s">
        <v>2376</v>
      </c>
      <c r="B959" s="9">
        <v>45157</v>
      </c>
      <c r="C959" s="9">
        <v>45163</v>
      </c>
      <c r="D959" s="8" t="s">
        <v>29</v>
      </c>
      <c r="E959" s="8" t="s">
        <v>1352</v>
      </c>
      <c r="F959" s="10" t="s">
        <v>1353</v>
      </c>
      <c r="G959" s="10" t="s">
        <v>42</v>
      </c>
      <c r="H959" s="10" t="s">
        <v>207</v>
      </c>
      <c r="I959" s="10" t="s">
        <v>60</v>
      </c>
      <c r="J959" s="10" t="s">
        <v>54</v>
      </c>
      <c r="K959" s="10" t="s">
        <v>35</v>
      </c>
      <c r="L959" s="10" t="s">
        <v>36</v>
      </c>
      <c r="M959" s="10" t="s">
        <v>2377</v>
      </c>
      <c r="N959" s="11">
        <v>43.92</v>
      </c>
      <c r="O959" s="12">
        <v>1</v>
      </c>
      <c r="P959" s="13">
        <v>0.4</v>
      </c>
      <c r="Q959" s="11">
        <v>0.37</v>
      </c>
    </row>
    <row r="960" spans="1:17" x14ac:dyDescent="0.3">
      <c r="A960" s="2" t="s">
        <v>2378</v>
      </c>
      <c r="B960" s="3">
        <v>44915</v>
      </c>
      <c r="C960" s="3">
        <v>44917</v>
      </c>
      <c r="D960" s="2" t="s">
        <v>18</v>
      </c>
      <c r="E960" s="2" t="s">
        <v>175</v>
      </c>
      <c r="F960" s="4" t="s">
        <v>176</v>
      </c>
      <c r="G960" s="4" t="s">
        <v>51</v>
      </c>
      <c r="H960" s="4" t="s">
        <v>177</v>
      </c>
      <c r="I960" s="4" t="s">
        <v>178</v>
      </c>
      <c r="J960" s="4" t="s">
        <v>24</v>
      </c>
      <c r="K960" s="4" t="s">
        <v>35</v>
      </c>
      <c r="L960" s="4" t="s">
        <v>166</v>
      </c>
      <c r="M960" s="4" t="s">
        <v>2379</v>
      </c>
      <c r="N960" s="5">
        <v>136.69999999999999</v>
      </c>
      <c r="O960" s="6">
        <v>4</v>
      </c>
      <c r="P960" s="7">
        <v>0.3</v>
      </c>
      <c r="Q960" s="5">
        <v>-14.07</v>
      </c>
    </row>
    <row r="961" spans="1:17" x14ac:dyDescent="0.3">
      <c r="A961" s="8" t="s">
        <v>2380</v>
      </c>
      <c r="B961" s="9">
        <v>45065</v>
      </c>
      <c r="C961" s="9">
        <v>45066</v>
      </c>
      <c r="D961" s="8" t="s">
        <v>18</v>
      </c>
      <c r="E961" s="8" t="s">
        <v>2013</v>
      </c>
      <c r="F961" s="10" t="s">
        <v>2014</v>
      </c>
      <c r="G961" s="10" t="s">
        <v>42</v>
      </c>
      <c r="H961" s="10" t="s">
        <v>177</v>
      </c>
      <c r="I961" s="10" t="s">
        <v>178</v>
      </c>
      <c r="J961" s="10" t="s">
        <v>24</v>
      </c>
      <c r="K961" s="10" t="s">
        <v>25</v>
      </c>
      <c r="L961" s="10" t="s">
        <v>74</v>
      </c>
      <c r="M961" s="10" t="s">
        <v>2381</v>
      </c>
      <c r="N961" s="11">
        <v>2944.8</v>
      </c>
      <c r="O961" s="12">
        <v>7</v>
      </c>
      <c r="P961" s="13">
        <v>0.3</v>
      </c>
      <c r="Q961" s="11">
        <v>478.82</v>
      </c>
    </row>
    <row r="962" spans="1:17" x14ac:dyDescent="0.3">
      <c r="A962" s="2" t="s">
        <v>2382</v>
      </c>
      <c r="B962" s="3">
        <v>45259</v>
      </c>
      <c r="C962" s="3">
        <v>45263</v>
      </c>
      <c r="D962" s="2" t="s">
        <v>73</v>
      </c>
      <c r="E962" s="2" t="s">
        <v>201</v>
      </c>
      <c r="F962" s="4" t="s">
        <v>202</v>
      </c>
      <c r="G962" s="4" t="s">
        <v>21</v>
      </c>
      <c r="H962" s="4" t="s">
        <v>98</v>
      </c>
      <c r="I962" s="4" t="s">
        <v>80</v>
      </c>
      <c r="J962" s="4" t="s">
        <v>54</v>
      </c>
      <c r="K962" s="4" t="s">
        <v>35</v>
      </c>
      <c r="L962" s="4" t="s">
        <v>295</v>
      </c>
      <c r="M962" s="4" t="s">
        <v>2383</v>
      </c>
      <c r="N962" s="5">
        <v>23.31</v>
      </c>
      <c r="O962" s="6">
        <v>2</v>
      </c>
      <c r="P962" s="7">
        <v>0.1</v>
      </c>
      <c r="Q962" s="5">
        <v>11.51</v>
      </c>
    </row>
    <row r="963" spans="1:17" x14ac:dyDescent="0.3">
      <c r="A963" s="8" t="s">
        <v>2384</v>
      </c>
      <c r="B963" s="9">
        <v>45640</v>
      </c>
      <c r="C963" s="9">
        <v>45645</v>
      </c>
      <c r="D963" s="8" t="s">
        <v>73</v>
      </c>
      <c r="E963" s="8" t="s">
        <v>682</v>
      </c>
      <c r="F963" s="10" t="s">
        <v>683</v>
      </c>
      <c r="G963" s="10" t="s">
        <v>21</v>
      </c>
      <c r="H963" s="10" t="s">
        <v>66</v>
      </c>
      <c r="I963" s="10" t="s">
        <v>67</v>
      </c>
      <c r="J963" s="10" t="s">
        <v>34</v>
      </c>
      <c r="K963" s="10" t="s">
        <v>45</v>
      </c>
      <c r="L963" s="10" t="s">
        <v>99</v>
      </c>
      <c r="M963" s="10" t="s">
        <v>2385</v>
      </c>
      <c r="N963" s="11">
        <v>417.74</v>
      </c>
      <c r="O963" s="12">
        <v>4</v>
      </c>
      <c r="P963" s="13">
        <v>0.1</v>
      </c>
      <c r="Q963" s="11">
        <v>81.97</v>
      </c>
    </row>
    <row r="964" spans="1:17" x14ac:dyDescent="0.3">
      <c r="A964" s="2" t="s">
        <v>2386</v>
      </c>
      <c r="B964" s="3">
        <v>44697</v>
      </c>
      <c r="C964" s="3">
        <v>44700</v>
      </c>
      <c r="D964" s="2" t="s">
        <v>39</v>
      </c>
      <c r="E964" s="2" t="s">
        <v>214</v>
      </c>
      <c r="F964" s="4"/>
      <c r="G964" s="4" t="s">
        <v>21</v>
      </c>
      <c r="H964" s="4" t="s">
        <v>52</v>
      </c>
      <c r="I964" s="4" t="s">
        <v>53</v>
      </c>
      <c r="J964" s="4" t="s">
        <v>54</v>
      </c>
      <c r="K964" s="4" t="s">
        <v>35</v>
      </c>
      <c r="L964" s="4" t="s">
        <v>229</v>
      </c>
      <c r="M964" s="4" t="s">
        <v>1366</v>
      </c>
      <c r="N964" s="5">
        <v>153.01</v>
      </c>
      <c r="O964" s="6">
        <v>9</v>
      </c>
      <c r="P964" s="7">
        <v>0.1</v>
      </c>
      <c r="Q964" s="5">
        <v>54.57</v>
      </c>
    </row>
    <row r="965" spans="1:17" x14ac:dyDescent="0.3">
      <c r="A965" s="8" t="s">
        <v>2387</v>
      </c>
      <c r="B965" s="9">
        <v>45309</v>
      </c>
      <c r="C965" s="9">
        <v>45311</v>
      </c>
      <c r="D965" s="8" t="s">
        <v>39</v>
      </c>
      <c r="E965" s="8" t="s">
        <v>181</v>
      </c>
      <c r="F965" s="10" t="s">
        <v>182</v>
      </c>
      <c r="G965" s="10" t="s">
        <v>21</v>
      </c>
      <c r="H965" s="10" t="s">
        <v>183</v>
      </c>
      <c r="I965" s="10" t="s">
        <v>184</v>
      </c>
      <c r="J965" s="10" t="s">
        <v>54</v>
      </c>
      <c r="K965" s="10" t="s">
        <v>25</v>
      </c>
      <c r="L965" s="10" t="s">
        <v>26</v>
      </c>
      <c r="M965" s="10" t="s">
        <v>2388</v>
      </c>
      <c r="N965" s="11">
        <v>5026.8999999999996</v>
      </c>
      <c r="O965" s="12">
        <v>10</v>
      </c>
      <c r="P965" s="13">
        <v>0</v>
      </c>
      <c r="Q965" s="11">
        <v>604.51</v>
      </c>
    </row>
    <row r="966" spans="1:17" x14ac:dyDescent="0.3">
      <c r="A966" s="2" t="s">
        <v>2389</v>
      </c>
      <c r="B966" s="3">
        <v>44635</v>
      </c>
      <c r="C966" s="3">
        <v>44638</v>
      </c>
      <c r="D966" s="2" t="s">
        <v>39</v>
      </c>
      <c r="E966" s="2" t="s">
        <v>476</v>
      </c>
      <c r="F966" s="4" t="s">
        <v>477</v>
      </c>
      <c r="G966" s="4" t="s">
        <v>42</v>
      </c>
      <c r="H966" s="4" t="s">
        <v>150</v>
      </c>
      <c r="I966" s="4" t="s">
        <v>151</v>
      </c>
      <c r="J966" s="4" t="s">
        <v>34</v>
      </c>
      <c r="K966" s="4" t="s">
        <v>25</v>
      </c>
      <c r="L966" s="4" t="s">
        <v>74</v>
      </c>
      <c r="M966" s="4" t="s">
        <v>2390</v>
      </c>
      <c r="N966" s="5">
        <v>358.31</v>
      </c>
      <c r="O966" s="6">
        <v>1</v>
      </c>
      <c r="P966" s="7">
        <v>0.15</v>
      </c>
      <c r="Q966" s="5">
        <v>109.85</v>
      </c>
    </row>
    <row r="967" spans="1:17" x14ac:dyDescent="0.3">
      <c r="A967" s="8" t="s">
        <v>2391</v>
      </c>
      <c r="B967" s="9">
        <v>45657</v>
      </c>
      <c r="C967" s="9">
        <v>45663</v>
      </c>
      <c r="D967" s="8" t="s">
        <v>29</v>
      </c>
      <c r="E967" s="8" t="s">
        <v>472</v>
      </c>
      <c r="F967" s="10" t="s">
        <v>473</v>
      </c>
      <c r="G967" s="10" t="s">
        <v>51</v>
      </c>
      <c r="H967" s="10" t="s">
        <v>32</v>
      </c>
      <c r="I967" s="10" t="s">
        <v>33</v>
      </c>
      <c r="J967" s="10" t="s">
        <v>34</v>
      </c>
      <c r="K967" s="10" t="s">
        <v>25</v>
      </c>
      <c r="L967" s="10" t="s">
        <v>74</v>
      </c>
      <c r="M967" s="10" t="s">
        <v>2392</v>
      </c>
      <c r="N967" s="11">
        <v>2144.38</v>
      </c>
      <c r="O967" s="12">
        <v>5</v>
      </c>
      <c r="P967" s="13">
        <v>0.15</v>
      </c>
      <c r="Q967" s="11">
        <v>452.11</v>
      </c>
    </row>
    <row r="968" spans="1:17" x14ac:dyDescent="0.3">
      <c r="A968" s="2" t="s">
        <v>2393</v>
      </c>
      <c r="B968" s="3">
        <v>45277</v>
      </c>
      <c r="C968" s="3">
        <v>45280</v>
      </c>
      <c r="D968" s="2" t="s">
        <v>39</v>
      </c>
      <c r="E968" s="2" t="s">
        <v>406</v>
      </c>
      <c r="F968" s="4" t="s">
        <v>407</v>
      </c>
      <c r="G968" s="4" t="s">
        <v>42</v>
      </c>
      <c r="H968" s="4" t="s">
        <v>165</v>
      </c>
      <c r="I968" s="4" t="s">
        <v>44</v>
      </c>
      <c r="J968" s="4" t="s">
        <v>24</v>
      </c>
      <c r="K968" s="4" t="s">
        <v>45</v>
      </c>
      <c r="L968" s="4" t="s">
        <v>61</v>
      </c>
      <c r="M968" s="4" t="s">
        <v>2394</v>
      </c>
      <c r="N968" s="5">
        <v>461.52</v>
      </c>
      <c r="O968" s="6">
        <v>3</v>
      </c>
      <c r="P968" s="7">
        <v>0.3</v>
      </c>
      <c r="Q968" s="5">
        <v>-157.55000000000001</v>
      </c>
    </row>
    <row r="969" spans="1:17" x14ac:dyDescent="0.3">
      <c r="A969" s="8" t="s">
        <v>2395</v>
      </c>
      <c r="B969" s="9">
        <v>45505</v>
      </c>
      <c r="C969" s="9">
        <v>45506</v>
      </c>
      <c r="D969" s="8" t="s">
        <v>18</v>
      </c>
      <c r="E969" s="8" t="s">
        <v>1258</v>
      </c>
      <c r="F969" s="10" t="s">
        <v>1259</v>
      </c>
      <c r="G969" s="10" t="s">
        <v>21</v>
      </c>
      <c r="H969" s="10" t="s">
        <v>438</v>
      </c>
      <c r="I969" s="10" t="s">
        <v>157</v>
      </c>
      <c r="J969" s="10" t="s">
        <v>88</v>
      </c>
      <c r="K969" s="10" t="s">
        <v>45</v>
      </c>
      <c r="L969" s="10" t="s">
        <v>99</v>
      </c>
      <c r="M969" s="10" t="s">
        <v>2396</v>
      </c>
      <c r="N969" s="11">
        <v>110.3</v>
      </c>
      <c r="O969" s="12">
        <v>2</v>
      </c>
      <c r="P969" s="13">
        <v>0</v>
      </c>
      <c r="Q969" s="11">
        <v>39.909999999999997</v>
      </c>
    </row>
    <row r="970" spans="1:17" x14ac:dyDescent="0.3">
      <c r="A970" s="2" t="s">
        <v>2397</v>
      </c>
      <c r="B970" s="3">
        <v>45002</v>
      </c>
      <c r="C970" s="3">
        <v>45009</v>
      </c>
      <c r="D970" s="2" t="s">
        <v>29</v>
      </c>
      <c r="E970" s="2" t="s">
        <v>618</v>
      </c>
      <c r="F970" s="4" t="s">
        <v>619</v>
      </c>
      <c r="G970" s="4" t="s">
        <v>42</v>
      </c>
      <c r="H970" s="4" t="s">
        <v>260</v>
      </c>
      <c r="I970" s="4" t="s">
        <v>151</v>
      </c>
      <c r="J970" s="4" t="s">
        <v>34</v>
      </c>
      <c r="K970" s="4" t="s">
        <v>35</v>
      </c>
      <c r="L970" s="4" t="s">
        <v>81</v>
      </c>
      <c r="M970" s="4" t="s">
        <v>2398</v>
      </c>
      <c r="N970" s="5">
        <v>116.77</v>
      </c>
      <c r="O970" s="6">
        <v>7</v>
      </c>
      <c r="P970" s="7">
        <v>0.05</v>
      </c>
      <c r="Q970" s="5">
        <v>53.02</v>
      </c>
    </row>
    <row r="971" spans="1:17" x14ac:dyDescent="0.3">
      <c r="A971" s="8" t="s">
        <v>2399</v>
      </c>
      <c r="B971" s="9">
        <v>44560</v>
      </c>
      <c r="C971" s="9">
        <v>44562</v>
      </c>
      <c r="D971" s="8" t="s">
        <v>18</v>
      </c>
      <c r="E971" s="8" t="s">
        <v>127</v>
      </c>
      <c r="F971" s="10" t="s">
        <v>128</v>
      </c>
      <c r="G971" s="10" t="s">
        <v>21</v>
      </c>
      <c r="H971" s="10" t="s">
        <v>129</v>
      </c>
      <c r="I971" s="10" t="s">
        <v>33</v>
      </c>
      <c r="J971" s="10" t="s">
        <v>34</v>
      </c>
      <c r="K971" s="10" t="s">
        <v>25</v>
      </c>
      <c r="L971" s="10" t="s">
        <v>124</v>
      </c>
      <c r="M971" s="10" t="s">
        <v>2400</v>
      </c>
      <c r="N971" s="11">
        <v>13410.29</v>
      </c>
      <c r="O971" s="12">
        <v>10</v>
      </c>
      <c r="P971" s="13">
        <v>0.05</v>
      </c>
      <c r="Q971" s="11">
        <v>2870.62</v>
      </c>
    </row>
    <row r="972" spans="1:17" x14ac:dyDescent="0.3">
      <c r="A972" s="2" t="s">
        <v>2401</v>
      </c>
      <c r="B972" s="3">
        <v>44587</v>
      </c>
      <c r="C972" s="3">
        <v>44593</v>
      </c>
      <c r="D972" s="2" t="s">
        <v>29</v>
      </c>
      <c r="E972" s="2" t="s">
        <v>432</v>
      </c>
      <c r="F972" s="4" t="s">
        <v>433</v>
      </c>
      <c r="G972" s="4" t="s">
        <v>51</v>
      </c>
      <c r="H972" s="4" t="s">
        <v>171</v>
      </c>
      <c r="I972" s="4" t="s">
        <v>172</v>
      </c>
      <c r="J972" s="4" t="s">
        <v>24</v>
      </c>
      <c r="K972" s="4" t="s">
        <v>45</v>
      </c>
      <c r="L972" s="4" t="s">
        <v>99</v>
      </c>
      <c r="M972" s="4" t="s">
        <v>2402</v>
      </c>
      <c r="N972" s="5">
        <v>903.52</v>
      </c>
      <c r="O972" s="6">
        <v>8</v>
      </c>
      <c r="P972" s="7">
        <v>0.15</v>
      </c>
      <c r="Q972" s="5">
        <v>250.02</v>
      </c>
    </row>
    <row r="973" spans="1:17" x14ac:dyDescent="0.3">
      <c r="A973" s="8" t="s">
        <v>2403</v>
      </c>
      <c r="B973" s="9">
        <v>45283</v>
      </c>
      <c r="C973" s="9">
        <v>45287</v>
      </c>
      <c r="D973" s="8" t="s">
        <v>39</v>
      </c>
      <c r="E973" s="8" t="s">
        <v>1270</v>
      </c>
      <c r="F973" s="10" t="s">
        <v>1271</v>
      </c>
      <c r="G973" s="10" t="s">
        <v>51</v>
      </c>
      <c r="H973" s="10" t="s">
        <v>412</v>
      </c>
      <c r="I973" s="10" t="s">
        <v>178</v>
      </c>
      <c r="J973" s="10" t="s">
        <v>24</v>
      </c>
      <c r="K973" s="10" t="s">
        <v>35</v>
      </c>
      <c r="L973" s="10" t="s">
        <v>295</v>
      </c>
      <c r="M973" s="10" t="s">
        <v>2404</v>
      </c>
      <c r="N973" s="11">
        <v>178.17</v>
      </c>
      <c r="O973" s="12">
        <v>3</v>
      </c>
      <c r="P973" s="13">
        <v>0</v>
      </c>
      <c r="Q973" s="11">
        <v>86.18</v>
      </c>
    </row>
    <row r="974" spans="1:17" x14ac:dyDescent="0.3">
      <c r="A974" s="2" t="s">
        <v>2405</v>
      </c>
      <c r="B974" s="3">
        <v>44932</v>
      </c>
      <c r="C974" s="3">
        <v>44933</v>
      </c>
      <c r="D974" s="2" t="s">
        <v>18</v>
      </c>
      <c r="E974" s="2" t="s">
        <v>317</v>
      </c>
      <c r="F974" s="4" t="s">
        <v>318</v>
      </c>
      <c r="G974" s="4" t="s">
        <v>21</v>
      </c>
      <c r="H974" s="4" t="s">
        <v>319</v>
      </c>
      <c r="I974" s="4" t="s">
        <v>194</v>
      </c>
      <c r="J974" s="4" t="s">
        <v>34</v>
      </c>
      <c r="K974" s="4" t="s">
        <v>25</v>
      </c>
      <c r="L974" s="4" t="s">
        <v>124</v>
      </c>
      <c r="M974" s="4" t="s">
        <v>2406</v>
      </c>
      <c r="N974" s="5">
        <v>9840.74</v>
      </c>
      <c r="O974" s="6">
        <v>7</v>
      </c>
      <c r="P974" s="7">
        <v>0</v>
      </c>
      <c r="Q974" s="5">
        <v>2254.5300000000002</v>
      </c>
    </row>
    <row r="975" spans="1:17" x14ac:dyDescent="0.3">
      <c r="A975" s="8" t="s">
        <v>2407</v>
      </c>
      <c r="B975" s="9">
        <v>44247</v>
      </c>
      <c r="C975" s="9">
        <v>44249</v>
      </c>
      <c r="D975" s="8" t="s">
        <v>18</v>
      </c>
      <c r="E975" s="8" t="s">
        <v>227</v>
      </c>
      <c r="F975" s="10" t="s">
        <v>228</v>
      </c>
      <c r="G975" s="10" t="s">
        <v>51</v>
      </c>
      <c r="H975" s="10" t="s">
        <v>98</v>
      </c>
      <c r="I975" s="10" t="s">
        <v>80</v>
      </c>
      <c r="J975" s="10" t="s">
        <v>54</v>
      </c>
      <c r="K975" s="10" t="s">
        <v>25</v>
      </c>
      <c r="L975" s="10" t="s">
        <v>68</v>
      </c>
      <c r="M975" s="10" t="s">
        <v>2408</v>
      </c>
      <c r="N975" s="11">
        <v>413.33</v>
      </c>
      <c r="O975" s="12">
        <v>4</v>
      </c>
      <c r="P975" s="13">
        <v>0.05</v>
      </c>
      <c r="Q975" s="11">
        <v>179.88</v>
      </c>
    </row>
    <row r="976" spans="1:17" x14ac:dyDescent="0.3">
      <c r="A976" s="2" t="s">
        <v>2409</v>
      </c>
      <c r="B976" s="3">
        <v>44226</v>
      </c>
      <c r="C976" s="3">
        <v>44228</v>
      </c>
      <c r="D976" s="2" t="s">
        <v>39</v>
      </c>
      <c r="E976" s="2" t="s">
        <v>1464</v>
      </c>
      <c r="F976" s="4" t="s">
        <v>1465</v>
      </c>
      <c r="G976" s="4" t="s">
        <v>21</v>
      </c>
      <c r="H976" s="4" t="s">
        <v>438</v>
      </c>
      <c r="I976" s="4" t="s">
        <v>157</v>
      </c>
      <c r="J976" s="4" t="s">
        <v>88</v>
      </c>
      <c r="K976" s="4" t="s">
        <v>35</v>
      </c>
      <c r="L976" s="4" t="s">
        <v>81</v>
      </c>
      <c r="M976" s="4" t="s">
        <v>2410</v>
      </c>
      <c r="N976" s="5">
        <v>6.08</v>
      </c>
      <c r="O976" s="6">
        <v>1</v>
      </c>
      <c r="P976" s="7">
        <v>0.2</v>
      </c>
      <c r="Q976" s="5">
        <v>2.85</v>
      </c>
    </row>
    <row r="977" spans="1:17" x14ac:dyDescent="0.3">
      <c r="A977" s="8" t="s">
        <v>2411</v>
      </c>
      <c r="B977" s="9">
        <v>44756</v>
      </c>
      <c r="C977" s="9">
        <v>44763</v>
      </c>
      <c r="D977" s="8" t="s">
        <v>29</v>
      </c>
      <c r="E977" s="8" t="s">
        <v>175</v>
      </c>
      <c r="F977" s="10" t="s">
        <v>176</v>
      </c>
      <c r="G977" s="10" t="s">
        <v>51</v>
      </c>
      <c r="H977" s="10" t="s">
        <v>177</v>
      </c>
      <c r="I977" s="10" t="s">
        <v>178</v>
      </c>
      <c r="J977" s="10" t="s">
        <v>24</v>
      </c>
      <c r="K977" s="10" t="s">
        <v>25</v>
      </c>
      <c r="L977" s="10" t="s">
        <v>68</v>
      </c>
      <c r="M977" s="10" t="s">
        <v>2412</v>
      </c>
      <c r="N977" s="11">
        <v>1463.6</v>
      </c>
      <c r="O977" s="12">
        <v>10</v>
      </c>
      <c r="P977" s="13">
        <v>0</v>
      </c>
      <c r="Q977" s="11">
        <v>563.92999999999995</v>
      </c>
    </row>
    <row r="978" spans="1:17" x14ac:dyDescent="0.3">
      <c r="A978" s="2" t="s">
        <v>2413</v>
      </c>
      <c r="B978" s="3">
        <v>45632</v>
      </c>
      <c r="C978" s="3">
        <v>45638</v>
      </c>
      <c r="D978" s="2" t="s">
        <v>29</v>
      </c>
      <c r="E978" s="2" t="s">
        <v>588</v>
      </c>
      <c r="F978" s="4" t="s">
        <v>589</v>
      </c>
      <c r="G978" s="4" t="s">
        <v>42</v>
      </c>
      <c r="H978" s="4" t="s">
        <v>397</v>
      </c>
      <c r="I978" s="4" t="s">
        <v>33</v>
      </c>
      <c r="J978" s="4" t="s">
        <v>34</v>
      </c>
      <c r="K978" s="4" t="s">
        <v>35</v>
      </c>
      <c r="L978" s="4" t="s">
        <v>216</v>
      </c>
      <c r="M978" s="4" t="s">
        <v>2414</v>
      </c>
      <c r="N978" s="5">
        <v>393.12</v>
      </c>
      <c r="O978" s="6">
        <v>9</v>
      </c>
      <c r="P978" s="7">
        <v>0</v>
      </c>
      <c r="Q978" s="5">
        <v>182.86</v>
      </c>
    </row>
    <row r="979" spans="1:17" x14ac:dyDescent="0.3">
      <c r="A979" s="8" t="s">
        <v>2415</v>
      </c>
      <c r="B979" s="9">
        <v>44459</v>
      </c>
      <c r="C979" s="9">
        <v>44465</v>
      </c>
      <c r="D979" s="8" t="s">
        <v>29</v>
      </c>
      <c r="E979" s="8" t="s">
        <v>420</v>
      </c>
      <c r="F979" s="10" t="s">
        <v>421</v>
      </c>
      <c r="G979" s="10" t="s">
        <v>51</v>
      </c>
      <c r="H979" s="10" t="s">
        <v>422</v>
      </c>
      <c r="I979" s="10" t="s">
        <v>423</v>
      </c>
      <c r="J979" s="10" t="s">
        <v>88</v>
      </c>
      <c r="K979" s="10" t="s">
        <v>35</v>
      </c>
      <c r="L979" s="10" t="s">
        <v>166</v>
      </c>
      <c r="M979" s="10" t="s">
        <v>2416</v>
      </c>
      <c r="N979" s="11">
        <v>142.22999999999999</v>
      </c>
      <c r="O979" s="12">
        <v>3</v>
      </c>
      <c r="P979" s="13">
        <v>0.5</v>
      </c>
      <c r="Q979" s="11">
        <v>-42.04</v>
      </c>
    </row>
    <row r="980" spans="1:17" x14ac:dyDescent="0.3">
      <c r="A980" s="2" t="s">
        <v>2417</v>
      </c>
      <c r="B980" s="3">
        <v>45362</v>
      </c>
      <c r="C980" s="3">
        <v>45367</v>
      </c>
      <c r="D980" s="2" t="s">
        <v>29</v>
      </c>
      <c r="E980" s="2" t="s">
        <v>223</v>
      </c>
      <c r="F980" s="4" t="s">
        <v>224</v>
      </c>
      <c r="G980" s="4" t="s">
        <v>21</v>
      </c>
      <c r="H980" s="4" t="s">
        <v>59</v>
      </c>
      <c r="I980" s="4" t="s">
        <v>60</v>
      </c>
      <c r="J980" s="4" t="s">
        <v>54</v>
      </c>
      <c r="K980" s="4" t="s">
        <v>35</v>
      </c>
      <c r="L980" s="4" t="s">
        <v>36</v>
      </c>
      <c r="M980" s="4" t="s">
        <v>2418</v>
      </c>
      <c r="N980" s="5">
        <v>280.7</v>
      </c>
      <c r="O980" s="6">
        <v>6</v>
      </c>
      <c r="P980" s="7">
        <v>0.15</v>
      </c>
      <c r="Q980" s="5">
        <v>94.65</v>
      </c>
    </row>
    <row r="981" spans="1:17" x14ac:dyDescent="0.3">
      <c r="A981" s="8" t="s">
        <v>2419</v>
      </c>
      <c r="B981" s="9">
        <v>44749</v>
      </c>
      <c r="C981" s="9">
        <v>44754</v>
      </c>
      <c r="D981" s="8" t="s">
        <v>29</v>
      </c>
      <c r="E981" s="8" t="s">
        <v>1136</v>
      </c>
      <c r="F981" s="10" t="s">
        <v>1137</v>
      </c>
      <c r="G981" s="10" t="s">
        <v>51</v>
      </c>
      <c r="H981" s="10" t="s">
        <v>386</v>
      </c>
      <c r="I981" s="10" t="s">
        <v>347</v>
      </c>
      <c r="J981" s="10" t="s">
        <v>88</v>
      </c>
      <c r="K981" s="10" t="s">
        <v>35</v>
      </c>
      <c r="L981" s="10" t="s">
        <v>216</v>
      </c>
      <c r="M981" s="10" t="s">
        <v>2420</v>
      </c>
      <c r="N981" s="11">
        <v>28.77</v>
      </c>
      <c r="O981" s="12">
        <v>5</v>
      </c>
      <c r="P981" s="13">
        <v>0.3</v>
      </c>
      <c r="Q981" s="11">
        <v>7.09</v>
      </c>
    </row>
    <row r="982" spans="1:17" x14ac:dyDescent="0.3">
      <c r="A982" s="2" t="s">
        <v>2421</v>
      </c>
      <c r="B982" s="3">
        <v>44613</v>
      </c>
      <c r="C982" s="3">
        <v>44618</v>
      </c>
      <c r="D982" s="2" t="s">
        <v>73</v>
      </c>
      <c r="E982" s="2" t="s">
        <v>2422</v>
      </c>
      <c r="F982" s="4" t="s">
        <v>2423</v>
      </c>
      <c r="G982" s="4" t="s">
        <v>51</v>
      </c>
      <c r="H982" s="4" t="s">
        <v>422</v>
      </c>
      <c r="I982" s="4" t="s">
        <v>423</v>
      </c>
      <c r="J982" s="4" t="s">
        <v>88</v>
      </c>
      <c r="K982" s="4" t="s">
        <v>25</v>
      </c>
      <c r="L982" s="4" t="s">
        <v>124</v>
      </c>
      <c r="M982" s="4" t="s">
        <v>2424</v>
      </c>
      <c r="N982" s="5">
        <v>6633.15</v>
      </c>
      <c r="O982" s="6">
        <v>5</v>
      </c>
      <c r="P982" s="7">
        <v>0</v>
      </c>
      <c r="Q982" s="5">
        <v>1646.29</v>
      </c>
    </row>
    <row r="983" spans="1:17" x14ac:dyDescent="0.3">
      <c r="A983" s="8" t="s">
        <v>2425</v>
      </c>
      <c r="B983" s="9">
        <v>45539</v>
      </c>
      <c r="C983" s="9">
        <v>45544</v>
      </c>
      <c r="D983" s="8" t="s">
        <v>29</v>
      </c>
      <c r="E983" s="8" t="s">
        <v>265</v>
      </c>
      <c r="F983" s="10" t="s">
        <v>266</v>
      </c>
      <c r="G983" s="10" t="s">
        <v>21</v>
      </c>
      <c r="H983" s="10" t="s">
        <v>171</v>
      </c>
      <c r="I983" s="10" t="s">
        <v>172</v>
      </c>
      <c r="J983" s="10" t="s">
        <v>24</v>
      </c>
      <c r="K983" s="10" t="s">
        <v>45</v>
      </c>
      <c r="L983" s="10" t="s">
        <v>117</v>
      </c>
      <c r="M983" s="10" t="s">
        <v>2426</v>
      </c>
      <c r="N983" s="11">
        <v>286.17</v>
      </c>
      <c r="O983" s="12">
        <v>3</v>
      </c>
      <c r="P983" s="13">
        <v>0.5</v>
      </c>
      <c r="Q983" s="11">
        <v>-94.13</v>
      </c>
    </row>
    <row r="984" spans="1:17" x14ac:dyDescent="0.3">
      <c r="A984" s="2" t="s">
        <v>2427</v>
      </c>
      <c r="B984" s="3">
        <v>44369</v>
      </c>
      <c r="C984" s="3">
        <v>44374</v>
      </c>
      <c r="D984" s="2" t="s">
        <v>73</v>
      </c>
      <c r="E984" s="2" t="s">
        <v>813</v>
      </c>
      <c r="F984" s="4" t="s">
        <v>814</v>
      </c>
      <c r="G984" s="4" t="s">
        <v>51</v>
      </c>
      <c r="H984" s="4" t="s">
        <v>134</v>
      </c>
      <c r="I984" s="4" t="s">
        <v>87</v>
      </c>
      <c r="J984" s="4" t="s">
        <v>88</v>
      </c>
      <c r="K984" s="4" t="s">
        <v>25</v>
      </c>
      <c r="L984" s="4" t="s">
        <v>124</v>
      </c>
      <c r="M984" s="4" t="s">
        <v>2428</v>
      </c>
      <c r="N984" s="5">
        <v>18847.8</v>
      </c>
      <c r="O984" s="6">
        <v>9</v>
      </c>
      <c r="P984" s="7">
        <v>0</v>
      </c>
      <c r="Q984" s="5">
        <v>5185.87</v>
      </c>
    </row>
    <row r="985" spans="1:17" x14ac:dyDescent="0.3">
      <c r="A985" s="8" t="s">
        <v>2429</v>
      </c>
      <c r="B985" s="9">
        <v>44241</v>
      </c>
      <c r="C985" s="9">
        <v>44242</v>
      </c>
      <c r="D985" s="8" t="s">
        <v>18</v>
      </c>
      <c r="E985" s="8" t="s">
        <v>406</v>
      </c>
      <c r="F985" s="10" t="s">
        <v>407</v>
      </c>
      <c r="G985" s="10" t="s">
        <v>42</v>
      </c>
      <c r="H985" s="10" t="s">
        <v>165</v>
      </c>
      <c r="I985" s="10" t="s">
        <v>44</v>
      </c>
      <c r="J985" s="10" t="s">
        <v>24</v>
      </c>
      <c r="K985" s="10" t="s">
        <v>35</v>
      </c>
      <c r="L985" s="10" t="s">
        <v>110</v>
      </c>
      <c r="M985" s="10" t="s">
        <v>2430</v>
      </c>
      <c r="N985" s="11">
        <v>117.38</v>
      </c>
      <c r="O985" s="12">
        <v>4</v>
      </c>
      <c r="P985" s="13">
        <v>0.2</v>
      </c>
      <c r="Q985" s="11">
        <v>46.06</v>
      </c>
    </row>
    <row r="986" spans="1:17" x14ac:dyDescent="0.3">
      <c r="A986" s="2" t="s">
        <v>2431</v>
      </c>
      <c r="B986" s="3">
        <v>45001</v>
      </c>
      <c r="C986" s="3">
        <v>45004</v>
      </c>
      <c r="D986" s="2" t="s">
        <v>39</v>
      </c>
      <c r="E986" s="2" t="s">
        <v>84</v>
      </c>
      <c r="F986" s="4" t="s">
        <v>85</v>
      </c>
      <c r="G986" s="4" t="s">
        <v>21</v>
      </c>
      <c r="H986" s="4" t="s">
        <v>86</v>
      </c>
      <c r="I986" s="4" t="s">
        <v>87</v>
      </c>
      <c r="J986" s="4" t="s">
        <v>88</v>
      </c>
      <c r="K986" s="4" t="s">
        <v>25</v>
      </c>
      <c r="L986" s="4" t="s">
        <v>124</v>
      </c>
      <c r="M986" s="4" t="s">
        <v>2432</v>
      </c>
      <c r="N986" s="5">
        <v>4998.25</v>
      </c>
      <c r="O986" s="6">
        <v>5</v>
      </c>
      <c r="P986" s="7">
        <v>0.15</v>
      </c>
      <c r="Q986" s="5">
        <v>187.18</v>
      </c>
    </row>
    <row r="987" spans="1:17" x14ac:dyDescent="0.3">
      <c r="A987" s="8" t="s">
        <v>2433</v>
      </c>
      <c r="B987" s="9">
        <v>44838</v>
      </c>
      <c r="C987" s="9">
        <v>44842</v>
      </c>
      <c r="D987" s="8" t="s">
        <v>39</v>
      </c>
      <c r="E987" s="8" t="s">
        <v>1025</v>
      </c>
      <c r="F987" s="10" t="s">
        <v>1026</v>
      </c>
      <c r="G987" s="10" t="s">
        <v>21</v>
      </c>
      <c r="H987" s="10" t="s">
        <v>412</v>
      </c>
      <c r="I987" s="10" t="s">
        <v>178</v>
      </c>
      <c r="J987" s="10" t="s">
        <v>24</v>
      </c>
      <c r="K987" s="10" t="s">
        <v>45</v>
      </c>
      <c r="L987" s="10" t="s">
        <v>99</v>
      </c>
      <c r="M987" s="10" t="s">
        <v>2434</v>
      </c>
      <c r="N987" s="11">
        <v>297.89999999999998</v>
      </c>
      <c r="O987" s="12">
        <v>10</v>
      </c>
      <c r="P987" s="13">
        <v>0.4</v>
      </c>
      <c r="Q987" s="11">
        <v>-40.83</v>
      </c>
    </row>
    <row r="988" spans="1:17" x14ac:dyDescent="0.3">
      <c r="A988" s="2" t="s">
        <v>2435</v>
      </c>
      <c r="B988" s="3">
        <v>45194</v>
      </c>
      <c r="C988" s="3">
        <v>45196</v>
      </c>
      <c r="D988" s="2" t="s">
        <v>39</v>
      </c>
      <c r="E988" s="2" t="s">
        <v>329</v>
      </c>
      <c r="F988" s="4" t="s">
        <v>330</v>
      </c>
      <c r="G988" s="4" t="s">
        <v>42</v>
      </c>
      <c r="H988" s="4" t="s">
        <v>66</v>
      </c>
      <c r="I988" s="4" t="s">
        <v>67</v>
      </c>
      <c r="J988" s="4" t="s">
        <v>34</v>
      </c>
      <c r="K988" s="4" t="s">
        <v>35</v>
      </c>
      <c r="L988" s="4" t="s">
        <v>110</v>
      </c>
      <c r="M988" s="4" t="s">
        <v>634</v>
      </c>
      <c r="N988" s="5">
        <v>17.260000000000002</v>
      </c>
      <c r="O988" s="6">
        <v>3</v>
      </c>
      <c r="P988" s="7">
        <v>0.2</v>
      </c>
      <c r="Q988" s="5">
        <v>4.3899999999999997</v>
      </c>
    </row>
    <row r="989" spans="1:17" x14ac:dyDescent="0.3">
      <c r="A989" s="8" t="s">
        <v>2436</v>
      </c>
      <c r="B989" s="9">
        <v>45486</v>
      </c>
      <c r="C989" s="9">
        <v>45490</v>
      </c>
      <c r="D989" s="8" t="s">
        <v>39</v>
      </c>
      <c r="E989" s="8" t="s">
        <v>432</v>
      </c>
      <c r="F989" s="10" t="s">
        <v>433</v>
      </c>
      <c r="G989" s="10" t="s">
        <v>51</v>
      </c>
      <c r="H989" s="10" t="s">
        <v>171</v>
      </c>
      <c r="I989" s="10" t="s">
        <v>172</v>
      </c>
      <c r="J989" s="10" t="s">
        <v>24</v>
      </c>
      <c r="K989" s="10" t="s">
        <v>25</v>
      </c>
      <c r="L989" s="10" t="s">
        <v>74</v>
      </c>
      <c r="M989" s="10" t="s">
        <v>2437</v>
      </c>
      <c r="N989" s="11">
        <v>1357.11</v>
      </c>
      <c r="O989" s="12">
        <v>3</v>
      </c>
      <c r="P989" s="13">
        <v>0.4</v>
      </c>
      <c r="Q989" s="11">
        <v>61.97</v>
      </c>
    </row>
    <row r="990" spans="1:17" x14ac:dyDescent="0.3">
      <c r="A990" s="2" t="s">
        <v>2438</v>
      </c>
      <c r="B990" s="3">
        <v>45212</v>
      </c>
      <c r="C990" s="3">
        <v>45215</v>
      </c>
      <c r="D990" s="2" t="s">
        <v>18</v>
      </c>
      <c r="E990" s="2" t="s">
        <v>1070</v>
      </c>
      <c r="F990" s="4" t="s">
        <v>1071</v>
      </c>
      <c r="G990" s="4" t="s">
        <v>51</v>
      </c>
      <c r="H990" s="4" t="s">
        <v>177</v>
      </c>
      <c r="I990" s="4" t="s">
        <v>178</v>
      </c>
      <c r="J990" s="4" t="s">
        <v>24</v>
      </c>
      <c r="K990" s="4" t="s">
        <v>45</v>
      </c>
      <c r="L990" s="4" t="s">
        <v>99</v>
      </c>
      <c r="M990" s="4" t="s">
        <v>2439</v>
      </c>
      <c r="N990" s="5">
        <v>505.89</v>
      </c>
      <c r="O990" s="6">
        <v>5</v>
      </c>
      <c r="P990" s="7">
        <v>0.3</v>
      </c>
      <c r="Q990" s="5">
        <v>-13.9</v>
      </c>
    </row>
    <row r="991" spans="1:17" x14ac:dyDescent="0.3">
      <c r="A991" s="8" t="s">
        <v>2440</v>
      </c>
      <c r="B991" s="9">
        <v>44457</v>
      </c>
      <c r="C991" s="9">
        <v>44460</v>
      </c>
      <c r="D991" s="8" t="s">
        <v>18</v>
      </c>
      <c r="E991" s="8" t="s">
        <v>997</v>
      </c>
      <c r="F991" s="10" t="s">
        <v>998</v>
      </c>
      <c r="G991" s="10" t="s">
        <v>21</v>
      </c>
      <c r="H991" s="10" t="s">
        <v>357</v>
      </c>
      <c r="I991" s="10" t="s">
        <v>251</v>
      </c>
      <c r="J991" s="10" t="s">
        <v>88</v>
      </c>
      <c r="K991" s="10" t="s">
        <v>25</v>
      </c>
      <c r="L991" s="10" t="s">
        <v>74</v>
      </c>
      <c r="M991" s="10" t="s">
        <v>2441</v>
      </c>
      <c r="N991" s="11">
        <v>4153.9399999999996</v>
      </c>
      <c r="O991" s="12">
        <v>7</v>
      </c>
      <c r="P991" s="13">
        <v>0</v>
      </c>
      <c r="Q991" s="11">
        <v>1814.88</v>
      </c>
    </row>
    <row r="992" spans="1:17" x14ac:dyDescent="0.3">
      <c r="A992" s="2" t="s">
        <v>2442</v>
      </c>
      <c r="B992" s="3">
        <v>45027</v>
      </c>
      <c r="C992" s="3">
        <v>45031</v>
      </c>
      <c r="D992" s="2" t="s">
        <v>73</v>
      </c>
      <c r="E992" s="2" t="s">
        <v>618</v>
      </c>
      <c r="F992" s="4" t="s">
        <v>619</v>
      </c>
      <c r="G992" s="4" t="s">
        <v>42</v>
      </c>
      <c r="H992" s="4" t="s">
        <v>260</v>
      </c>
      <c r="I992" s="4" t="s">
        <v>151</v>
      </c>
      <c r="J992" s="4" t="s">
        <v>34</v>
      </c>
      <c r="K992" s="4" t="s">
        <v>25</v>
      </c>
      <c r="L992" s="4" t="s">
        <v>68</v>
      </c>
      <c r="M992" s="4" t="s">
        <v>2443</v>
      </c>
      <c r="N992" s="5">
        <v>1564.16</v>
      </c>
      <c r="O992" s="6">
        <v>8</v>
      </c>
      <c r="P992" s="7">
        <v>0</v>
      </c>
      <c r="Q992" s="5">
        <v>532.01</v>
      </c>
    </row>
    <row r="993" spans="1:17" x14ac:dyDescent="0.3">
      <c r="A993" s="8" t="s">
        <v>2444</v>
      </c>
      <c r="B993" s="9">
        <v>44542</v>
      </c>
      <c r="C993" s="9">
        <v>44539</v>
      </c>
      <c r="D993" s="8" t="s">
        <v>29</v>
      </c>
      <c r="E993" s="8" t="s">
        <v>500</v>
      </c>
      <c r="F993" s="10" t="s">
        <v>501</v>
      </c>
      <c r="G993" s="10" t="s">
        <v>21</v>
      </c>
      <c r="H993" s="10" t="s">
        <v>104</v>
      </c>
      <c r="I993" s="10" t="s">
        <v>105</v>
      </c>
      <c r="J993" s="10" t="s">
        <v>88</v>
      </c>
      <c r="K993" s="10" t="s">
        <v>25</v>
      </c>
      <c r="L993" s="10" t="s">
        <v>124</v>
      </c>
      <c r="M993" s="10" t="s">
        <v>2445</v>
      </c>
      <c r="N993" s="11">
        <v>27780.51</v>
      </c>
      <c r="O993" s="12">
        <v>8</v>
      </c>
      <c r="P993" s="13">
        <v>0.05</v>
      </c>
      <c r="Q993" s="11">
        <v>6963.1</v>
      </c>
    </row>
    <row r="994" spans="1:17" x14ac:dyDescent="0.3">
      <c r="A994" s="2" t="s">
        <v>2446</v>
      </c>
      <c r="B994" s="3">
        <v>44318</v>
      </c>
      <c r="C994" s="3">
        <v>44322</v>
      </c>
      <c r="D994" s="2" t="s">
        <v>39</v>
      </c>
      <c r="E994" s="2" t="s">
        <v>1047</v>
      </c>
      <c r="F994" s="4" t="s">
        <v>1048</v>
      </c>
      <c r="G994" s="4" t="s">
        <v>42</v>
      </c>
      <c r="H994" s="4" t="s">
        <v>79</v>
      </c>
      <c r="I994" s="4" t="s">
        <v>80</v>
      </c>
      <c r="J994" s="4" t="s">
        <v>54</v>
      </c>
      <c r="K994" s="4" t="s">
        <v>25</v>
      </c>
      <c r="L994" s="4" t="s">
        <v>74</v>
      </c>
      <c r="M994" s="4" t="s">
        <v>2447</v>
      </c>
      <c r="N994" s="5">
        <v>449.76</v>
      </c>
      <c r="O994" s="6">
        <v>3</v>
      </c>
      <c r="P994" s="7">
        <v>0.05</v>
      </c>
      <c r="Q994" s="5">
        <v>132.47999999999999</v>
      </c>
    </row>
    <row r="995" spans="1:17" x14ac:dyDescent="0.3">
      <c r="A995" s="8" t="s">
        <v>2448</v>
      </c>
      <c r="B995" s="9">
        <v>44787</v>
      </c>
      <c r="C995" s="9">
        <v>44792</v>
      </c>
      <c r="D995" s="8" t="s">
        <v>29</v>
      </c>
      <c r="E995" s="8" t="s">
        <v>380</v>
      </c>
      <c r="F995" s="10" t="s">
        <v>381</v>
      </c>
      <c r="G995" s="10" t="s">
        <v>51</v>
      </c>
      <c r="H995" s="10" t="s">
        <v>156</v>
      </c>
      <c r="I995" s="10" t="s">
        <v>157</v>
      </c>
      <c r="J995" s="10" t="s">
        <v>88</v>
      </c>
      <c r="K995" s="10" t="s">
        <v>45</v>
      </c>
      <c r="L995" s="10" t="s">
        <v>99</v>
      </c>
      <c r="M995" s="10" t="s">
        <v>2449</v>
      </c>
      <c r="N995" s="11">
        <v>202.49</v>
      </c>
      <c r="O995" s="12">
        <v>5</v>
      </c>
      <c r="P995" s="13">
        <v>0.05</v>
      </c>
      <c r="Q995" s="11"/>
    </row>
    <row r="996" spans="1:17" x14ac:dyDescent="0.3">
      <c r="A996" s="2" t="s">
        <v>2450</v>
      </c>
      <c r="B996" s="3">
        <v>45480</v>
      </c>
      <c r="C996" s="3">
        <v>45485</v>
      </c>
      <c r="D996" s="2" t="s">
        <v>73</v>
      </c>
      <c r="E996" s="2" t="s">
        <v>2451</v>
      </c>
      <c r="F996" s="4" t="s">
        <v>2452</v>
      </c>
      <c r="G996" s="4" t="s">
        <v>21</v>
      </c>
      <c r="H996" s="4" t="s">
        <v>59</v>
      </c>
      <c r="I996" s="4" t="s">
        <v>60</v>
      </c>
      <c r="J996" s="4" t="s">
        <v>54</v>
      </c>
      <c r="K996" s="4" t="s">
        <v>45</v>
      </c>
      <c r="L996" s="4" t="s">
        <v>117</v>
      </c>
      <c r="M996" s="4" t="s">
        <v>2453</v>
      </c>
      <c r="N996" s="5">
        <v>173.61</v>
      </c>
      <c r="O996" s="6">
        <v>1</v>
      </c>
      <c r="P996" s="7">
        <v>0.15</v>
      </c>
      <c r="Q996" s="5">
        <v>10.75</v>
      </c>
    </row>
    <row r="997" spans="1:17" x14ac:dyDescent="0.3">
      <c r="A997" s="8" t="s">
        <v>2454</v>
      </c>
      <c r="B997" s="9">
        <v>45218</v>
      </c>
      <c r="C997" s="9">
        <v>45225</v>
      </c>
      <c r="D997" s="8" t="s">
        <v>29</v>
      </c>
      <c r="E997" s="8" t="s">
        <v>468</v>
      </c>
      <c r="F997" s="10" t="s">
        <v>469</v>
      </c>
      <c r="G997" s="10" t="s">
        <v>51</v>
      </c>
      <c r="H997" s="10" t="s">
        <v>372</v>
      </c>
      <c r="I997" s="10" t="s">
        <v>373</v>
      </c>
      <c r="J997" s="10" t="s">
        <v>34</v>
      </c>
      <c r="K997" s="10" t="s">
        <v>45</v>
      </c>
      <c r="L997" s="10" t="s">
        <v>117</v>
      </c>
      <c r="M997" s="10" t="s">
        <v>2455</v>
      </c>
      <c r="N997" s="11">
        <v>259.7</v>
      </c>
      <c r="O997" s="12">
        <v>5</v>
      </c>
      <c r="P997" s="13">
        <v>0</v>
      </c>
      <c r="Q997" s="11">
        <v>74.430000000000007</v>
      </c>
    </row>
    <row r="998" spans="1:17" x14ac:dyDescent="0.3">
      <c r="A998" s="2" t="s">
        <v>2456</v>
      </c>
      <c r="B998" s="3">
        <v>45359</v>
      </c>
      <c r="C998" s="3">
        <v>45362</v>
      </c>
      <c r="D998" s="2" t="s">
        <v>73</v>
      </c>
      <c r="E998" s="2" t="s">
        <v>1330</v>
      </c>
      <c r="F998" s="4" t="s">
        <v>1331</v>
      </c>
      <c r="G998" s="4" t="s">
        <v>51</v>
      </c>
      <c r="H998" s="4" t="s">
        <v>52</v>
      </c>
      <c r="I998" s="4" t="s">
        <v>53</v>
      </c>
      <c r="J998" s="4" t="s">
        <v>54</v>
      </c>
      <c r="K998" s="4" t="s">
        <v>35</v>
      </c>
      <c r="L998" s="4" t="s">
        <v>229</v>
      </c>
      <c r="M998" s="4" t="s">
        <v>2457</v>
      </c>
      <c r="N998" s="5">
        <v>12.45</v>
      </c>
      <c r="O998" s="6">
        <v>1</v>
      </c>
      <c r="P998" s="7">
        <v>0.15</v>
      </c>
      <c r="Q998" s="5">
        <v>4.1500000000000004</v>
      </c>
    </row>
    <row r="999" spans="1:17" x14ac:dyDescent="0.3">
      <c r="A999" s="8" t="s">
        <v>2458</v>
      </c>
      <c r="B999" s="9">
        <v>45454</v>
      </c>
      <c r="C999" s="9">
        <v>45456</v>
      </c>
      <c r="D999" s="8" t="s">
        <v>18</v>
      </c>
      <c r="E999" s="8" t="s">
        <v>197</v>
      </c>
      <c r="F999" s="10" t="s">
        <v>198</v>
      </c>
      <c r="G999" s="10" t="s">
        <v>21</v>
      </c>
      <c r="H999" s="10" t="s">
        <v>129</v>
      </c>
      <c r="I999" s="10" t="s">
        <v>33</v>
      </c>
      <c r="J999" s="10" t="s">
        <v>34</v>
      </c>
      <c r="K999" s="10" t="s">
        <v>45</v>
      </c>
      <c r="L999" s="10" t="s">
        <v>61</v>
      </c>
      <c r="M999" s="10" t="s">
        <v>2459</v>
      </c>
      <c r="N999" s="11">
        <v>485.72</v>
      </c>
      <c r="O999" s="12">
        <v>2</v>
      </c>
      <c r="P999" s="13">
        <v>0.15</v>
      </c>
      <c r="Q999" s="11">
        <v>-38.19</v>
      </c>
    </row>
    <row r="1000" spans="1:17" x14ac:dyDescent="0.3">
      <c r="A1000" s="2" t="s">
        <v>2460</v>
      </c>
      <c r="B1000" s="3">
        <v>45641</v>
      </c>
      <c r="C1000" s="3">
        <v>45644</v>
      </c>
      <c r="D1000" s="2" t="s">
        <v>18</v>
      </c>
      <c r="E1000" s="2" t="s">
        <v>169</v>
      </c>
      <c r="F1000" s="4" t="s">
        <v>170</v>
      </c>
      <c r="G1000" s="4" t="s">
        <v>21</v>
      </c>
      <c r="H1000" s="4" t="s">
        <v>171</v>
      </c>
      <c r="I1000" s="4" t="s">
        <v>172</v>
      </c>
      <c r="J1000" s="4" t="s">
        <v>24</v>
      </c>
      <c r="K1000" s="4" t="s">
        <v>25</v>
      </c>
      <c r="L1000" s="4" t="s">
        <v>74</v>
      </c>
      <c r="M1000" s="4" t="s">
        <v>2461</v>
      </c>
      <c r="N1000" s="5">
        <v>563.52</v>
      </c>
      <c r="O1000" s="6">
        <v>5</v>
      </c>
      <c r="P1000" s="7">
        <v>0.5</v>
      </c>
      <c r="Q1000" s="5">
        <v>-107.18</v>
      </c>
    </row>
    <row r="1001" spans="1:17" x14ac:dyDescent="0.3">
      <c r="A1001" s="8" t="s">
        <v>2462</v>
      </c>
      <c r="B1001" s="9">
        <v>45166</v>
      </c>
      <c r="C1001" s="9">
        <v>45171</v>
      </c>
      <c r="D1001" s="8" t="s">
        <v>29</v>
      </c>
      <c r="E1001" s="8" t="s">
        <v>954</v>
      </c>
      <c r="F1001" s="10" t="s">
        <v>955</v>
      </c>
      <c r="G1001" s="10" t="s">
        <v>51</v>
      </c>
      <c r="H1001" s="10" t="s">
        <v>386</v>
      </c>
      <c r="I1001" s="10" t="s">
        <v>347</v>
      </c>
      <c r="J1001" s="10" t="s">
        <v>88</v>
      </c>
      <c r="K1001" s="10" t="s">
        <v>35</v>
      </c>
      <c r="L1001" s="10" t="s">
        <v>216</v>
      </c>
      <c r="M1001" s="10" t="s">
        <v>2463</v>
      </c>
      <c r="N1001" s="11">
        <v>105</v>
      </c>
      <c r="O1001" s="12">
        <v>7</v>
      </c>
      <c r="P1001" s="13">
        <v>0</v>
      </c>
      <c r="Q1001" s="11">
        <v>54.04</v>
      </c>
    </row>
    <row r="1002" spans="1:17" x14ac:dyDescent="0.3">
      <c r="A1002" s="2" t="s">
        <v>2464</v>
      </c>
      <c r="B1002" s="3">
        <v>44649</v>
      </c>
      <c r="C1002" s="3">
        <v>44651</v>
      </c>
      <c r="D1002" s="2" t="s">
        <v>39</v>
      </c>
      <c r="E1002" s="2" t="s">
        <v>1236</v>
      </c>
      <c r="F1002" s="4" t="s">
        <v>1237</v>
      </c>
      <c r="G1002" s="4" t="s">
        <v>51</v>
      </c>
      <c r="H1002" s="4" t="s">
        <v>300</v>
      </c>
      <c r="I1002" s="4" t="s">
        <v>184</v>
      </c>
      <c r="J1002" s="4" t="s">
        <v>54</v>
      </c>
      <c r="K1002" s="4" t="s">
        <v>25</v>
      </c>
      <c r="L1002" s="4" t="s">
        <v>26</v>
      </c>
      <c r="M1002" s="4" t="s">
        <v>2465</v>
      </c>
      <c r="N1002" s="5">
        <v>4875.3900000000003</v>
      </c>
      <c r="O1002" s="6">
        <v>9</v>
      </c>
      <c r="P1002" s="7">
        <v>0</v>
      </c>
      <c r="Q1002" s="5">
        <v>1239.55</v>
      </c>
    </row>
    <row r="1003" spans="1:17" x14ac:dyDescent="0.3">
      <c r="A1003" s="8" t="s">
        <v>2466</v>
      </c>
      <c r="B1003" s="9">
        <v>44432</v>
      </c>
      <c r="C1003" s="9">
        <v>44436</v>
      </c>
      <c r="D1003" s="8" t="s">
        <v>39</v>
      </c>
      <c r="E1003" s="8" t="s">
        <v>838</v>
      </c>
      <c r="F1003" s="10" t="s">
        <v>839</v>
      </c>
      <c r="G1003" s="10" t="s">
        <v>51</v>
      </c>
      <c r="H1003" s="10" t="s">
        <v>438</v>
      </c>
      <c r="I1003" s="10" t="s">
        <v>157</v>
      </c>
      <c r="J1003" s="10" t="s">
        <v>88</v>
      </c>
      <c r="K1003" s="10" t="s">
        <v>35</v>
      </c>
      <c r="L1003" s="10" t="s">
        <v>81</v>
      </c>
      <c r="M1003" s="10" t="s">
        <v>2467</v>
      </c>
      <c r="N1003" s="11">
        <v>173.61</v>
      </c>
      <c r="O1003" s="12">
        <v>9</v>
      </c>
      <c r="P1003" s="13">
        <v>0</v>
      </c>
      <c r="Q1003" s="11">
        <v>93.76</v>
      </c>
    </row>
    <row r="1004" spans="1:17" x14ac:dyDescent="0.3">
      <c r="A1004" s="2" t="s">
        <v>2468</v>
      </c>
      <c r="B1004" s="3">
        <v>45035</v>
      </c>
      <c r="C1004" s="3">
        <v>45041</v>
      </c>
      <c r="D1004" s="2" t="s">
        <v>29</v>
      </c>
      <c r="E1004" s="2" t="s">
        <v>364</v>
      </c>
      <c r="F1004" s="4" t="s">
        <v>365</v>
      </c>
      <c r="G1004" s="4" t="s">
        <v>42</v>
      </c>
      <c r="H1004" s="4" t="s">
        <v>193</v>
      </c>
      <c r="I1004" s="4" t="s">
        <v>194</v>
      </c>
      <c r="J1004" s="4" t="s">
        <v>34</v>
      </c>
      <c r="K1004" s="4" t="s">
        <v>25</v>
      </c>
      <c r="L1004" s="4" t="s">
        <v>68</v>
      </c>
      <c r="M1004" s="4" t="s">
        <v>2469</v>
      </c>
      <c r="N1004" s="5">
        <v>39.270000000000003</v>
      </c>
      <c r="O1004" s="6">
        <v>3</v>
      </c>
      <c r="P1004" s="7">
        <v>0.3</v>
      </c>
      <c r="Q1004" s="5">
        <v>8.84</v>
      </c>
    </row>
    <row r="1005" spans="1:17" x14ac:dyDescent="0.3">
      <c r="A1005" s="8" t="s">
        <v>2470</v>
      </c>
      <c r="B1005" s="9">
        <v>45162</v>
      </c>
      <c r="C1005" s="9">
        <v>45168</v>
      </c>
      <c r="D1005" s="8" t="s">
        <v>29</v>
      </c>
      <c r="E1005" s="8" t="s">
        <v>1258</v>
      </c>
      <c r="F1005" s="10" t="s">
        <v>1259</v>
      </c>
      <c r="G1005" s="10" t="s">
        <v>21</v>
      </c>
      <c r="H1005" s="10" t="s">
        <v>438</v>
      </c>
      <c r="I1005" s="10" t="s">
        <v>157</v>
      </c>
      <c r="J1005" s="10" t="s">
        <v>88</v>
      </c>
      <c r="K1005" s="10" t="s">
        <v>45</v>
      </c>
      <c r="L1005" s="10" t="s">
        <v>46</v>
      </c>
      <c r="M1005" s="10" t="s">
        <v>2471</v>
      </c>
      <c r="N1005" s="11">
        <v>419.16</v>
      </c>
      <c r="O1005" s="12">
        <v>3</v>
      </c>
      <c r="P1005" s="13">
        <v>0.3</v>
      </c>
      <c r="Q1005" s="11">
        <v>-14.5</v>
      </c>
    </row>
    <row r="1006" spans="1:17" x14ac:dyDescent="0.3">
      <c r="A1006" s="2" t="s">
        <v>2472</v>
      </c>
      <c r="B1006" s="3">
        <v>44600</v>
      </c>
      <c r="C1006" s="3">
        <v>44601</v>
      </c>
      <c r="D1006" s="2" t="s">
        <v>18</v>
      </c>
      <c r="E1006" s="2" t="s">
        <v>553</v>
      </c>
      <c r="F1006" s="4" t="s">
        <v>554</v>
      </c>
      <c r="G1006" s="4" t="s">
        <v>42</v>
      </c>
      <c r="H1006" s="4" t="s">
        <v>177</v>
      </c>
      <c r="I1006" s="4" t="s">
        <v>178</v>
      </c>
      <c r="J1006" s="4" t="s">
        <v>24</v>
      </c>
      <c r="K1006" s="4" t="s">
        <v>35</v>
      </c>
      <c r="L1006" s="4" t="s">
        <v>216</v>
      </c>
      <c r="M1006" s="4" t="s">
        <v>2473</v>
      </c>
      <c r="N1006" s="5">
        <v>323.19</v>
      </c>
      <c r="O1006" s="6">
        <v>9</v>
      </c>
      <c r="P1006" s="7">
        <v>0</v>
      </c>
      <c r="Q1006" s="5">
        <v>152.38</v>
      </c>
    </row>
  </sheetData>
  <autoFilter ref="A1:Q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6C30-6CDC-47B2-BC44-CD5DE4E39761}">
  <dimension ref="A1:U1008"/>
  <sheetViews>
    <sheetView topLeftCell="K969" zoomScale="65" workbookViewId="0">
      <selection activeCell="U1" sqref="U1"/>
    </sheetView>
  </sheetViews>
  <sheetFormatPr defaultRowHeight="14.4" x14ac:dyDescent="0.3"/>
  <cols>
    <col min="1" max="1" width="17.44140625" customWidth="1"/>
    <col min="2" max="2" width="21.21875" style="34" customWidth="1"/>
    <col min="3" max="3" width="19" style="34" customWidth="1"/>
    <col min="4" max="5" width="23.21875" customWidth="1"/>
    <col min="6" max="6" width="25.109375" customWidth="1"/>
    <col min="7" max="7" width="18.109375" customWidth="1"/>
    <col min="8" max="8" width="17.109375" customWidth="1"/>
    <col min="9" max="9" width="19" customWidth="1"/>
    <col min="10" max="10" width="15.6640625" customWidth="1"/>
    <col min="11" max="11" width="23.77734375" customWidth="1"/>
    <col min="12" max="12" width="25.109375" customWidth="1"/>
    <col min="13" max="13" width="23.6640625" customWidth="1"/>
    <col min="14" max="14" width="16" customWidth="1"/>
    <col min="15" max="15" width="25.88671875" customWidth="1"/>
    <col min="16" max="16" width="11.44140625" customWidth="1"/>
    <col min="17" max="17" width="15.88671875" customWidth="1"/>
    <col min="18" max="18" width="16.5546875" customWidth="1"/>
    <col min="19" max="19" width="26.6640625" customWidth="1"/>
    <col min="20" max="20" width="20" customWidth="1"/>
    <col min="21" max="21" width="21" customWidth="1"/>
  </cols>
  <sheetData>
    <row r="1" spans="1:21" ht="28.8" x14ac:dyDescent="0.3">
      <c r="A1" s="20" t="s">
        <v>0</v>
      </c>
      <c r="B1" s="30" t="s">
        <v>1</v>
      </c>
      <c r="C1" s="3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2" t="s">
        <v>16</v>
      </c>
      <c r="R1" s="47" t="s">
        <v>2531</v>
      </c>
      <c r="S1" s="65" t="s">
        <v>2626</v>
      </c>
      <c r="T1" s="66" t="s">
        <v>2627</v>
      </c>
      <c r="U1" s="66" t="s">
        <v>2628</v>
      </c>
    </row>
    <row r="2" spans="1:21" x14ac:dyDescent="0.3">
      <c r="A2" s="17" t="s">
        <v>1241</v>
      </c>
      <c r="B2" s="32">
        <v>44199</v>
      </c>
      <c r="C2" s="32">
        <v>44205</v>
      </c>
      <c r="D2" s="8" t="s">
        <v>29</v>
      </c>
      <c r="E2" s="8" t="s">
        <v>580</v>
      </c>
      <c r="F2" s="10" t="s">
        <v>581</v>
      </c>
      <c r="G2" s="10" t="s">
        <v>51</v>
      </c>
      <c r="H2" s="10" t="s">
        <v>156</v>
      </c>
      <c r="I2" s="10" t="s">
        <v>157</v>
      </c>
      <c r="J2" s="10" t="s">
        <v>88</v>
      </c>
      <c r="K2" s="10" t="s">
        <v>45</v>
      </c>
      <c r="L2" s="10" t="s">
        <v>117</v>
      </c>
      <c r="M2" s="10" t="s">
        <v>1242</v>
      </c>
      <c r="N2" s="11">
        <v>2328.75</v>
      </c>
      <c r="O2" s="12">
        <v>6</v>
      </c>
      <c r="P2" s="13">
        <v>0.1</v>
      </c>
      <c r="Q2" s="19">
        <v>346.92</v>
      </c>
      <c r="R2" s="45" t="str">
        <f t="shared" ref="R2:R65" si="0">IF(C2&lt;B2,"Error","OK")</f>
        <v>OK</v>
      </c>
      <c r="S2" s="45">
        <f t="shared" ref="S2:S65" si="1">AVERAGEIF(E2:E1000,"CU-1057",N2:N1000)</f>
        <v>1909.4007692307691</v>
      </c>
      <c r="T2" s="45">
        <f t="shared" ref="T2:T65" si="2">COUNTIF(E2:E1000,"CU-1057")</f>
        <v>13</v>
      </c>
      <c r="U2" s="45">
        <f t="shared" ref="U2:U65" si="3">SUMIF(E2:E1000,"CU-1057",N2:N1000)</f>
        <v>24822.21</v>
      </c>
    </row>
    <row r="3" spans="1:21" x14ac:dyDescent="0.3">
      <c r="A3" s="17" t="s">
        <v>2270</v>
      </c>
      <c r="B3" s="32">
        <v>44199</v>
      </c>
      <c r="C3" s="32">
        <v>44202</v>
      </c>
      <c r="D3" s="8" t="s">
        <v>18</v>
      </c>
      <c r="E3" s="8" t="s">
        <v>850</v>
      </c>
      <c r="F3" s="10" t="s">
        <v>851</v>
      </c>
      <c r="G3" s="10" t="s">
        <v>42</v>
      </c>
      <c r="H3" s="10" t="s">
        <v>183</v>
      </c>
      <c r="I3" s="10" t="s">
        <v>184</v>
      </c>
      <c r="J3" s="10" t="s">
        <v>54</v>
      </c>
      <c r="K3" s="10" t="s">
        <v>45</v>
      </c>
      <c r="L3" s="10" t="s">
        <v>117</v>
      </c>
      <c r="M3" s="10" t="s">
        <v>2271</v>
      </c>
      <c r="N3" s="11">
        <v>1451.69</v>
      </c>
      <c r="O3" s="12">
        <v>7</v>
      </c>
      <c r="P3" s="13">
        <v>0.4</v>
      </c>
      <c r="Q3" s="19">
        <v>-271.64999999999998</v>
      </c>
      <c r="R3" s="45" t="str">
        <f t="shared" si="0"/>
        <v>OK</v>
      </c>
      <c r="S3" s="45">
        <f t="shared" si="1"/>
        <v>1909.4007692307691</v>
      </c>
      <c r="T3" s="45">
        <f t="shared" si="2"/>
        <v>13</v>
      </c>
      <c r="U3" s="45">
        <f t="shared" si="3"/>
        <v>24822.21</v>
      </c>
    </row>
    <row r="4" spans="1:21" x14ac:dyDescent="0.3">
      <c r="A4" s="16" t="s">
        <v>1977</v>
      </c>
      <c r="B4" s="31">
        <v>44200</v>
      </c>
      <c r="C4" s="31">
        <v>44203</v>
      </c>
      <c r="D4" s="2" t="s">
        <v>18</v>
      </c>
      <c r="E4" s="2" t="s">
        <v>175</v>
      </c>
      <c r="F4" s="4" t="s">
        <v>176</v>
      </c>
      <c r="G4" s="4" t="s">
        <v>51</v>
      </c>
      <c r="H4" s="4" t="s">
        <v>177</v>
      </c>
      <c r="I4" s="4" t="s">
        <v>178</v>
      </c>
      <c r="J4" s="4" t="s">
        <v>24</v>
      </c>
      <c r="K4" s="4" t="s">
        <v>25</v>
      </c>
      <c r="L4" s="4" t="s">
        <v>124</v>
      </c>
      <c r="M4" s="4" t="s">
        <v>1978</v>
      </c>
      <c r="N4" s="5">
        <v>8500.1</v>
      </c>
      <c r="O4" s="6">
        <v>5</v>
      </c>
      <c r="P4" s="7">
        <v>0</v>
      </c>
      <c r="Q4" s="18">
        <v>2563.35</v>
      </c>
      <c r="R4" s="45" t="str">
        <f t="shared" si="0"/>
        <v>OK</v>
      </c>
      <c r="S4" s="45">
        <f t="shared" si="1"/>
        <v>1909.4007692307691</v>
      </c>
      <c r="T4" s="45">
        <f t="shared" si="2"/>
        <v>13</v>
      </c>
      <c r="U4" s="45">
        <f t="shared" si="3"/>
        <v>24822.21</v>
      </c>
    </row>
    <row r="5" spans="1:21" x14ac:dyDescent="0.3">
      <c r="A5" s="16" t="s">
        <v>1327</v>
      </c>
      <c r="B5" s="31">
        <v>44203</v>
      </c>
      <c r="C5" s="31">
        <v>44208</v>
      </c>
      <c r="D5" s="2" t="s">
        <v>73</v>
      </c>
      <c r="E5" s="2" t="s">
        <v>187</v>
      </c>
      <c r="F5" s="4" t="s">
        <v>188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68</v>
      </c>
      <c r="M5" s="4" t="s">
        <v>1328</v>
      </c>
      <c r="N5" s="5">
        <v>580.85</v>
      </c>
      <c r="O5" s="6">
        <v>5</v>
      </c>
      <c r="P5" s="7">
        <v>0</v>
      </c>
      <c r="Q5" s="18">
        <v>242.01</v>
      </c>
      <c r="R5" s="45" t="str">
        <f t="shared" si="0"/>
        <v>OK</v>
      </c>
      <c r="S5" s="45">
        <f t="shared" si="1"/>
        <v>1360.1758333333335</v>
      </c>
      <c r="T5" s="45">
        <f t="shared" si="2"/>
        <v>12</v>
      </c>
      <c r="U5" s="45">
        <f t="shared" si="3"/>
        <v>16322.11</v>
      </c>
    </row>
    <row r="6" spans="1:21" x14ac:dyDescent="0.3">
      <c r="A6" s="16" t="s">
        <v>2272</v>
      </c>
      <c r="B6" s="31">
        <v>44204</v>
      </c>
      <c r="C6" s="31">
        <v>44209</v>
      </c>
      <c r="D6" s="2" t="s">
        <v>73</v>
      </c>
      <c r="E6" s="2" t="s">
        <v>191</v>
      </c>
      <c r="F6" s="4" t="s">
        <v>192</v>
      </c>
      <c r="G6" s="4" t="s">
        <v>21</v>
      </c>
      <c r="H6" s="4" t="s">
        <v>193</v>
      </c>
      <c r="I6" s="4" t="s">
        <v>194</v>
      </c>
      <c r="J6" s="4" t="s">
        <v>34</v>
      </c>
      <c r="K6" s="4" t="s">
        <v>45</v>
      </c>
      <c r="L6" s="4" t="s">
        <v>61</v>
      </c>
      <c r="M6" s="4" t="s">
        <v>2273</v>
      </c>
      <c r="N6" s="5">
        <v>560.62</v>
      </c>
      <c r="O6" s="6">
        <v>1</v>
      </c>
      <c r="P6" s="7">
        <v>0.3</v>
      </c>
      <c r="Q6" s="18">
        <v>-124.22</v>
      </c>
      <c r="R6" s="45" t="str">
        <f t="shared" si="0"/>
        <v>OK</v>
      </c>
      <c r="S6" s="45">
        <f t="shared" si="1"/>
        <v>1360.1758333333335</v>
      </c>
      <c r="T6" s="45">
        <f t="shared" si="2"/>
        <v>12</v>
      </c>
      <c r="U6" s="45">
        <f t="shared" si="3"/>
        <v>16322.11</v>
      </c>
    </row>
    <row r="7" spans="1:21" x14ac:dyDescent="0.3">
      <c r="A7" s="17" t="s">
        <v>1441</v>
      </c>
      <c r="B7" s="32">
        <v>44205</v>
      </c>
      <c r="C7" s="32">
        <v>44212</v>
      </c>
      <c r="D7" s="8" t="s">
        <v>29</v>
      </c>
      <c r="E7" s="8" t="s">
        <v>340</v>
      </c>
      <c r="F7" s="10" t="s">
        <v>341</v>
      </c>
      <c r="G7" s="10" t="s">
        <v>21</v>
      </c>
      <c r="H7" s="10" t="s">
        <v>139</v>
      </c>
      <c r="I7" s="10" t="s">
        <v>140</v>
      </c>
      <c r="J7" s="10" t="s">
        <v>24</v>
      </c>
      <c r="K7" s="10" t="s">
        <v>35</v>
      </c>
      <c r="L7" s="10" t="s">
        <v>89</v>
      </c>
      <c r="M7" s="10" t="s">
        <v>1442</v>
      </c>
      <c r="N7" s="11">
        <v>1823.94</v>
      </c>
      <c r="O7" s="12">
        <v>9</v>
      </c>
      <c r="P7" s="13">
        <v>0</v>
      </c>
      <c r="Q7" s="19">
        <v>503.01</v>
      </c>
      <c r="R7" s="45" t="str">
        <f t="shared" si="0"/>
        <v>OK</v>
      </c>
      <c r="S7" s="45">
        <f t="shared" si="1"/>
        <v>1360.1758333333335</v>
      </c>
      <c r="T7" s="45">
        <f t="shared" si="2"/>
        <v>12</v>
      </c>
      <c r="U7" s="45">
        <f t="shared" si="3"/>
        <v>16322.11</v>
      </c>
    </row>
    <row r="8" spans="1:21" x14ac:dyDescent="0.3">
      <c r="A8" s="17" t="s">
        <v>1951</v>
      </c>
      <c r="B8" s="32">
        <v>44206</v>
      </c>
      <c r="C8" s="32">
        <v>44212</v>
      </c>
      <c r="D8" s="8" t="s">
        <v>29</v>
      </c>
      <c r="E8" s="8" t="s">
        <v>1166</v>
      </c>
      <c r="F8" s="10" t="s">
        <v>1167</v>
      </c>
      <c r="G8" s="10" t="s">
        <v>21</v>
      </c>
      <c r="H8" s="10" t="s">
        <v>98</v>
      </c>
      <c r="I8" s="10" t="s">
        <v>80</v>
      </c>
      <c r="J8" s="10" t="s">
        <v>54</v>
      </c>
      <c r="K8" s="10" t="s">
        <v>25</v>
      </c>
      <c r="L8" s="10" t="s">
        <v>68</v>
      </c>
      <c r="M8" s="10" t="s">
        <v>1952</v>
      </c>
      <c r="N8" s="11">
        <v>294.77</v>
      </c>
      <c r="O8" s="12">
        <v>5</v>
      </c>
      <c r="P8" s="13">
        <v>0.3</v>
      </c>
      <c r="Q8" s="19">
        <v>72.27</v>
      </c>
      <c r="R8" s="45" t="str">
        <f t="shared" si="0"/>
        <v>OK</v>
      </c>
      <c r="S8" s="45">
        <f t="shared" si="1"/>
        <v>1360.1758333333335</v>
      </c>
      <c r="T8" s="45">
        <f t="shared" si="2"/>
        <v>12</v>
      </c>
      <c r="U8" s="45">
        <f t="shared" si="3"/>
        <v>16322.11</v>
      </c>
    </row>
    <row r="9" spans="1:21" x14ac:dyDescent="0.3">
      <c r="A9" s="17" t="s">
        <v>949</v>
      </c>
      <c r="B9" s="32">
        <v>44207</v>
      </c>
      <c r="C9" s="32">
        <v>44211</v>
      </c>
      <c r="D9" s="8" t="s">
        <v>39</v>
      </c>
      <c r="E9" s="8" t="s">
        <v>654</v>
      </c>
      <c r="F9" s="10" t="s">
        <v>655</v>
      </c>
      <c r="G9" s="10" t="s">
        <v>21</v>
      </c>
      <c r="H9" s="10" t="s">
        <v>66</v>
      </c>
      <c r="I9" s="10" t="s">
        <v>67</v>
      </c>
      <c r="J9" s="10" t="s">
        <v>34</v>
      </c>
      <c r="K9" s="10" t="s">
        <v>35</v>
      </c>
      <c r="L9" s="10" t="s">
        <v>36</v>
      </c>
      <c r="M9" s="10" t="s">
        <v>950</v>
      </c>
      <c r="N9" s="11">
        <v>893.27</v>
      </c>
      <c r="O9" s="12">
        <v>6</v>
      </c>
      <c r="P9" s="13">
        <v>0.1</v>
      </c>
      <c r="Q9" s="19">
        <v>340.81</v>
      </c>
      <c r="R9" s="45" t="str">
        <f t="shared" si="0"/>
        <v>OK</v>
      </c>
      <c r="S9" s="45">
        <f t="shared" si="1"/>
        <v>1360.1758333333335</v>
      </c>
      <c r="T9" s="45">
        <f t="shared" si="2"/>
        <v>12</v>
      </c>
      <c r="U9" s="45">
        <f t="shared" si="3"/>
        <v>16322.11</v>
      </c>
    </row>
    <row r="10" spans="1:21" x14ac:dyDescent="0.3">
      <c r="A10" s="16" t="s">
        <v>308</v>
      </c>
      <c r="B10" s="31">
        <v>44208</v>
      </c>
      <c r="C10" s="31">
        <v>44209</v>
      </c>
      <c r="D10" s="2" t="s">
        <v>18</v>
      </c>
      <c r="E10" s="2" t="s">
        <v>309</v>
      </c>
      <c r="F10" s="4" t="s">
        <v>310</v>
      </c>
      <c r="G10" s="4" t="s">
        <v>21</v>
      </c>
      <c r="H10" s="4" t="s">
        <v>115</v>
      </c>
      <c r="I10" s="4" t="s">
        <v>116</v>
      </c>
      <c r="J10" s="4" t="s">
        <v>54</v>
      </c>
      <c r="K10" s="4" t="s">
        <v>45</v>
      </c>
      <c r="L10" s="4" t="s">
        <v>99</v>
      </c>
      <c r="M10" s="4" t="s">
        <v>311</v>
      </c>
      <c r="N10" s="5">
        <v>280.98</v>
      </c>
      <c r="O10" s="6">
        <v>2</v>
      </c>
      <c r="P10" s="7">
        <v>0.2</v>
      </c>
      <c r="Q10" s="18">
        <v>40.22</v>
      </c>
      <c r="R10" s="45" t="str">
        <f t="shared" si="0"/>
        <v>OK</v>
      </c>
      <c r="S10" s="45">
        <f t="shared" si="1"/>
        <v>1360.1758333333335</v>
      </c>
      <c r="T10" s="45">
        <f t="shared" si="2"/>
        <v>12</v>
      </c>
      <c r="U10" s="45">
        <f t="shared" si="3"/>
        <v>16322.11</v>
      </c>
    </row>
    <row r="11" spans="1:21" x14ac:dyDescent="0.3">
      <c r="A11" s="17" t="s">
        <v>781</v>
      </c>
      <c r="B11" s="32">
        <v>44209</v>
      </c>
      <c r="C11" s="32">
        <v>44212</v>
      </c>
      <c r="D11" s="8" t="s">
        <v>18</v>
      </c>
      <c r="E11" s="8" t="s">
        <v>364</v>
      </c>
      <c r="F11" s="10" t="s">
        <v>365</v>
      </c>
      <c r="G11" s="10" t="s">
        <v>42</v>
      </c>
      <c r="H11" s="10" t="s">
        <v>193</v>
      </c>
      <c r="I11" s="10" t="s">
        <v>194</v>
      </c>
      <c r="J11" s="10" t="s">
        <v>34</v>
      </c>
      <c r="K11" s="10" t="s">
        <v>45</v>
      </c>
      <c r="L11" s="10" t="s">
        <v>99</v>
      </c>
      <c r="M11" s="10" t="s">
        <v>715</v>
      </c>
      <c r="N11" s="11">
        <v>141.19</v>
      </c>
      <c r="O11" s="12">
        <v>7</v>
      </c>
      <c r="P11" s="13">
        <v>0</v>
      </c>
      <c r="Q11" s="19">
        <v>47.37</v>
      </c>
      <c r="R11" s="45" t="str">
        <f t="shared" si="0"/>
        <v>OK</v>
      </c>
      <c r="S11" s="45">
        <f t="shared" si="1"/>
        <v>1360.1758333333335</v>
      </c>
      <c r="T11" s="45">
        <f t="shared" si="2"/>
        <v>12</v>
      </c>
      <c r="U11" s="45">
        <f t="shared" si="3"/>
        <v>16322.11</v>
      </c>
    </row>
    <row r="12" spans="1:21" x14ac:dyDescent="0.3">
      <c r="A12" s="16" t="s">
        <v>332</v>
      </c>
      <c r="B12" s="31">
        <v>44210</v>
      </c>
      <c r="C12" s="31">
        <v>44214</v>
      </c>
      <c r="D12" s="2" t="s">
        <v>73</v>
      </c>
      <c r="E12" s="2" t="s">
        <v>333</v>
      </c>
      <c r="F12" s="4" t="s">
        <v>334</v>
      </c>
      <c r="G12" s="4" t="s">
        <v>21</v>
      </c>
      <c r="H12" s="4" t="s">
        <v>335</v>
      </c>
      <c r="I12" s="4" t="s">
        <v>251</v>
      </c>
      <c r="J12" s="4" t="s">
        <v>88</v>
      </c>
      <c r="K12" s="4" t="s">
        <v>45</v>
      </c>
      <c r="L12" s="4" t="s">
        <v>46</v>
      </c>
      <c r="M12" s="4" t="s">
        <v>336</v>
      </c>
      <c r="N12" s="5">
        <v>4422.34</v>
      </c>
      <c r="O12" s="6">
        <v>8</v>
      </c>
      <c r="P12" s="7">
        <v>0.2</v>
      </c>
      <c r="Q12" s="18">
        <v>591.08000000000004</v>
      </c>
      <c r="R12" s="45" t="str">
        <f t="shared" si="0"/>
        <v>OK</v>
      </c>
      <c r="S12" s="45">
        <f t="shared" si="1"/>
        <v>1360.1758333333335</v>
      </c>
      <c r="T12" s="45">
        <f t="shared" si="2"/>
        <v>12</v>
      </c>
      <c r="U12" s="45">
        <f t="shared" si="3"/>
        <v>16322.11</v>
      </c>
    </row>
    <row r="13" spans="1:21" x14ac:dyDescent="0.3">
      <c r="A13" s="17" t="s">
        <v>1796</v>
      </c>
      <c r="B13" s="32">
        <v>44210</v>
      </c>
      <c r="C13" s="32">
        <v>44215</v>
      </c>
      <c r="D13" s="8" t="s">
        <v>73</v>
      </c>
      <c r="E13" s="8" t="s">
        <v>265</v>
      </c>
      <c r="F13" s="10" t="s">
        <v>266</v>
      </c>
      <c r="G13" s="10" t="s">
        <v>21</v>
      </c>
      <c r="H13" s="10" t="s">
        <v>171</v>
      </c>
      <c r="I13" s="10" t="s">
        <v>172</v>
      </c>
      <c r="J13" s="10" t="s">
        <v>833</v>
      </c>
      <c r="K13" s="10" t="s">
        <v>45</v>
      </c>
      <c r="L13" s="10" t="s">
        <v>61</v>
      </c>
      <c r="M13" s="10" t="s">
        <v>1797</v>
      </c>
      <c r="N13" s="11">
        <v>3703.92</v>
      </c>
      <c r="O13" s="12">
        <v>8</v>
      </c>
      <c r="P13" s="13">
        <v>0</v>
      </c>
      <c r="Q13" s="19">
        <v>310.41000000000003</v>
      </c>
      <c r="R13" s="45" t="str">
        <f t="shared" si="0"/>
        <v>OK</v>
      </c>
      <c r="S13" s="45">
        <f t="shared" si="1"/>
        <v>1360.1758333333335</v>
      </c>
      <c r="T13" s="45">
        <f t="shared" si="2"/>
        <v>12</v>
      </c>
      <c r="U13" s="45">
        <f t="shared" si="3"/>
        <v>16322.11</v>
      </c>
    </row>
    <row r="14" spans="1:21" x14ac:dyDescent="0.3">
      <c r="A14" s="17" t="s">
        <v>72</v>
      </c>
      <c r="B14" s="32">
        <v>44211</v>
      </c>
      <c r="C14" s="32">
        <v>44214</v>
      </c>
      <c r="D14" s="8" t="s">
        <v>73</v>
      </c>
      <c r="E14" s="8" t="s">
        <v>64</v>
      </c>
      <c r="F14" s="10" t="s">
        <v>65</v>
      </c>
      <c r="G14" s="10" t="s">
        <v>51</v>
      </c>
      <c r="H14" s="10" t="s">
        <v>66</v>
      </c>
      <c r="I14" s="10" t="s">
        <v>67</v>
      </c>
      <c r="J14" s="10" t="s">
        <v>34</v>
      </c>
      <c r="K14" s="10" t="s">
        <v>25</v>
      </c>
      <c r="L14" s="10" t="s">
        <v>74</v>
      </c>
      <c r="M14" s="10" t="s">
        <v>75</v>
      </c>
      <c r="N14" s="11">
        <v>440.16</v>
      </c>
      <c r="O14" s="12">
        <v>1</v>
      </c>
      <c r="P14" s="13">
        <v>0.3</v>
      </c>
      <c r="Q14" s="19">
        <v>92.49</v>
      </c>
      <c r="R14" s="45" t="str">
        <f t="shared" si="0"/>
        <v>OK</v>
      </c>
      <c r="S14" s="45">
        <f t="shared" si="1"/>
        <v>1360.1758333333335</v>
      </c>
      <c r="T14" s="45">
        <f t="shared" si="2"/>
        <v>12</v>
      </c>
      <c r="U14" s="45">
        <f t="shared" si="3"/>
        <v>16322.11</v>
      </c>
    </row>
    <row r="15" spans="1:21" x14ac:dyDescent="0.3">
      <c r="A15" s="17" t="s">
        <v>1661</v>
      </c>
      <c r="B15" s="32">
        <v>44211</v>
      </c>
      <c r="C15" s="32">
        <v>44216</v>
      </c>
      <c r="D15" s="8" t="s">
        <v>29</v>
      </c>
      <c r="E15" s="8" t="s">
        <v>533</v>
      </c>
      <c r="F15" s="10" t="s">
        <v>534</v>
      </c>
      <c r="G15" s="10" t="s">
        <v>42</v>
      </c>
      <c r="H15" s="10" t="s">
        <v>145</v>
      </c>
      <c r="I15" s="10" t="s">
        <v>140</v>
      </c>
      <c r="J15" s="10" t="s">
        <v>24</v>
      </c>
      <c r="K15" s="10" t="s">
        <v>45</v>
      </c>
      <c r="L15" s="10" t="s">
        <v>117</v>
      </c>
      <c r="M15" s="10" t="s">
        <v>1662</v>
      </c>
      <c r="N15" s="11">
        <v>625.67999999999995</v>
      </c>
      <c r="O15" s="12">
        <v>2</v>
      </c>
      <c r="P15" s="13">
        <v>0</v>
      </c>
      <c r="Q15" s="19">
        <v>219.13</v>
      </c>
      <c r="R15" s="45" t="str">
        <f t="shared" si="0"/>
        <v>OK</v>
      </c>
      <c r="S15" s="45">
        <f t="shared" si="1"/>
        <v>1360.1758333333335</v>
      </c>
      <c r="T15" s="45">
        <f t="shared" si="2"/>
        <v>12</v>
      </c>
      <c r="U15" s="45">
        <f t="shared" si="3"/>
        <v>16322.11</v>
      </c>
    </row>
    <row r="16" spans="1:21" x14ac:dyDescent="0.3">
      <c r="A16" s="16" t="s">
        <v>1323</v>
      </c>
      <c r="B16" s="31">
        <v>44212</v>
      </c>
      <c r="C16" s="31">
        <v>44216</v>
      </c>
      <c r="D16" s="2" t="s">
        <v>73</v>
      </c>
      <c r="E16" s="2" t="s">
        <v>610</v>
      </c>
      <c r="F16" s="4" t="s">
        <v>611</v>
      </c>
      <c r="G16" s="4" t="s">
        <v>51</v>
      </c>
      <c r="H16" s="4" t="s">
        <v>346</v>
      </c>
      <c r="I16" s="4" t="s">
        <v>347</v>
      </c>
      <c r="J16" s="4" t="s">
        <v>88</v>
      </c>
      <c r="K16" s="4" t="s">
        <v>25</v>
      </c>
      <c r="L16" s="4" t="s">
        <v>26</v>
      </c>
      <c r="M16" s="4" t="s">
        <v>1324</v>
      </c>
      <c r="N16" s="5">
        <v>7792.22</v>
      </c>
      <c r="O16" s="6">
        <v>9</v>
      </c>
      <c r="P16" s="7">
        <v>0.3</v>
      </c>
      <c r="Q16" s="18">
        <v>-713.21</v>
      </c>
      <c r="R16" s="45" t="str">
        <f t="shared" si="0"/>
        <v>OK</v>
      </c>
      <c r="S16" s="45">
        <f t="shared" si="1"/>
        <v>1360.1758333333335</v>
      </c>
      <c r="T16" s="45">
        <f t="shared" si="2"/>
        <v>12</v>
      </c>
      <c r="U16" s="45">
        <f t="shared" si="3"/>
        <v>16322.11</v>
      </c>
    </row>
    <row r="17" spans="1:21" x14ac:dyDescent="0.3">
      <c r="A17" s="17" t="s">
        <v>1335</v>
      </c>
      <c r="B17" s="32">
        <v>44216</v>
      </c>
      <c r="C17" s="32">
        <v>44223</v>
      </c>
      <c r="D17" s="8" t="s">
        <v>29</v>
      </c>
      <c r="E17" s="8" t="s">
        <v>340</v>
      </c>
      <c r="F17" s="10" t="s">
        <v>341</v>
      </c>
      <c r="G17" s="10" t="s">
        <v>21</v>
      </c>
      <c r="H17" s="10" t="s">
        <v>139</v>
      </c>
      <c r="I17" s="10" t="s">
        <v>140</v>
      </c>
      <c r="J17" s="10" t="s">
        <v>24</v>
      </c>
      <c r="K17" s="10" t="s">
        <v>45</v>
      </c>
      <c r="L17" s="10" t="s">
        <v>99</v>
      </c>
      <c r="M17" s="10" t="s">
        <v>1336</v>
      </c>
      <c r="N17" s="11">
        <v>371</v>
      </c>
      <c r="O17" s="12">
        <v>10</v>
      </c>
      <c r="P17" s="13">
        <v>0</v>
      </c>
      <c r="Q17" s="19">
        <v>101.36</v>
      </c>
      <c r="R17" s="45" t="str">
        <f t="shared" si="0"/>
        <v>OK</v>
      </c>
      <c r="S17" s="45">
        <f t="shared" si="1"/>
        <v>1360.1758333333335</v>
      </c>
      <c r="T17" s="45">
        <f t="shared" si="2"/>
        <v>12</v>
      </c>
      <c r="U17" s="45">
        <f t="shared" si="3"/>
        <v>16322.11</v>
      </c>
    </row>
    <row r="18" spans="1:21" x14ac:dyDescent="0.3">
      <c r="A18" s="16" t="s">
        <v>2100</v>
      </c>
      <c r="B18" s="31">
        <v>44218</v>
      </c>
      <c r="C18" s="31">
        <v>44220</v>
      </c>
      <c r="D18" s="2" t="s">
        <v>39</v>
      </c>
      <c r="E18" s="2" t="s">
        <v>1448</v>
      </c>
      <c r="F18" s="4" t="s">
        <v>1449</v>
      </c>
      <c r="G18" s="4" t="s">
        <v>21</v>
      </c>
      <c r="H18" s="4" t="s">
        <v>122</v>
      </c>
      <c r="I18" s="4" t="s">
        <v>123</v>
      </c>
      <c r="J18" s="4" t="s">
        <v>24</v>
      </c>
      <c r="K18" s="4" t="s">
        <v>25</v>
      </c>
      <c r="L18" s="4" t="s">
        <v>74</v>
      </c>
      <c r="M18" s="4" t="s">
        <v>82</v>
      </c>
      <c r="N18" s="5">
        <v>2151.21</v>
      </c>
      <c r="O18" s="6">
        <v>7</v>
      </c>
      <c r="P18" s="7">
        <v>0.05</v>
      </c>
      <c r="Q18" s="18">
        <v>784.7</v>
      </c>
      <c r="R18" s="45" t="str">
        <f t="shared" si="0"/>
        <v>OK</v>
      </c>
      <c r="S18" s="45">
        <f t="shared" si="1"/>
        <v>1360.1758333333335</v>
      </c>
      <c r="T18" s="45">
        <f t="shared" si="2"/>
        <v>12</v>
      </c>
      <c r="U18" s="45">
        <f t="shared" si="3"/>
        <v>16322.11</v>
      </c>
    </row>
    <row r="19" spans="1:21" x14ac:dyDescent="0.3">
      <c r="A19" s="16" t="s">
        <v>722</v>
      </c>
      <c r="B19" s="31">
        <v>44221</v>
      </c>
      <c r="C19" s="31">
        <v>44222</v>
      </c>
      <c r="D19" s="2" t="s">
        <v>18</v>
      </c>
      <c r="E19" s="2" t="s">
        <v>723</v>
      </c>
      <c r="F19" s="4" t="s">
        <v>724</v>
      </c>
      <c r="G19" s="4" t="s">
        <v>21</v>
      </c>
      <c r="H19" s="4" t="s">
        <v>98</v>
      </c>
      <c r="I19" s="4" t="s">
        <v>80</v>
      </c>
      <c r="J19" s="4" t="s">
        <v>54</v>
      </c>
      <c r="K19" s="4" t="s">
        <v>25</v>
      </c>
      <c r="L19" s="4" t="s">
        <v>124</v>
      </c>
      <c r="M19" s="4" t="s">
        <v>725</v>
      </c>
      <c r="N19" s="5">
        <v>1459.1</v>
      </c>
      <c r="O19" s="6">
        <v>1</v>
      </c>
      <c r="P19" s="7">
        <v>0</v>
      </c>
      <c r="Q19" s="18">
        <v>287.33999999999997</v>
      </c>
      <c r="R19" s="45" t="str">
        <f t="shared" si="0"/>
        <v>OK</v>
      </c>
      <c r="S19" s="45">
        <f t="shared" si="1"/>
        <v>1360.1758333333335</v>
      </c>
      <c r="T19" s="45">
        <f t="shared" si="2"/>
        <v>12</v>
      </c>
      <c r="U19" s="45">
        <f t="shared" si="3"/>
        <v>16322.11</v>
      </c>
    </row>
    <row r="20" spans="1:21" x14ac:dyDescent="0.3">
      <c r="A20" s="16" t="s">
        <v>892</v>
      </c>
      <c r="B20" s="31">
        <v>44222</v>
      </c>
      <c r="C20" s="31">
        <v>44223</v>
      </c>
      <c r="D20" s="2" t="s">
        <v>18</v>
      </c>
      <c r="E20" s="2" t="s">
        <v>426</v>
      </c>
      <c r="F20" s="4" t="s">
        <v>427</v>
      </c>
      <c r="G20" s="4" t="s">
        <v>42</v>
      </c>
      <c r="H20" s="4" t="s">
        <v>412</v>
      </c>
      <c r="I20" s="4" t="s">
        <v>178</v>
      </c>
      <c r="J20" s="4" t="s">
        <v>24</v>
      </c>
      <c r="K20" s="4" t="s">
        <v>35</v>
      </c>
      <c r="L20" s="4" t="s">
        <v>216</v>
      </c>
      <c r="M20" s="4" t="s">
        <v>893</v>
      </c>
      <c r="N20" s="5">
        <v>115.16</v>
      </c>
      <c r="O20" s="6">
        <v>4</v>
      </c>
      <c r="P20" s="7">
        <v>0</v>
      </c>
      <c r="Q20" s="18">
        <v>50.74</v>
      </c>
      <c r="R20" s="45" t="str">
        <f t="shared" si="0"/>
        <v>OK</v>
      </c>
      <c r="S20" s="45">
        <f t="shared" si="1"/>
        <v>1360.1758333333335</v>
      </c>
      <c r="T20" s="45">
        <f t="shared" si="2"/>
        <v>12</v>
      </c>
      <c r="U20" s="45">
        <f t="shared" si="3"/>
        <v>16322.11</v>
      </c>
    </row>
    <row r="21" spans="1:21" x14ac:dyDescent="0.3">
      <c r="A21" s="16" t="s">
        <v>994</v>
      </c>
      <c r="B21" s="31">
        <v>44225</v>
      </c>
      <c r="C21" s="31">
        <v>44227</v>
      </c>
      <c r="D21" s="2" t="s">
        <v>39</v>
      </c>
      <c r="E21" s="2" t="s">
        <v>662</v>
      </c>
      <c r="F21" s="4" t="s">
        <v>663</v>
      </c>
      <c r="G21" s="4" t="s">
        <v>21</v>
      </c>
      <c r="H21" s="4" t="s">
        <v>104</v>
      </c>
      <c r="I21" s="4" t="s">
        <v>105</v>
      </c>
      <c r="J21" s="4" t="s">
        <v>88</v>
      </c>
      <c r="K21" s="4" t="s">
        <v>25</v>
      </c>
      <c r="L21" s="4" t="s">
        <v>124</v>
      </c>
      <c r="M21" s="4" t="s">
        <v>995</v>
      </c>
      <c r="N21" s="5">
        <v>6244.18</v>
      </c>
      <c r="O21" s="6">
        <v>2</v>
      </c>
      <c r="P21" s="7">
        <v>0</v>
      </c>
      <c r="Q21" s="18">
        <v>1473.76</v>
      </c>
      <c r="R21" s="45" t="str">
        <f t="shared" si="0"/>
        <v>OK</v>
      </c>
      <c r="S21" s="45">
        <f t="shared" si="1"/>
        <v>1360.1758333333335</v>
      </c>
      <c r="T21" s="45">
        <f t="shared" si="2"/>
        <v>12</v>
      </c>
      <c r="U21" s="45">
        <f t="shared" si="3"/>
        <v>16322.11</v>
      </c>
    </row>
    <row r="22" spans="1:21" x14ac:dyDescent="0.3">
      <c r="A22" s="16" t="s">
        <v>2409</v>
      </c>
      <c r="B22" s="31">
        <v>44226</v>
      </c>
      <c r="C22" s="31">
        <v>44228</v>
      </c>
      <c r="D22" s="2" t="s">
        <v>39</v>
      </c>
      <c r="E22" s="2" t="s">
        <v>1464</v>
      </c>
      <c r="F22" s="4" t="s">
        <v>1465</v>
      </c>
      <c r="G22" s="4" t="s">
        <v>21</v>
      </c>
      <c r="H22" s="4" t="s">
        <v>438</v>
      </c>
      <c r="I22" s="4" t="s">
        <v>157</v>
      </c>
      <c r="J22" s="4" t="s">
        <v>88</v>
      </c>
      <c r="K22" s="4" t="s">
        <v>35</v>
      </c>
      <c r="L22" s="4" t="s">
        <v>81</v>
      </c>
      <c r="M22" s="4" t="s">
        <v>2410</v>
      </c>
      <c r="N22" s="5">
        <v>6.08</v>
      </c>
      <c r="O22" s="6">
        <v>1</v>
      </c>
      <c r="P22" s="7">
        <v>0.2</v>
      </c>
      <c r="Q22" s="18">
        <v>2.85</v>
      </c>
      <c r="R22" s="45" t="str">
        <f t="shared" si="0"/>
        <v>OK</v>
      </c>
      <c r="S22" s="45">
        <f t="shared" si="1"/>
        <v>1360.1758333333335</v>
      </c>
      <c r="T22" s="45">
        <f t="shared" si="2"/>
        <v>12</v>
      </c>
      <c r="U22" s="45">
        <f t="shared" si="3"/>
        <v>16322.11</v>
      </c>
    </row>
    <row r="23" spans="1:21" x14ac:dyDescent="0.3">
      <c r="A23" s="17" t="s">
        <v>625</v>
      </c>
      <c r="B23" s="32">
        <v>44227</v>
      </c>
      <c r="C23" s="32">
        <v>44228</v>
      </c>
      <c r="D23" s="8" t="s">
        <v>18</v>
      </c>
      <c r="E23" s="8" t="s">
        <v>40</v>
      </c>
      <c r="F23" s="10" t="s">
        <v>41</v>
      </c>
      <c r="G23" s="10" t="s">
        <v>42</v>
      </c>
      <c r="H23" s="10" t="s">
        <v>43</v>
      </c>
      <c r="I23" s="10" t="s">
        <v>44</v>
      </c>
      <c r="J23" s="10" t="s">
        <v>24</v>
      </c>
      <c r="K23" s="10" t="s">
        <v>35</v>
      </c>
      <c r="L23" s="10" t="s">
        <v>158</v>
      </c>
      <c r="M23" s="10" t="s">
        <v>626</v>
      </c>
      <c r="N23" s="11">
        <v>102.46</v>
      </c>
      <c r="O23" s="12">
        <v>1</v>
      </c>
      <c r="P23" s="13">
        <v>1.41</v>
      </c>
      <c r="Q23" s="19">
        <v>42.66</v>
      </c>
      <c r="R23" s="45" t="str">
        <f t="shared" si="0"/>
        <v>OK</v>
      </c>
      <c r="S23" s="45">
        <f t="shared" si="1"/>
        <v>1360.1758333333335</v>
      </c>
      <c r="T23" s="45">
        <f t="shared" si="2"/>
        <v>12</v>
      </c>
      <c r="U23" s="45">
        <f t="shared" si="3"/>
        <v>16322.11</v>
      </c>
    </row>
    <row r="24" spans="1:21" x14ac:dyDescent="0.3">
      <c r="A24" s="16" t="s">
        <v>1751</v>
      </c>
      <c r="B24" s="31">
        <v>44227</v>
      </c>
      <c r="C24" s="31">
        <v>44231</v>
      </c>
      <c r="D24" s="2" t="s">
        <v>73</v>
      </c>
      <c r="E24" s="2" t="s">
        <v>1219</v>
      </c>
      <c r="F24" s="4" t="s">
        <v>1220</v>
      </c>
      <c r="G24" s="4" t="s">
        <v>21</v>
      </c>
      <c r="H24" s="4" t="s">
        <v>438</v>
      </c>
      <c r="I24" s="4" t="s">
        <v>157</v>
      </c>
      <c r="J24" s="4" t="s">
        <v>88</v>
      </c>
      <c r="K24" s="4" t="s">
        <v>25</v>
      </c>
      <c r="L24" s="4" t="s">
        <v>68</v>
      </c>
      <c r="M24" s="4" t="s">
        <v>1752</v>
      </c>
      <c r="N24" s="5">
        <v>1344.14</v>
      </c>
      <c r="O24" s="6">
        <v>10</v>
      </c>
      <c r="P24" s="7">
        <v>0.3</v>
      </c>
      <c r="Q24" s="18">
        <v>315.70999999999998</v>
      </c>
      <c r="R24" s="45" t="str">
        <f t="shared" si="0"/>
        <v>OK</v>
      </c>
      <c r="S24" s="45">
        <f t="shared" si="1"/>
        <v>1360.1758333333335</v>
      </c>
      <c r="T24" s="45">
        <f t="shared" si="2"/>
        <v>12</v>
      </c>
      <c r="U24" s="45">
        <f t="shared" si="3"/>
        <v>16322.11</v>
      </c>
    </row>
    <row r="25" spans="1:21" x14ac:dyDescent="0.3">
      <c r="A25" s="17" t="s">
        <v>2090</v>
      </c>
      <c r="B25" s="32">
        <v>44227</v>
      </c>
      <c r="C25" s="32">
        <v>44230</v>
      </c>
      <c r="D25" s="8" t="s">
        <v>73</v>
      </c>
      <c r="E25" s="8" t="s">
        <v>163</v>
      </c>
      <c r="F25" s="10" t="s">
        <v>164</v>
      </c>
      <c r="G25" s="10" t="s">
        <v>21</v>
      </c>
      <c r="H25" s="10" t="s">
        <v>165</v>
      </c>
      <c r="I25" s="10" t="s">
        <v>44</v>
      </c>
      <c r="J25" s="10" t="s">
        <v>24</v>
      </c>
      <c r="K25" s="10" t="s">
        <v>45</v>
      </c>
      <c r="L25" s="10" t="s">
        <v>46</v>
      </c>
      <c r="M25" s="10" t="s">
        <v>2091</v>
      </c>
      <c r="N25" s="11">
        <v>1095.8800000000001</v>
      </c>
      <c r="O25" s="12">
        <v>9</v>
      </c>
      <c r="P25" s="13">
        <v>0.5</v>
      </c>
      <c r="Q25" s="19">
        <v>-169.48</v>
      </c>
      <c r="R25" s="45" t="str">
        <f t="shared" si="0"/>
        <v>OK</v>
      </c>
      <c r="S25" s="45">
        <f t="shared" si="1"/>
        <v>1360.1758333333335</v>
      </c>
      <c r="T25" s="45">
        <f t="shared" si="2"/>
        <v>12</v>
      </c>
      <c r="U25" s="45">
        <f t="shared" si="3"/>
        <v>16322.11</v>
      </c>
    </row>
    <row r="26" spans="1:21" x14ac:dyDescent="0.3">
      <c r="A26" s="16" t="s">
        <v>1771</v>
      </c>
      <c r="B26" s="31">
        <v>44229</v>
      </c>
      <c r="C26" s="31">
        <v>44236</v>
      </c>
      <c r="D26" s="2" t="s">
        <v>29</v>
      </c>
      <c r="E26" s="2" t="s">
        <v>1015</v>
      </c>
      <c r="F26" s="4" t="s">
        <v>1016</v>
      </c>
      <c r="G26" s="4" t="s">
        <v>42</v>
      </c>
      <c r="H26" s="4" t="s">
        <v>134</v>
      </c>
      <c r="I26" s="4" t="s">
        <v>87</v>
      </c>
      <c r="J26" s="4" t="s">
        <v>88</v>
      </c>
      <c r="K26" s="4" t="s">
        <v>45</v>
      </c>
      <c r="L26" s="4" t="s">
        <v>99</v>
      </c>
      <c r="M26" s="4" t="s">
        <v>1772</v>
      </c>
      <c r="N26" s="5">
        <v>258.3</v>
      </c>
      <c r="O26" s="6">
        <v>5</v>
      </c>
      <c r="P26" s="7">
        <v>0</v>
      </c>
      <c r="Q26" s="18">
        <v>92.74</v>
      </c>
      <c r="R26" s="45" t="str">
        <f t="shared" si="0"/>
        <v>OK</v>
      </c>
      <c r="S26" s="45">
        <f t="shared" si="1"/>
        <v>1360.1758333333335</v>
      </c>
      <c r="T26" s="45">
        <f t="shared" si="2"/>
        <v>12</v>
      </c>
      <c r="U26" s="45">
        <f t="shared" si="3"/>
        <v>16322.11</v>
      </c>
    </row>
    <row r="27" spans="1:21" x14ac:dyDescent="0.3">
      <c r="A27" s="17" t="s">
        <v>1057</v>
      </c>
      <c r="B27" s="32">
        <v>44230</v>
      </c>
      <c r="C27" s="32">
        <v>44236</v>
      </c>
      <c r="D27" s="8" t="s">
        <v>29</v>
      </c>
      <c r="E27" s="8" t="s">
        <v>355</v>
      </c>
      <c r="F27" s="10" t="s">
        <v>356</v>
      </c>
      <c r="G27" s="10" t="s">
        <v>21</v>
      </c>
      <c r="H27" s="10" t="s">
        <v>357</v>
      </c>
      <c r="I27" s="10" t="s">
        <v>251</v>
      </c>
      <c r="J27" s="10" t="s">
        <v>88</v>
      </c>
      <c r="K27" s="10" t="s">
        <v>35</v>
      </c>
      <c r="L27" s="10" t="s">
        <v>36</v>
      </c>
      <c r="M27" s="10" t="s">
        <v>1058</v>
      </c>
      <c r="N27" s="11">
        <v>2043.72</v>
      </c>
      <c r="O27" s="12">
        <v>9</v>
      </c>
      <c r="P27" s="13">
        <v>0</v>
      </c>
      <c r="Q27" s="19">
        <v>911.54</v>
      </c>
      <c r="R27" s="45" t="str">
        <f t="shared" si="0"/>
        <v>OK</v>
      </c>
      <c r="S27" s="45">
        <f t="shared" si="1"/>
        <v>1360.1758333333335</v>
      </c>
      <c r="T27" s="45">
        <f t="shared" si="2"/>
        <v>12</v>
      </c>
      <c r="U27" s="45">
        <f t="shared" si="3"/>
        <v>16322.11</v>
      </c>
    </row>
    <row r="28" spans="1:21" x14ac:dyDescent="0.3">
      <c r="A28" s="17" t="s">
        <v>2119</v>
      </c>
      <c r="B28" s="32">
        <v>44231</v>
      </c>
      <c r="C28" s="32">
        <v>44234</v>
      </c>
      <c r="D28" s="8" t="s">
        <v>18</v>
      </c>
      <c r="E28" s="8" t="s">
        <v>817</v>
      </c>
      <c r="F28" s="10" t="s">
        <v>818</v>
      </c>
      <c r="G28" s="10" t="s">
        <v>42</v>
      </c>
      <c r="H28" s="10" t="s">
        <v>98</v>
      </c>
      <c r="I28" s="10" t="s">
        <v>80</v>
      </c>
      <c r="J28" s="10" t="s">
        <v>54</v>
      </c>
      <c r="K28" s="10" t="s">
        <v>45</v>
      </c>
      <c r="L28" s="10" t="s">
        <v>99</v>
      </c>
      <c r="M28" s="10" t="s">
        <v>564</v>
      </c>
      <c r="N28" s="11">
        <v>559.67999999999995</v>
      </c>
      <c r="O28" s="12">
        <v>8</v>
      </c>
      <c r="P28" s="13">
        <v>0.2</v>
      </c>
      <c r="Q28" s="19">
        <v>91.45</v>
      </c>
      <c r="R28" s="45" t="str">
        <f t="shared" si="0"/>
        <v>OK</v>
      </c>
      <c r="S28" s="45">
        <f t="shared" si="1"/>
        <v>1360.1758333333335</v>
      </c>
      <c r="T28" s="45">
        <f t="shared" si="2"/>
        <v>12</v>
      </c>
      <c r="U28" s="45">
        <f t="shared" si="3"/>
        <v>16322.11</v>
      </c>
    </row>
    <row r="29" spans="1:21" x14ac:dyDescent="0.3">
      <c r="A29" s="17" t="s">
        <v>1371</v>
      </c>
      <c r="B29" s="32">
        <v>44232</v>
      </c>
      <c r="C29" s="32">
        <v>44236</v>
      </c>
      <c r="D29" s="8" t="s">
        <v>39</v>
      </c>
      <c r="E29" s="8" t="s">
        <v>1148</v>
      </c>
      <c r="F29" s="10" t="s">
        <v>1149</v>
      </c>
      <c r="G29" s="10" t="s">
        <v>51</v>
      </c>
      <c r="H29" s="10" t="s">
        <v>150</v>
      </c>
      <c r="I29" s="10" t="s">
        <v>151</v>
      </c>
      <c r="J29" s="10" t="s">
        <v>34</v>
      </c>
      <c r="K29" s="10" t="s">
        <v>25</v>
      </c>
      <c r="L29" s="10" t="s">
        <v>124</v>
      </c>
      <c r="M29" s="10" t="s">
        <v>1372</v>
      </c>
      <c r="N29" s="11">
        <v>9864.93</v>
      </c>
      <c r="O29" s="12">
        <v>4</v>
      </c>
      <c r="P29" s="13">
        <v>0.15</v>
      </c>
      <c r="Q29" s="19">
        <v>2083.7199999999998</v>
      </c>
      <c r="R29" s="45" t="str">
        <f t="shared" si="0"/>
        <v>OK</v>
      </c>
      <c r="S29" s="45">
        <f t="shared" si="1"/>
        <v>1360.1758333333335</v>
      </c>
      <c r="T29" s="45">
        <f t="shared" si="2"/>
        <v>12</v>
      </c>
      <c r="U29" s="45">
        <f t="shared" si="3"/>
        <v>16322.11</v>
      </c>
    </row>
    <row r="30" spans="1:21" x14ac:dyDescent="0.3">
      <c r="A30" s="16" t="s">
        <v>1295</v>
      </c>
      <c r="B30" s="31">
        <v>44233</v>
      </c>
      <c r="C30" s="31">
        <v>44239</v>
      </c>
      <c r="D30" s="2" t="s">
        <v>29</v>
      </c>
      <c r="E30" s="2" t="s">
        <v>628</v>
      </c>
      <c r="F30" s="4" t="s">
        <v>629</v>
      </c>
      <c r="G30" s="4" t="s">
        <v>42</v>
      </c>
      <c r="H30" s="4" t="s">
        <v>32</v>
      </c>
      <c r="I30" s="4" t="s">
        <v>33</v>
      </c>
      <c r="J30" s="4" t="s">
        <v>34</v>
      </c>
      <c r="K30" s="4" t="s">
        <v>25</v>
      </c>
      <c r="L30" s="4" t="s">
        <v>26</v>
      </c>
      <c r="M30" s="4" t="s">
        <v>1296</v>
      </c>
      <c r="N30" s="5">
        <v>2487.34</v>
      </c>
      <c r="O30" s="6">
        <v>4</v>
      </c>
      <c r="P30" s="7">
        <v>0.5</v>
      </c>
      <c r="Q30" s="18">
        <v>-1111.3599999999999</v>
      </c>
      <c r="R30" s="45" t="str">
        <f t="shared" si="0"/>
        <v>OK</v>
      </c>
      <c r="S30" s="45">
        <f t="shared" si="1"/>
        <v>1360.1758333333335</v>
      </c>
      <c r="T30" s="45">
        <f t="shared" si="2"/>
        <v>12</v>
      </c>
      <c r="U30" s="45">
        <f t="shared" si="3"/>
        <v>16322.11</v>
      </c>
    </row>
    <row r="31" spans="1:21" x14ac:dyDescent="0.3">
      <c r="A31" s="16" t="s">
        <v>779</v>
      </c>
      <c r="B31" s="31">
        <v>44235</v>
      </c>
      <c r="C31" s="31">
        <v>44239</v>
      </c>
      <c r="D31" s="2" t="s">
        <v>39</v>
      </c>
      <c r="E31" s="2" t="s">
        <v>298</v>
      </c>
      <c r="F31" s="4" t="s">
        <v>299</v>
      </c>
      <c r="G31" s="4" t="s">
        <v>21</v>
      </c>
      <c r="H31" s="4" t="s">
        <v>300</v>
      </c>
      <c r="I31" s="4" t="s">
        <v>184</v>
      </c>
      <c r="J31" s="4" t="s">
        <v>54</v>
      </c>
      <c r="K31" s="4" t="s">
        <v>35</v>
      </c>
      <c r="L31" s="4" t="s">
        <v>216</v>
      </c>
      <c r="M31" s="4" t="s">
        <v>780</v>
      </c>
      <c r="N31" s="5">
        <v>203.49</v>
      </c>
      <c r="O31" s="6">
        <v>7</v>
      </c>
      <c r="P31" s="7">
        <v>0.05</v>
      </c>
      <c r="Q31" s="18">
        <v>71.5</v>
      </c>
      <c r="R31" s="45" t="str">
        <f t="shared" si="0"/>
        <v>OK</v>
      </c>
      <c r="S31" s="45">
        <f t="shared" si="1"/>
        <v>1360.1758333333335</v>
      </c>
      <c r="T31" s="45">
        <f t="shared" si="2"/>
        <v>12</v>
      </c>
      <c r="U31" s="45">
        <f t="shared" si="3"/>
        <v>16322.11</v>
      </c>
    </row>
    <row r="32" spans="1:21" x14ac:dyDescent="0.3">
      <c r="A32" s="17" t="s">
        <v>597</v>
      </c>
      <c r="B32" s="32">
        <v>44236</v>
      </c>
      <c r="C32" s="32">
        <v>44240</v>
      </c>
      <c r="D32" s="8" t="s">
        <v>39</v>
      </c>
      <c r="E32" s="8" t="s">
        <v>197</v>
      </c>
      <c r="F32" s="10" t="s">
        <v>198</v>
      </c>
      <c r="G32" s="10" t="s">
        <v>21</v>
      </c>
      <c r="H32" s="10" t="s">
        <v>129</v>
      </c>
      <c r="I32" s="10" t="s">
        <v>33</v>
      </c>
      <c r="J32" s="10" t="s">
        <v>34</v>
      </c>
      <c r="K32" s="10" t="s">
        <v>35</v>
      </c>
      <c r="L32" s="10" t="s">
        <v>36</v>
      </c>
      <c r="M32" s="10" t="s">
        <v>598</v>
      </c>
      <c r="N32" s="11">
        <v>189.76</v>
      </c>
      <c r="O32" s="12">
        <v>5</v>
      </c>
      <c r="P32" s="13">
        <v>0.15</v>
      </c>
      <c r="Q32" s="19">
        <v>47.26</v>
      </c>
      <c r="R32" s="45" t="str">
        <f t="shared" si="0"/>
        <v>OK</v>
      </c>
      <c r="S32" s="45">
        <f t="shared" si="1"/>
        <v>1360.1758333333335</v>
      </c>
      <c r="T32" s="45">
        <f t="shared" si="2"/>
        <v>12</v>
      </c>
      <c r="U32" s="45">
        <f t="shared" si="3"/>
        <v>16322.11</v>
      </c>
    </row>
    <row r="33" spans="1:21" x14ac:dyDescent="0.3">
      <c r="A33" s="17" t="s">
        <v>2429</v>
      </c>
      <c r="B33" s="32">
        <v>44241</v>
      </c>
      <c r="C33" s="32">
        <v>44242</v>
      </c>
      <c r="D33" s="8" t="s">
        <v>18</v>
      </c>
      <c r="E33" s="8" t="s">
        <v>406</v>
      </c>
      <c r="F33" s="10" t="s">
        <v>407</v>
      </c>
      <c r="G33" s="10" t="s">
        <v>42</v>
      </c>
      <c r="H33" s="10" t="s">
        <v>165</v>
      </c>
      <c r="I33" s="10" t="s">
        <v>44</v>
      </c>
      <c r="J33" s="10" t="s">
        <v>24</v>
      </c>
      <c r="K33" s="10" t="s">
        <v>35</v>
      </c>
      <c r="L33" s="10" t="s">
        <v>110</v>
      </c>
      <c r="M33" s="10" t="s">
        <v>2430</v>
      </c>
      <c r="N33" s="11">
        <v>117.38</v>
      </c>
      <c r="O33" s="12">
        <v>4</v>
      </c>
      <c r="P33" s="13">
        <v>0.2</v>
      </c>
      <c r="Q33" s="19">
        <v>46.06</v>
      </c>
      <c r="R33" s="45" t="str">
        <f t="shared" si="0"/>
        <v>OK</v>
      </c>
      <c r="S33" s="45">
        <f t="shared" si="1"/>
        <v>1360.1758333333335</v>
      </c>
      <c r="T33" s="45">
        <f t="shared" si="2"/>
        <v>12</v>
      </c>
      <c r="U33" s="45">
        <f t="shared" si="3"/>
        <v>16322.11</v>
      </c>
    </row>
    <row r="34" spans="1:21" x14ac:dyDescent="0.3">
      <c r="A34" s="17" t="s">
        <v>1445</v>
      </c>
      <c r="B34" s="32">
        <v>44242</v>
      </c>
      <c r="C34" s="32">
        <v>44247</v>
      </c>
      <c r="D34" s="8" t="s">
        <v>73</v>
      </c>
      <c r="E34" s="8" t="s">
        <v>355</v>
      </c>
      <c r="F34" s="10" t="s">
        <v>356</v>
      </c>
      <c r="G34" s="10" t="s">
        <v>21</v>
      </c>
      <c r="H34" s="10" t="s">
        <v>357</v>
      </c>
      <c r="I34" s="10" t="s">
        <v>251</v>
      </c>
      <c r="J34" s="10" t="s">
        <v>88</v>
      </c>
      <c r="K34" s="10" t="s">
        <v>35</v>
      </c>
      <c r="L34" s="10" t="s">
        <v>110</v>
      </c>
      <c r="M34" s="10" t="s">
        <v>1446</v>
      </c>
      <c r="N34" s="11">
        <v>16.16</v>
      </c>
      <c r="O34" s="12">
        <v>1</v>
      </c>
      <c r="P34" s="13">
        <v>0.1</v>
      </c>
      <c r="Q34" s="19">
        <v>7.18</v>
      </c>
      <c r="R34" s="45" t="str">
        <f t="shared" si="0"/>
        <v>OK</v>
      </c>
      <c r="S34" s="45">
        <f t="shared" si="1"/>
        <v>1360.1758333333335</v>
      </c>
      <c r="T34" s="45">
        <f t="shared" si="2"/>
        <v>12</v>
      </c>
      <c r="U34" s="45">
        <f t="shared" si="3"/>
        <v>16322.11</v>
      </c>
    </row>
    <row r="35" spans="1:21" x14ac:dyDescent="0.3">
      <c r="A35" s="16" t="s">
        <v>1365</v>
      </c>
      <c r="B35" s="31">
        <v>44243</v>
      </c>
      <c r="C35" s="31">
        <v>44246</v>
      </c>
      <c r="D35" s="2" t="s">
        <v>39</v>
      </c>
      <c r="E35" s="2" t="s">
        <v>614</v>
      </c>
      <c r="F35" s="4" t="s">
        <v>615</v>
      </c>
      <c r="G35" s="4" t="s">
        <v>21</v>
      </c>
      <c r="H35" s="4" t="s">
        <v>139</v>
      </c>
      <c r="I35" s="4" t="s">
        <v>140</v>
      </c>
      <c r="J35" s="4" t="s">
        <v>24</v>
      </c>
      <c r="K35" s="4" t="s">
        <v>25</v>
      </c>
      <c r="L35" s="4" t="s">
        <v>124</v>
      </c>
      <c r="M35" s="4" t="s">
        <v>1366</v>
      </c>
      <c r="N35" s="5">
        <v>5127.41</v>
      </c>
      <c r="O35" s="6">
        <v>4</v>
      </c>
      <c r="P35" s="7">
        <v>0.4</v>
      </c>
      <c r="Q35" s="18">
        <v>-1900.02</v>
      </c>
      <c r="R35" s="45" t="str">
        <f t="shared" si="0"/>
        <v>OK</v>
      </c>
      <c r="S35" s="45">
        <f t="shared" si="1"/>
        <v>1360.1758333333335</v>
      </c>
      <c r="T35" s="45">
        <f t="shared" si="2"/>
        <v>12</v>
      </c>
      <c r="U35" s="45">
        <f t="shared" si="3"/>
        <v>16322.11</v>
      </c>
    </row>
    <row r="36" spans="1:21" x14ac:dyDescent="0.3">
      <c r="A36" s="17" t="s">
        <v>1375</v>
      </c>
      <c r="B36" s="32">
        <v>44244</v>
      </c>
      <c r="C36" s="32">
        <v>44249</v>
      </c>
      <c r="D36" s="8" t="s">
        <v>29</v>
      </c>
      <c r="E36" s="8" t="s">
        <v>1258</v>
      </c>
      <c r="F36" s="10" t="s">
        <v>1259</v>
      </c>
      <c r="G36" s="10" t="s">
        <v>21</v>
      </c>
      <c r="H36" s="10" t="s">
        <v>438</v>
      </c>
      <c r="I36" s="10" t="s">
        <v>157</v>
      </c>
      <c r="J36" s="10" t="s">
        <v>88</v>
      </c>
      <c r="K36" s="10" t="s">
        <v>25</v>
      </c>
      <c r="L36" s="10" t="s">
        <v>74</v>
      </c>
      <c r="M36" s="10" t="s">
        <v>1376</v>
      </c>
      <c r="N36" s="11">
        <v>5000.8599999999997</v>
      </c>
      <c r="O36" s="12">
        <v>9</v>
      </c>
      <c r="P36" s="13">
        <v>0.1</v>
      </c>
      <c r="Q36" s="19">
        <v>1710.45</v>
      </c>
      <c r="R36" s="45" t="str">
        <f t="shared" si="0"/>
        <v>OK</v>
      </c>
      <c r="S36" s="45">
        <f t="shared" si="1"/>
        <v>1360.1758333333335</v>
      </c>
      <c r="T36" s="45">
        <f t="shared" si="2"/>
        <v>12</v>
      </c>
      <c r="U36" s="45">
        <f t="shared" si="3"/>
        <v>16322.11</v>
      </c>
    </row>
    <row r="37" spans="1:21" x14ac:dyDescent="0.3">
      <c r="A37" s="16" t="s">
        <v>1494</v>
      </c>
      <c r="B37" s="31">
        <v>44245</v>
      </c>
      <c r="C37" s="31">
        <v>44250</v>
      </c>
      <c r="D37" s="2" t="s">
        <v>29</v>
      </c>
      <c r="E37" s="2" t="s">
        <v>785</v>
      </c>
      <c r="F37" s="4" t="s">
        <v>786</v>
      </c>
      <c r="G37" s="4" t="s">
        <v>51</v>
      </c>
      <c r="H37" s="4" t="s">
        <v>422</v>
      </c>
      <c r="I37" s="4" t="s">
        <v>423</v>
      </c>
      <c r="J37" s="4" t="s">
        <v>88</v>
      </c>
      <c r="K37" s="4" t="s">
        <v>25</v>
      </c>
      <c r="L37" s="4" t="s">
        <v>74</v>
      </c>
      <c r="M37" s="4" t="s">
        <v>1495</v>
      </c>
      <c r="N37" s="5">
        <v>1353.02</v>
      </c>
      <c r="O37" s="6">
        <v>5</v>
      </c>
      <c r="P37" s="7">
        <v>0.1</v>
      </c>
      <c r="Q37" s="18">
        <v>494.77</v>
      </c>
      <c r="R37" s="45" t="str">
        <f t="shared" si="0"/>
        <v>OK</v>
      </c>
      <c r="S37" s="45">
        <f t="shared" si="1"/>
        <v>1360.1758333333335</v>
      </c>
      <c r="T37" s="45">
        <f t="shared" si="2"/>
        <v>12</v>
      </c>
      <c r="U37" s="45">
        <f t="shared" si="3"/>
        <v>16322.11</v>
      </c>
    </row>
    <row r="38" spans="1:21" x14ac:dyDescent="0.3">
      <c r="A38" s="17" t="s">
        <v>174</v>
      </c>
      <c r="B38" s="32">
        <v>44246</v>
      </c>
      <c r="C38" s="32">
        <v>44251</v>
      </c>
      <c r="D38" s="8" t="s">
        <v>29</v>
      </c>
      <c r="E38" s="8" t="s">
        <v>175</v>
      </c>
      <c r="F38" s="10" t="s">
        <v>176</v>
      </c>
      <c r="G38" s="10" t="s">
        <v>51</v>
      </c>
      <c r="H38" s="10" t="s">
        <v>177</v>
      </c>
      <c r="I38" s="10" t="s">
        <v>178</v>
      </c>
      <c r="J38" s="10" t="s">
        <v>24</v>
      </c>
      <c r="K38" s="10" t="s">
        <v>45</v>
      </c>
      <c r="L38" s="10" t="s">
        <v>117</v>
      </c>
      <c r="M38" s="10" t="s">
        <v>179</v>
      </c>
      <c r="N38" s="11">
        <v>2468.64</v>
      </c>
      <c r="O38" s="12">
        <v>9</v>
      </c>
      <c r="P38" s="13">
        <v>0.05</v>
      </c>
      <c r="Q38" s="19">
        <v>769.79</v>
      </c>
      <c r="R38" s="45" t="str">
        <f t="shared" si="0"/>
        <v>OK</v>
      </c>
      <c r="S38" s="45">
        <f t="shared" si="1"/>
        <v>1360.1758333333335</v>
      </c>
      <c r="T38" s="45">
        <f t="shared" si="2"/>
        <v>12</v>
      </c>
      <c r="U38" s="45">
        <f t="shared" si="3"/>
        <v>16322.11</v>
      </c>
    </row>
    <row r="39" spans="1:21" x14ac:dyDescent="0.3">
      <c r="A39" s="16" t="s">
        <v>1724</v>
      </c>
      <c r="B39" s="31">
        <v>44246</v>
      </c>
      <c r="C39" s="31">
        <v>44249</v>
      </c>
      <c r="D39" s="2" t="s">
        <v>39</v>
      </c>
      <c r="E39" s="2" t="s">
        <v>205</v>
      </c>
      <c r="F39" s="4" t="s">
        <v>206</v>
      </c>
      <c r="G39" s="4" t="s">
        <v>51</v>
      </c>
      <c r="H39" s="4" t="s">
        <v>207</v>
      </c>
      <c r="I39" s="4" t="s">
        <v>60</v>
      </c>
      <c r="J39" s="4" t="s">
        <v>54</v>
      </c>
      <c r="K39" s="4" t="s">
        <v>45</v>
      </c>
      <c r="L39" s="4" t="s">
        <v>99</v>
      </c>
      <c r="M39" s="4" t="s">
        <v>1168</v>
      </c>
      <c r="N39" s="5">
        <v>138.1</v>
      </c>
      <c r="O39" s="6">
        <v>2</v>
      </c>
      <c r="P39" s="7">
        <v>0</v>
      </c>
      <c r="Q39" s="18">
        <v>44.63</v>
      </c>
      <c r="R39" s="45" t="str">
        <f t="shared" si="0"/>
        <v>OK</v>
      </c>
      <c r="S39" s="45">
        <f t="shared" si="1"/>
        <v>1259.4063636363637</v>
      </c>
      <c r="T39" s="45">
        <f t="shared" si="2"/>
        <v>11</v>
      </c>
      <c r="U39" s="45">
        <f t="shared" si="3"/>
        <v>13853.470000000001</v>
      </c>
    </row>
    <row r="40" spans="1:21" x14ac:dyDescent="0.3">
      <c r="A40" s="17" t="s">
        <v>2407</v>
      </c>
      <c r="B40" s="32">
        <v>44247</v>
      </c>
      <c r="C40" s="32">
        <v>44249</v>
      </c>
      <c r="D40" s="8" t="s">
        <v>18</v>
      </c>
      <c r="E40" s="8" t="s">
        <v>227</v>
      </c>
      <c r="F40" s="10" t="s">
        <v>228</v>
      </c>
      <c r="G40" s="10" t="s">
        <v>51</v>
      </c>
      <c r="H40" s="10" t="s">
        <v>98</v>
      </c>
      <c r="I40" s="10" t="s">
        <v>80</v>
      </c>
      <c r="J40" s="10" t="s">
        <v>54</v>
      </c>
      <c r="K40" s="10" t="s">
        <v>25</v>
      </c>
      <c r="L40" s="10" t="s">
        <v>68</v>
      </c>
      <c r="M40" s="10" t="s">
        <v>2408</v>
      </c>
      <c r="N40" s="11">
        <v>413.33</v>
      </c>
      <c r="O40" s="12">
        <v>4</v>
      </c>
      <c r="P40" s="13">
        <v>0.05</v>
      </c>
      <c r="Q40" s="19">
        <v>179.88</v>
      </c>
      <c r="R40" s="45" t="str">
        <f t="shared" si="0"/>
        <v>OK</v>
      </c>
      <c r="S40" s="45">
        <f t="shared" si="1"/>
        <v>1259.4063636363637</v>
      </c>
      <c r="T40" s="45">
        <f t="shared" si="2"/>
        <v>11</v>
      </c>
      <c r="U40" s="45">
        <f t="shared" si="3"/>
        <v>13853.470000000001</v>
      </c>
    </row>
    <row r="41" spans="1:21" x14ac:dyDescent="0.3">
      <c r="A41" s="17" t="s">
        <v>2258</v>
      </c>
      <c r="B41" s="32">
        <v>44248</v>
      </c>
      <c r="C41" s="32">
        <v>44250</v>
      </c>
      <c r="D41" s="8" t="s">
        <v>18</v>
      </c>
      <c r="E41" s="8" t="s">
        <v>1101</v>
      </c>
      <c r="F41" s="10" t="s">
        <v>1102</v>
      </c>
      <c r="G41" s="10" t="s">
        <v>42</v>
      </c>
      <c r="H41" s="10" t="s">
        <v>1103</v>
      </c>
      <c r="I41" s="10" t="s">
        <v>172</v>
      </c>
      <c r="J41" s="10" t="s">
        <v>24</v>
      </c>
      <c r="K41" s="10" t="s">
        <v>45</v>
      </c>
      <c r="L41" s="10" t="s">
        <v>99</v>
      </c>
      <c r="M41" s="10" t="s">
        <v>2259</v>
      </c>
      <c r="N41" s="11">
        <v>171.36</v>
      </c>
      <c r="O41" s="12">
        <v>3</v>
      </c>
      <c r="P41" s="13">
        <v>0.4</v>
      </c>
      <c r="Q41" s="19">
        <v>-13.78</v>
      </c>
      <c r="R41" s="45" t="str">
        <f t="shared" si="0"/>
        <v>OK</v>
      </c>
      <c r="S41" s="45">
        <f t="shared" si="1"/>
        <v>1259.4063636363637</v>
      </c>
      <c r="T41" s="45">
        <f t="shared" si="2"/>
        <v>11</v>
      </c>
      <c r="U41" s="45">
        <f t="shared" si="3"/>
        <v>13853.470000000001</v>
      </c>
    </row>
    <row r="42" spans="1:21" x14ac:dyDescent="0.3">
      <c r="A42" s="16" t="s">
        <v>270</v>
      </c>
      <c r="B42" s="31">
        <v>44249</v>
      </c>
      <c r="C42" s="31">
        <v>44256</v>
      </c>
      <c r="D42" s="2" t="s">
        <v>29</v>
      </c>
      <c r="E42" s="2" t="s">
        <v>92</v>
      </c>
      <c r="F42" s="4" t="s">
        <v>93</v>
      </c>
      <c r="G42" s="4" t="s">
        <v>42</v>
      </c>
      <c r="H42" s="4" t="s">
        <v>43</v>
      </c>
      <c r="I42" s="4" t="s">
        <v>44</v>
      </c>
      <c r="J42" s="4" t="s">
        <v>24</v>
      </c>
      <c r="K42" s="4" t="s">
        <v>45</v>
      </c>
      <c r="L42" s="4" t="s">
        <v>117</v>
      </c>
      <c r="M42" s="4" t="s">
        <v>271</v>
      </c>
      <c r="N42" s="5">
        <v>1262.8499999999999</v>
      </c>
      <c r="O42" s="6">
        <v>5</v>
      </c>
      <c r="P42" s="7">
        <v>0</v>
      </c>
      <c r="Q42" s="18">
        <v>270.38</v>
      </c>
      <c r="R42" s="45" t="str">
        <f t="shared" si="0"/>
        <v>OK</v>
      </c>
      <c r="S42" s="45">
        <f t="shared" si="1"/>
        <v>1259.4063636363637</v>
      </c>
      <c r="T42" s="45">
        <f t="shared" si="2"/>
        <v>11</v>
      </c>
      <c r="U42" s="45">
        <f t="shared" si="3"/>
        <v>13853.470000000001</v>
      </c>
    </row>
    <row r="43" spans="1:21" x14ac:dyDescent="0.3">
      <c r="A43" s="16" t="s">
        <v>1564</v>
      </c>
      <c r="B43" s="31">
        <v>44249</v>
      </c>
      <c r="C43" s="31">
        <v>44252</v>
      </c>
      <c r="D43" s="2" t="s">
        <v>73</v>
      </c>
      <c r="E43" s="2" t="s">
        <v>1162</v>
      </c>
      <c r="F43" s="4" t="s">
        <v>1163</v>
      </c>
      <c r="G43" s="4" t="s">
        <v>21</v>
      </c>
      <c r="H43" s="4" t="s">
        <v>386</v>
      </c>
      <c r="I43" s="4" t="s">
        <v>347</v>
      </c>
      <c r="J43" s="4" t="s">
        <v>88</v>
      </c>
      <c r="K43" s="4" t="s">
        <v>45</v>
      </c>
      <c r="L43" s="4" t="s">
        <v>61</v>
      </c>
      <c r="M43" s="4" t="s">
        <v>1565</v>
      </c>
      <c r="N43" s="5">
        <v>1190.7</v>
      </c>
      <c r="O43" s="6">
        <v>10</v>
      </c>
      <c r="P43" s="7">
        <v>0.3</v>
      </c>
      <c r="Q43" s="18">
        <v>-258.45999999999998</v>
      </c>
      <c r="R43" s="45" t="str">
        <f t="shared" si="0"/>
        <v>OK</v>
      </c>
      <c r="S43" s="45">
        <f t="shared" si="1"/>
        <v>1259.4063636363637</v>
      </c>
      <c r="T43" s="45">
        <f t="shared" si="2"/>
        <v>11</v>
      </c>
      <c r="U43" s="45">
        <f t="shared" si="3"/>
        <v>13853.470000000001</v>
      </c>
    </row>
    <row r="44" spans="1:21" x14ac:dyDescent="0.3">
      <c r="A44" s="16" t="s">
        <v>1589</v>
      </c>
      <c r="B44" s="31">
        <v>44250</v>
      </c>
      <c r="C44" s="31">
        <v>44254</v>
      </c>
      <c r="D44" s="2" t="s">
        <v>39</v>
      </c>
      <c r="E44" s="2" t="s">
        <v>181</v>
      </c>
      <c r="F44" s="4" t="s">
        <v>182</v>
      </c>
      <c r="G44" s="4" t="s">
        <v>21</v>
      </c>
      <c r="H44" s="4" t="s">
        <v>183</v>
      </c>
      <c r="I44" s="4" t="s">
        <v>184</v>
      </c>
      <c r="J44" s="4" t="s">
        <v>54</v>
      </c>
      <c r="K44" s="4" t="s">
        <v>25</v>
      </c>
      <c r="L44" s="4" t="s">
        <v>26</v>
      </c>
      <c r="M44" s="4" t="s">
        <v>1590</v>
      </c>
      <c r="N44" s="5">
        <v>1724.48</v>
      </c>
      <c r="O44" s="6">
        <v>4</v>
      </c>
      <c r="P44" s="7">
        <v>0</v>
      </c>
      <c r="Q44" s="18">
        <v>446.56</v>
      </c>
      <c r="R44" s="45" t="str">
        <f t="shared" si="0"/>
        <v>OK</v>
      </c>
      <c r="S44" s="45">
        <f t="shared" si="1"/>
        <v>1259.4063636363637</v>
      </c>
      <c r="T44" s="45">
        <f t="shared" si="2"/>
        <v>11</v>
      </c>
      <c r="U44" s="45">
        <f t="shared" si="3"/>
        <v>13853.470000000001</v>
      </c>
    </row>
    <row r="45" spans="1:21" x14ac:dyDescent="0.3">
      <c r="A45" s="16" t="s">
        <v>633</v>
      </c>
      <c r="B45" s="31">
        <v>44255</v>
      </c>
      <c r="C45" s="31">
        <v>44262</v>
      </c>
      <c r="D45" s="2" t="s">
        <v>29</v>
      </c>
      <c r="E45" s="2" t="s">
        <v>537</v>
      </c>
      <c r="F45" s="4" t="s">
        <v>538</v>
      </c>
      <c r="G45" s="4" t="s">
        <v>42</v>
      </c>
      <c r="H45" s="4" t="s">
        <v>115</v>
      </c>
      <c r="I45" s="4" t="s">
        <v>116</v>
      </c>
      <c r="J45" s="4" t="s">
        <v>54</v>
      </c>
      <c r="K45" s="4" t="s">
        <v>35</v>
      </c>
      <c r="L45" s="4" t="s">
        <v>89</v>
      </c>
      <c r="M45" s="4" t="s">
        <v>634</v>
      </c>
      <c r="N45" s="5">
        <v>348.39</v>
      </c>
      <c r="O45" s="6">
        <v>3</v>
      </c>
      <c r="P45" s="7">
        <v>0.4</v>
      </c>
      <c r="Q45" s="18">
        <v>-60.48</v>
      </c>
      <c r="R45" s="45" t="str">
        <f t="shared" si="0"/>
        <v>OK</v>
      </c>
      <c r="S45" s="45">
        <f t="shared" si="1"/>
        <v>1259.4063636363637</v>
      </c>
      <c r="T45" s="45">
        <f t="shared" si="2"/>
        <v>11</v>
      </c>
      <c r="U45" s="45">
        <f t="shared" si="3"/>
        <v>13853.470000000001</v>
      </c>
    </row>
    <row r="46" spans="1:21" x14ac:dyDescent="0.3">
      <c r="A46" s="17" t="s">
        <v>1261</v>
      </c>
      <c r="B46" s="32">
        <v>44256</v>
      </c>
      <c r="C46" s="32">
        <v>44260</v>
      </c>
      <c r="D46" s="8" t="s">
        <v>73</v>
      </c>
      <c r="E46" s="8" t="s">
        <v>561</v>
      </c>
      <c r="F46" s="10" t="s">
        <v>562</v>
      </c>
      <c r="G46" s="10" t="s">
        <v>42</v>
      </c>
      <c r="H46" s="10" t="s">
        <v>563</v>
      </c>
      <c r="I46" s="10" t="s">
        <v>460</v>
      </c>
      <c r="J46" s="10" t="s">
        <v>54</v>
      </c>
      <c r="K46" s="10" t="s">
        <v>45</v>
      </c>
      <c r="L46" s="10" t="s">
        <v>117</v>
      </c>
      <c r="M46" s="10" t="s">
        <v>1262</v>
      </c>
      <c r="N46" s="11">
        <v>287.48</v>
      </c>
      <c r="O46" s="12">
        <v>2</v>
      </c>
      <c r="P46" s="13">
        <v>0</v>
      </c>
      <c r="Q46" s="19">
        <v>83.49</v>
      </c>
      <c r="R46" s="45" t="str">
        <f t="shared" si="0"/>
        <v>OK</v>
      </c>
      <c r="S46" s="45">
        <f t="shared" si="1"/>
        <v>1259.4063636363637</v>
      </c>
      <c r="T46" s="45">
        <f t="shared" si="2"/>
        <v>11</v>
      </c>
      <c r="U46" s="45">
        <f t="shared" si="3"/>
        <v>13853.470000000001</v>
      </c>
    </row>
    <row r="47" spans="1:21" x14ac:dyDescent="0.3">
      <c r="A47" s="17" t="s">
        <v>2038</v>
      </c>
      <c r="B47" s="32">
        <v>44258</v>
      </c>
      <c r="C47" s="32">
        <v>44264</v>
      </c>
      <c r="D47" s="8" t="s">
        <v>29</v>
      </c>
      <c r="E47" s="8" t="s">
        <v>662</v>
      </c>
      <c r="F47" s="10" t="s">
        <v>663</v>
      </c>
      <c r="G47" s="10" t="s">
        <v>21</v>
      </c>
      <c r="H47" s="10" t="s">
        <v>104</v>
      </c>
      <c r="I47" s="10" t="s">
        <v>105</v>
      </c>
      <c r="J47" s="10" t="s">
        <v>88</v>
      </c>
      <c r="K47" s="10" t="s">
        <v>35</v>
      </c>
      <c r="L47" s="10" t="s">
        <v>158</v>
      </c>
      <c r="M47" s="10" t="s">
        <v>2039</v>
      </c>
      <c r="N47" s="11">
        <v>538.25</v>
      </c>
      <c r="O47" s="12">
        <v>6</v>
      </c>
      <c r="P47" s="13">
        <v>0.15</v>
      </c>
      <c r="Q47" s="19">
        <v>150.37</v>
      </c>
      <c r="R47" s="45" t="str">
        <f t="shared" si="0"/>
        <v>OK</v>
      </c>
      <c r="S47" s="45">
        <f t="shared" si="1"/>
        <v>1259.4063636363637</v>
      </c>
      <c r="T47" s="45">
        <f t="shared" si="2"/>
        <v>11</v>
      </c>
      <c r="U47" s="45">
        <f t="shared" si="3"/>
        <v>13853.470000000001</v>
      </c>
    </row>
    <row r="48" spans="1:21" x14ac:dyDescent="0.3">
      <c r="A48" s="17" t="s">
        <v>645</v>
      </c>
      <c r="B48" s="32">
        <v>44259</v>
      </c>
      <c r="C48" s="32">
        <v>44262</v>
      </c>
      <c r="D48" s="8" t="s">
        <v>18</v>
      </c>
      <c r="E48" s="8" t="s">
        <v>370</v>
      </c>
      <c r="F48" s="10" t="s">
        <v>371</v>
      </c>
      <c r="G48" s="10" t="s">
        <v>51</v>
      </c>
      <c r="H48" s="10" t="s">
        <v>372</v>
      </c>
      <c r="I48" s="10" t="s">
        <v>373</v>
      </c>
      <c r="J48" s="10" t="s">
        <v>34</v>
      </c>
      <c r="K48" s="10" t="s">
        <v>25</v>
      </c>
      <c r="L48" s="10" t="s">
        <v>26</v>
      </c>
      <c r="M48" s="10" t="s">
        <v>646</v>
      </c>
      <c r="N48" s="11">
        <v>10836.72</v>
      </c>
      <c r="O48" s="12">
        <v>10</v>
      </c>
      <c r="P48" s="13">
        <v>0.2</v>
      </c>
      <c r="Q48" s="19">
        <v>-255.98</v>
      </c>
      <c r="R48" s="45" t="str">
        <f t="shared" si="0"/>
        <v>OK</v>
      </c>
      <c r="S48" s="45">
        <f t="shared" si="1"/>
        <v>1259.4063636363637</v>
      </c>
      <c r="T48" s="45">
        <f t="shared" si="2"/>
        <v>11</v>
      </c>
      <c r="U48" s="45">
        <f t="shared" si="3"/>
        <v>13853.470000000001</v>
      </c>
    </row>
    <row r="49" spans="1:21" x14ac:dyDescent="0.3">
      <c r="A49" s="16" t="s">
        <v>1949</v>
      </c>
      <c r="B49" s="31">
        <v>44261</v>
      </c>
      <c r="C49" s="31">
        <v>44262</v>
      </c>
      <c r="D49" s="2" t="s">
        <v>18</v>
      </c>
      <c r="E49" s="2" t="s">
        <v>1001</v>
      </c>
      <c r="F49" s="4" t="s">
        <v>1002</v>
      </c>
      <c r="G49" s="4" t="s">
        <v>21</v>
      </c>
      <c r="H49" s="4" t="s">
        <v>59</v>
      </c>
      <c r="I49" s="4" t="s">
        <v>60</v>
      </c>
      <c r="J49" s="4" t="s">
        <v>54</v>
      </c>
      <c r="K49" s="4" t="s">
        <v>25</v>
      </c>
      <c r="L49" s="4" t="s">
        <v>124</v>
      </c>
      <c r="M49" s="4" t="s">
        <v>1950</v>
      </c>
      <c r="N49" s="5">
        <v>10857.27</v>
      </c>
      <c r="O49" s="6">
        <v>3</v>
      </c>
      <c r="P49" s="7">
        <v>0.05</v>
      </c>
      <c r="Q49" s="18">
        <v>2614.54</v>
      </c>
      <c r="R49" s="45" t="str">
        <f t="shared" si="0"/>
        <v>OK</v>
      </c>
      <c r="S49" s="45">
        <f t="shared" si="1"/>
        <v>1259.4063636363637</v>
      </c>
      <c r="T49" s="45">
        <f t="shared" si="2"/>
        <v>11</v>
      </c>
      <c r="U49" s="45">
        <f t="shared" si="3"/>
        <v>13853.470000000001</v>
      </c>
    </row>
    <row r="50" spans="1:21" x14ac:dyDescent="0.3">
      <c r="A50" s="16" t="s">
        <v>76</v>
      </c>
      <c r="B50" s="31">
        <v>44262</v>
      </c>
      <c r="C50" s="31">
        <v>44268</v>
      </c>
      <c r="D50" s="2" t="s">
        <v>29</v>
      </c>
      <c r="E50" s="2" t="s">
        <v>77</v>
      </c>
      <c r="F50" s="4" t="s">
        <v>78</v>
      </c>
      <c r="G50" s="4" t="s">
        <v>21</v>
      </c>
      <c r="H50" s="4" t="s">
        <v>79</v>
      </c>
      <c r="I50" s="4" t="s">
        <v>80</v>
      </c>
      <c r="J50" s="4" t="s">
        <v>54</v>
      </c>
      <c r="K50" s="4" t="s">
        <v>35</v>
      </c>
      <c r="L50" s="4" t="s">
        <v>81</v>
      </c>
      <c r="M50" s="4" t="s">
        <v>82</v>
      </c>
      <c r="N50" s="5">
        <v>93.57</v>
      </c>
      <c r="O50" s="6">
        <v>5</v>
      </c>
      <c r="P50" s="7">
        <v>0.05</v>
      </c>
      <c r="Q50" s="18">
        <v>46.91</v>
      </c>
      <c r="R50" s="45" t="str">
        <f t="shared" si="0"/>
        <v>OK</v>
      </c>
      <c r="S50" s="45">
        <f t="shared" si="1"/>
        <v>1259.4063636363637</v>
      </c>
      <c r="T50" s="45">
        <f t="shared" si="2"/>
        <v>11</v>
      </c>
      <c r="U50" s="45">
        <f t="shared" si="3"/>
        <v>13853.470000000001</v>
      </c>
    </row>
    <row r="51" spans="1:21" x14ac:dyDescent="0.3">
      <c r="A51" s="17" t="s">
        <v>1297</v>
      </c>
      <c r="B51" s="32">
        <v>44264</v>
      </c>
      <c r="C51" s="32">
        <v>44269</v>
      </c>
      <c r="D51" s="8" t="s">
        <v>73</v>
      </c>
      <c r="E51" s="8" t="s">
        <v>468</v>
      </c>
      <c r="F51" s="10" t="s">
        <v>469</v>
      </c>
      <c r="G51" s="10" t="s">
        <v>51</v>
      </c>
      <c r="H51" s="10" t="s">
        <v>372</v>
      </c>
      <c r="I51" s="10" t="s">
        <v>373</v>
      </c>
      <c r="J51" s="10" t="s">
        <v>34</v>
      </c>
      <c r="K51" s="10" t="s">
        <v>35</v>
      </c>
      <c r="L51" s="10" t="s">
        <v>89</v>
      </c>
      <c r="M51" s="10" t="s">
        <v>1298</v>
      </c>
      <c r="N51" s="11">
        <v>512.78</v>
      </c>
      <c r="O51" s="12">
        <v>7</v>
      </c>
      <c r="P51" s="13">
        <v>0.3</v>
      </c>
      <c r="Q51" s="19">
        <v>41.35</v>
      </c>
      <c r="R51" s="45" t="str">
        <f t="shared" si="0"/>
        <v>OK</v>
      </c>
      <c r="S51" s="45">
        <f t="shared" si="1"/>
        <v>1259.4063636363637</v>
      </c>
      <c r="T51" s="45">
        <f t="shared" si="2"/>
        <v>11</v>
      </c>
      <c r="U51" s="45">
        <f t="shared" si="3"/>
        <v>13853.470000000001</v>
      </c>
    </row>
    <row r="52" spans="1:21" x14ac:dyDescent="0.3">
      <c r="A52" s="17" t="s">
        <v>2030</v>
      </c>
      <c r="B52" s="32">
        <v>44265</v>
      </c>
      <c r="C52" s="32">
        <v>44270</v>
      </c>
      <c r="D52" s="8" t="s">
        <v>73</v>
      </c>
      <c r="E52" s="8" t="s">
        <v>827</v>
      </c>
      <c r="F52" s="10" t="s">
        <v>828</v>
      </c>
      <c r="G52" s="10" t="s">
        <v>51</v>
      </c>
      <c r="H52" s="10" t="s">
        <v>319</v>
      </c>
      <c r="I52" s="10" t="s">
        <v>194</v>
      </c>
      <c r="J52" s="10" t="s">
        <v>34</v>
      </c>
      <c r="K52" s="10" t="s">
        <v>45</v>
      </c>
      <c r="L52" s="10" t="s">
        <v>61</v>
      </c>
      <c r="M52" s="10" t="s">
        <v>2031</v>
      </c>
      <c r="N52" s="11">
        <v>1082.83</v>
      </c>
      <c r="O52" s="12">
        <v>4</v>
      </c>
      <c r="P52" s="13">
        <v>0.4</v>
      </c>
      <c r="Q52" s="19">
        <v>-479.63</v>
      </c>
      <c r="R52" s="45" t="str">
        <f t="shared" si="0"/>
        <v>OK</v>
      </c>
      <c r="S52" s="45">
        <f t="shared" si="1"/>
        <v>1259.4063636363637</v>
      </c>
      <c r="T52" s="45">
        <f t="shared" si="2"/>
        <v>11</v>
      </c>
      <c r="U52" s="45">
        <f t="shared" si="3"/>
        <v>13853.470000000001</v>
      </c>
    </row>
    <row r="53" spans="1:21" x14ac:dyDescent="0.3">
      <c r="A53" s="17" t="s">
        <v>2122</v>
      </c>
      <c r="B53" s="32">
        <v>44266</v>
      </c>
      <c r="C53" s="32">
        <v>44270</v>
      </c>
      <c r="D53" s="8" t="s">
        <v>39</v>
      </c>
      <c r="E53" s="8" t="s">
        <v>360</v>
      </c>
      <c r="F53" s="10" t="s">
        <v>361</v>
      </c>
      <c r="G53" s="10" t="s">
        <v>42</v>
      </c>
      <c r="H53" s="10" t="s">
        <v>346</v>
      </c>
      <c r="I53" s="10" t="s">
        <v>347</v>
      </c>
      <c r="J53" s="10" t="s">
        <v>88</v>
      </c>
      <c r="K53" s="10" t="s">
        <v>45</v>
      </c>
      <c r="L53" s="10" t="s">
        <v>99</v>
      </c>
      <c r="M53" s="10" t="s">
        <v>2123</v>
      </c>
      <c r="N53" s="11">
        <v>113.47</v>
      </c>
      <c r="O53" s="12">
        <v>2</v>
      </c>
      <c r="P53" s="13">
        <v>0.3</v>
      </c>
      <c r="Q53" s="19">
        <v>11.87</v>
      </c>
      <c r="R53" s="45" t="str">
        <f t="shared" si="0"/>
        <v>OK</v>
      </c>
      <c r="S53" s="45">
        <f t="shared" si="1"/>
        <v>1259.4063636363637</v>
      </c>
      <c r="T53" s="45">
        <f t="shared" si="2"/>
        <v>11</v>
      </c>
      <c r="U53" s="45">
        <f t="shared" si="3"/>
        <v>13853.470000000001</v>
      </c>
    </row>
    <row r="54" spans="1:21" x14ac:dyDescent="0.3">
      <c r="A54" s="17" t="s">
        <v>1745</v>
      </c>
      <c r="B54" s="32">
        <v>44267</v>
      </c>
      <c r="C54" s="32">
        <v>44271</v>
      </c>
      <c r="D54" s="8" t="s">
        <v>73</v>
      </c>
      <c r="E54" s="8" t="s">
        <v>1078</v>
      </c>
      <c r="F54" s="10" t="s">
        <v>1079</v>
      </c>
      <c r="G54" s="10" t="s">
        <v>42</v>
      </c>
      <c r="H54" s="10" t="s">
        <v>115</v>
      </c>
      <c r="I54" s="10" t="s">
        <v>116</v>
      </c>
      <c r="J54" s="10" t="s">
        <v>54</v>
      </c>
      <c r="K54" s="10" t="s">
        <v>45</v>
      </c>
      <c r="L54" s="10" t="s">
        <v>99</v>
      </c>
      <c r="M54" s="10" t="s">
        <v>1746</v>
      </c>
      <c r="N54" s="11">
        <v>234.96</v>
      </c>
      <c r="O54" s="12">
        <v>6</v>
      </c>
      <c r="P54" s="13">
        <v>0</v>
      </c>
      <c r="Q54" s="19">
        <v>85.84</v>
      </c>
      <c r="R54" s="45" t="str">
        <f t="shared" si="0"/>
        <v>OK</v>
      </c>
      <c r="S54" s="45">
        <f t="shared" si="1"/>
        <v>1259.4063636363637</v>
      </c>
      <c r="T54" s="45">
        <f t="shared" si="2"/>
        <v>11</v>
      </c>
      <c r="U54" s="45">
        <f t="shared" si="3"/>
        <v>13853.470000000001</v>
      </c>
    </row>
    <row r="55" spans="1:21" x14ac:dyDescent="0.3">
      <c r="A55" s="17" t="s">
        <v>1105</v>
      </c>
      <c r="B55" s="32">
        <v>44272</v>
      </c>
      <c r="C55" s="32">
        <v>44275</v>
      </c>
      <c r="D55" s="8" t="s">
        <v>73</v>
      </c>
      <c r="E55" s="8" t="s">
        <v>436</v>
      </c>
      <c r="F55" s="10" t="s">
        <v>437</v>
      </c>
      <c r="G55" s="10" t="s">
        <v>51</v>
      </c>
      <c r="H55" s="10" t="s">
        <v>438</v>
      </c>
      <c r="I55" s="10" t="s">
        <v>157</v>
      </c>
      <c r="J55" s="10" t="s">
        <v>88</v>
      </c>
      <c r="K55" s="10" t="s">
        <v>25</v>
      </c>
      <c r="L55" s="10" t="s">
        <v>124</v>
      </c>
      <c r="M55" s="10" t="s">
        <v>1106</v>
      </c>
      <c r="N55" s="11">
        <v>1443</v>
      </c>
      <c r="O55" s="12">
        <v>3</v>
      </c>
      <c r="P55" s="13">
        <v>0</v>
      </c>
      <c r="Q55" s="19">
        <v>325.36</v>
      </c>
      <c r="R55" s="45" t="str">
        <f t="shared" si="0"/>
        <v>OK</v>
      </c>
      <c r="S55" s="45">
        <f t="shared" si="1"/>
        <v>1259.4063636363637</v>
      </c>
      <c r="T55" s="45">
        <f t="shared" si="2"/>
        <v>11</v>
      </c>
      <c r="U55" s="45">
        <f t="shared" si="3"/>
        <v>13853.470000000001</v>
      </c>
    </row>
    <row r="56" spans="1:21" x14ac:dyDescent="0.3">
      <c r="A56" s="16" t="s">
        <v>1161</v>
      </c>
      <c r="B56" s="31">
        <v>44280</v>
      </c>
      <c r="C56" s="31">
        <v>44286</v>
      </c>
      <c r="D56" s="2" t="s">
        <v>29</v>
      </c>
      <c r="E56" s="2" t="s">
        <v>1162</v>
      </c>
      <c r="F56" s="4" t="s">
        <v>1163</v>
      </c>
      <c r="G56" s="4" t="s">
        <v>21</v>
      </c>
      <c r="H56" s="4" t="s">
        <v>386</v>
      </c>
      <c r="I56" s="4" t="s">
        <v>347</v>
      </c>
      <c r="J56" s="4" t="s">
        <v>88</v>
      </c>
      <c r="K56" s="4" t="s">
        <v>25</v>
      </c>
      <c r="L56" s="4" t="s">
        <v>74</v>
      </c>
      <c r="M56" s="4" t="s">
        <v>1164</v>
      </c>
      <c r="N56" s="5">
        <v>331.48</v>
      </c>
      <c r="O56" s="6">
        <v>1</v>
      </c>
      <c r="P56" s="7">
        <v>0.5</v>
      </c>
      <c r="Q56" s="18">
        <v>-54.71</v>
      </c>
      <c r="R56" s="45" t="str">
        <f t="shared" si="0"/>
        <v>OK</v>
      </c>
      <c r="S56" s="45">
        <f t="shared" si="1"/>
        <v>1259.4063636363637</v>
      </c>
      <c r="T56" s="45">
        <f t="shared" si="2"/>
        <v>11</v>
      </c>
      <c r="U56" s="45">
        <f t="shared" si="3"/>
        <v>13853.470000000001</v>
      </c>
    </row>
    <row r="57" spans="1:21" x14ac:dyDescent="0.3">
      <c r="A57" s="16" t="s">
        <v>1226</v>
      </c>
      <c r="B57" s="31">
        <v>44282</v>
      </c>
      <c r="C57" s="31">
        <v>44285</v>
      </c>
      <c r="D57" s="2" t="s">
        <v>73</v>
      </c>
      <c r="E57" s="2" t="s">
        <v>163</v>
      </c>
      <c r="F57" s="4" t="s">
        <v>164</v>
      </c>
      <c r="G57" s="4" t="s">
        <v>21</v>
      </c>
      <c r="H57" s="4" t="s">
        <v>165</v>
      </c>
      <c r="I57" s="4" t="s">
        <v>44</v>
      </c>
      <c r="J57" s="4" t="s">
        <v>24</v>
      </c>
      <c r="K57" s="4" t="s">
        <v>45</v>
      </c>
      <c r="L57" s="4" t="s">
        <v>46</v>
      </c>
      <c r="M57" s="4" t="s">
        <v>1227</v>
      </c>
      <c r="N57" s="5">
        <v>1339.76</v>
      </c>
      <c r="O57" s="6">
        <v>9</v>
      </c>
      <c r="P57" s="7">
        <v>0.3</v>
      </c>
      <c r="Q57" s="18">
        <v>71.23</v>
      </c>
      <c r="R57" s="45" t="str">
        <f t="shared" si="0"/>
        <v>OK</v>
      </c>
      <c r="S57" s="45">
        <f t="shared" si="1"/>
        <v>1259.4063636363637</v>
      </c>
      <c r="T57" s="45">
        <f t="shared" si="2"/>
        <v>11</v>
      </c>
      <c r="U57" s="45">
        <f t="shared" si="3"/>
        <v>13853.470000000001</v>
      </c>
    </row>
    <row r="58" spans="1:21" x14ac:dyDescent="0.3">
      <c r="A58" s="16" t="s">
        <v>2077</v>
      </c>
      <c r="B58" s="31">
        <v>44282</v>
      </c>
      <c r="C58" s="31">
        <v>44287</v>
      </c>
      <c r="D58" s="2" t="s">
        <v>29</v>
      </c>
      <c r="E58" s="2" t="s">
        <v>547</v>
      </c>
      <c r="F58" s="4" t="s">
        <v>548</v>
      </c>
      <c r="G58" s="4" t="s">
        <v>51</v>
      </c>
      <c r="H58" s="4" t="s">
        <v>156</v>
      </c>
      <c r="I58" s="4" t="s">
        <v>157</v>
      </c>
      <c r="J58" s="4" t="s">
        <v>88</v>
      </c>
      <c r="K58" s="4" t="s">
        <v>25</v>
      </c>
      <c r="L58" s="4" t="s">
        <v>68</v>
      </c>
      <c r="M58" s="4" t="s">
        <v>2078</v>
      </c>
      <c r="N58" s="5">
        <v>1429.04</v>
      </c>
      <c r="O58" s="6">
        <v>8</v>
      </c>
      <c r="P58" s="7">
        <v>0</v>
      </c>
      <c r="Q58" s="18">
        <v>624.09</v>
      </c>
      <c r="R58" s="45" t="str">
        <f t="shared" si="0"/>
        <v>OK</v>
      </c>
      <c r="S58" s="45">
        <f t="shared" si="1"/>
        <v>1259.4063636363637</v>
      </c>
      <c r="T58" s="45">
        <f t="shared" si="2"/>
        <v>11</v>
      </c>
      <c r="U58" s="45">
        <f t="shared" si="3"/>
        <v>13853.470000000001</v>
      </c>
    </row>
    <row r="59" spans="1:21" x14ac:dyDescent="0.3">
      <c r="A59" s="16" t="s">
        <v>2336</v>
      </c>
      <c r="B59" s="31">
        <v>44282</v>
      </c>
      <c r="C59" s="31">
        <v>44287</v>
      </c>
      <c r="D59" s="2" t="s">
        <v>29</v>
      </c>
      <c r="E59" s="2" t="s">
        <v>1352</v>
      </c>
      <c r="F59" s="4" t="s">
        <v>1353</v>
      </c>
      <c r="G59" s="4" t="s">
        <v>42</v>
      </c>
      <c r="H59" s="4" t="s">
        <v>207</v>
      </c>
      <c r="I59" s="4" t="s">
        <v>60</v>
      </c>
      <c r="J59" s="4" t="s">
        <v>54</v>
      </c>
      <c r="K59" s="4" t="s">
        <v>45</v>
      </c>
      <c r="L59" s="4" t="s">
        <v>46</v>
      </c>
      <c r="M59" s="4" t="s">
        <v>2337</v>
      </c>
      <c r="N59" s="5">
        <v>6427.9</v>
      </c>
      <c r="O59" s="6">
        <v>10</v>
      </c>
      <c r="P59" s="7">
        <v>0</v>
      </c>
      <c r="Q59" s="18">
        <v>1916.94</v>
      </c>
      <c r="R59" s="45" t="str">
        <f t="shared" si="0"/>
        <v>OK</v>
      </c>
      <c r="S59" s="45">
        <f t="shared" si="1"/>
        <v>1259.4063636363637</v>
      </c>
      <c r="T59" s="45">
        <f t="shared" si="2"/>
        <v>11</v>
      </c>
      <c r="U59" s="45">
        <f t="shared" si="3"/>
        <v>13853.470000000001</v>
      </c>
    </row>
    <row r="60" spans="1:21" x14ac:dyDescent="0.3">
      <c r="A60" s="16" t="s">
        <v>2362</v>
      </c>
      <c r="B60" s="31">
        <v>44283</v>
      </c>
      <c r="C60" s="31">
        <v>44288</v>
      </c>
      <c r="D60" s="2" t="s">
        <v>73</v>
      </c>
      <c r="E60" s="2" t="s">
        <v>426</v>
      </c>
      <c r="F60" s="4" t="s">
        <v>427</v>
      </c>
      <c r="G60" s="4" t="s">
        <v>42</v>
      </c>
      <c r="H60" s="4" t="s">
        <v>412</v>
      </c>
      <c r="I60" s="4" t="s">
        <v>178</v>
      </c>
      <c r="J60" s="4" t="s">
        <v>24</v>
      </c>
      <c r="K60" s="4" t="s">
        <v>25</v>
      </c>
      <c r="L60" s="4" t="s">
        <v>68</v>
      </c>
      <c r="M60" s="4" t="s">
        <v>2363</v>
      </c>
      <c r="N60" s="5">
        <v>609.95000000000005</v>
      </c>
      <c r="O60" s="6">
        <v>8</v>
      </c>
      <c r="P60" s="7">
        <v>0.3</v>
      </c>
      <c r="Q60" s="18">
        <v>41.54</v>
      </c>
      <c r="R60" s="45" t="str">
        <f t="shared" si="0"/>
        <v>OK</v>
      </c>
      <c r="S60" s="45">
        <f t="shared" si="1"/>
        <v>1259.4063636363637</v>
      </c>
      <c r="T60" s="45">
        <f t="shared" si="2"/>
        <v>11</v>
      </c>
      <c r="U60" s="45">
        <f t="shared" si="3"/>
        <v>13853.470000000001</v>
      </c>
    </row>
    <row r="61" spans="1:21" x14ac:dyDescent="0.3">
      <c r="A61" s="17" t="s">
        <v>1032</v>
      </c>
      <c r="B61" s="32">
        <v>44285</v>
      </c>
      <c r="C61" s="32">
        <v>44286</v>
      </c>
      <c r="D61" s="8" t="s">
        <v>18</v>
      </c>
      <c r="E61" s="8" t="s">
        <v>1033</v>
      </c>
      <c r="F61" s="10" t="s">
        <v>1034</v>
      </c>
      <c r="G61" s="10" t="s">
        <v>42</v>
      </c>
      <c r="H61" s="10" t="s">
        <v>86</v>
      </c>
      <c r="I61" s="10" t="s">
        <v>87</v>
      </c>
      <c r="J61" s="10" t="s">
        <v>88</v>
      </c>
      <c r="K61" s="10" t="s">
        <v>25</v>
      </c>
      <c r="L61" s="10" t="s">
        <v>68</v>
      </c>
      <c r="M61" s="10" t="s">
        <v>1035</v>
      </c>
      <c r="N61" s="11">
        <v>757.76</v>
      </c>
      <c r="O61" s="12">
        <v>7</v>
      </c>
      <c r="P61" s="13">
        <v>0.4</v>
      </c>
      <c r="Q61" s="19">
        <v>16.02</v>
      </c>
      <c r="R61" s="45" t="str">
        <f t="shared" si="0"/>
        <v>OK</v>
      </c>
      <c r="S61" s="45">
        <f t="shared" si="1"/>
        <v>1259.4063636363637</v>
      </c>
      <c r="T61" s="45">
        <f t="shared" si="2"/>
        <v>11</v>
      </c>
      <c r="U61" s="45">
        <f t="shared" si="3"/>
        <v>13853.470000000001</v>
      </c>
    </row>
    <row r="62" spans="1:21" x14ac:dyDescent="0.3">
      <c r="A62" s="17" t="s">
        <v>1395</v>
      </c>
      <c r="B62" s="32">
        <v>44286</v>
      </c>
      <c r="C62" s="32">
        <v>44289</v>
      </c>
      <c r="D62" s="8" t="s">
        <v>73</v>
      </c>
      <c r="E62" s="8" t="s">
        <v>650</v>
      </c>
      <c r="F62" s="10" t="s">
        <v>651</v>
      </c>
      <c r="G62" s="10" t="s">
        <v>42</v>
      </c>
      <c r="H62" s="10" t="s">
        <v>438</v>
      </c>
      <c r="I62" s="10" t="s">
        <v>157</v>
      </c>
      <c r="J62" s="10" t="s">
        <v>88</v>
      </c>
      <c r="K62" s="10" t="s">
        <v>25</v>
      </c>
      <c r="L62" s="10" t="s">
        <v>74</v>
      </c>
      <c r="M62" s="10" t="s">
        <v>1396</v>
      </c>
      <c r="N62" s="11">
        <v>1900.87</v>
      </c>
      <c r="O62" s="12">
        <v>4</v>
      </c>
      <c r="P62" s="13">
        <v>0.4</v>
      </c>
      <c r="Q62" s="19">
        <v>-175.27</v>
      </c>
      <c r="R62" s="45" t="str">
        <f t="shared" si="0"/>
        <v>OK</v>
      </c>
      <c r="S62" s="45">
        <f t="shared" si="1"/>
        <v>1259.4063636363637</v>
      </c>
      <c r="T62" s="45">
        <f t="shared" si="2"/>
        <v>11</v>
      </c>
      <c r="U62" s="45">
        <f t="shared" si="3"/>
        <v>13853.470000000001</v>
      </c>
    </row>
    <row r="63" spans="1:21" x14ac:dyDescent="0.3">
      <c r="A63" s="16" t="s">
        <v>1620</v>
      </c>
      <c r="B63" s="31">
        <v>44286</v>
      </c>
      <c r="C63" s="31">
        <v>44290</v>
      </c>
      <c r="D63" s="2" t="s">
        <v>73</v>
      </c>
      <c r="E63" s="2" t="s">
        <v>1047</v>
      </c>
      <c r="F63" s="4" t="s">
        <v>1048</v>
      </c>
      <c r="G63" s="4" t="s">
        <v>42</v>
      </c>
      <c r="H63" s="4" t="s">
        <v>79</v>
      </c>
      <c r="I63" s="4" t="s">
        <v>80</v>
      </c>
      <c r="J63" s="4" t="s">
        <v>54</v>
      </c>
      <c r="K63" s="4" t="s">
        <v>35</v>
      </c>
      <c r="L63" s="4" t="s">
        <v>166</v>
      </c>
      <c r="M63" s="4" t="s">
        <v>1621</v>
      </c>
      <c r="N63" s="5">
        <v>180.94</v>
      </c>
      <c r="O63" s="6">
        <v>3</v>
      </c>
      <c r="P63" s="7">
        <v>0.2</v>
      </c>
      <c r="Q63" s="18">
        <v>20.8</v>
      </c>
      <c r="R63" s="45" t="str">
        <f t="shared" si="0"/>
        <v>OK</v>
      </c>
      <c r="S63" s="45">
        <f t="shared" si="1"/>
        <v>1259.4063636363637</v>
      </c>
      <c r="T63" s="45">
        <f t="shared" si="2"/>
        <v>11</v>
      </c>
      <c r="U63" s="45">
        <f t="shared" si="3"/>
        <v>13853.470000000001</v>
      </c>
    </row>
    <row r="64" spans="1:21" x14ac:dyDescent="0.3">
      <c r="A64" s="17" t="s">
        <v>2034</v>
      </c>
      <c r="B64" s="32">
        <v>44288</v>
      </c>
      <c r="C64" s="32">
        <v>44289</v>
      </c>
      <c r="D64" s="8" t="s">
        <v>18</v>
      </c>
      <c r="E64" s="8" t="s">
        <v>1352</v>
      </c>
      <c r="F64" s="10" t="s">
        <v>1353</v>
      </c>
      <c r="G64" s="10" t="s">
        <v>42</v>
      </c>
      <c r="H64" s="10" t="s">
        <v>207</v>
      </c>
      <c r="I64" s="10" t="s">
        <v>60</v>
      </c>
      <c r="J64" s="10" t="s">
        <v>54</v>
      </c>
      <c r="K64" s="10" t="s">
        <v>45</v>
      </c>
      <c r="L64" s="10" t="s">
        <v>99</v>
      </c>
      <c r="M64" s="10" t="s">
        <v>2035</v>
      </c>
      <c r="N64" s="11">
        <v>237.38</v>
      </c>
      <c r="O64" s="12">
        <v>3</v>
      </c>
      <c r="P64" s="13">
        <v>0.1</v>
      </c>
      <c r="Q64" s="19">
        <v>70.37</v>
      </c>
      <c r="R64" s="45" t="str">
        <f t="shared" si="0"/>
        <v>OK</v>
      </c>
      <c r="S64" s="45">
        <f t="shared" si="1"/>
        <v>1259.4063636363637</v>
      </c>
      <c r="T64" s="45">
        <f t="shared" si="2"/>
        <v>11</v>
      </c>
      <c r="U64" s="45">
        <f t="shared" si="3"/>
        <v>13853.470000000001</v>
      </c>
    </row>
    <row r="65" spans="1:21" x14ac:dyDescent="0.3">
      <c r="A65" s="16" t="s">
        <v>1783</v>
      </c>
      <c r="B65" s="31">
        <v>44289</v>
      </c>
      <c r="C65" s="31">
        <v>44296</v>
      </c>
      <c r="D65" s="2" t="s">
        <v>29</v>
      </c>
      <c r="E65" s="2" t="s">
        <v>376</v>
      </c>
      <c r="F65" s="4" t="s">
        <v>377</v>
      </c>
      <c r="G65" s="4" t="s">
        <v>42</v>
      </c>
      <c r="H65" s="4" t="s">
        <v>122</v>
      </c>
      <c r="I65" s="4" t="s">
        <v>123</v>
      </c>
      <c r="J65" s="4" t="s">
        <v>24</v>
      </c>
      <c r="K65" s="4" t="s">
        <v>35</v>
      </c>
      <c r="L65" s="4" t="s">
        <v>89</v>
      </c>
      <c r="M65" s="4" t="s">
        <v>1784</v>
      </c>
      <c r="N65" s="5">
        <v>1377.12</v>
      </c>
      <c r="O65" s="6">
        <v>8</v>
      </c>
      <c r="P65" s="7">
        <v>0.05</v>
      </c>
      <c r="Q65" s="18">
        <v>441.24</v>
      </c>
      <c r="R65" s="45" t="str">
        <f t="shared" si="0"/>
        <v>OK</v>
      </c>
      <c r="S65" s="45">
        <f t="shared" si="1"/>
        <v>1259.4063636363637</v>
      </c>
      <c r="T65" s="45">
        <f t="shared" si="2"/>
        <v>11</v>
      </c>
      <c r="U65" s="45">
        <f t="shared" si="3"/>
        <v>13853.470000000001</v>
      </c>
    </row>
    <row r="66" spans="1:21" x14ac:dyDescent="0.3">
      <c r="A66" s="16" t="s">
        <v>1783</v>
      </c>
      <c r="B66" s="31">
        <v>44289</v>
      </c>
      <c r="C66" s="31">
        <v>44296</v>
      </c>
      <c r="D66" s="2" t="s">
        <v>29</v>
      </c>
      <c r="E66" s="2" t="s">
        <v>376</v>
      </c>
      <c r="F66" s="4" t="s">
        <v>377</v>
      </c>
      <c r="G66" s="4" t="s">
        <v>42</v>
      </c>
      <c r="H66" s="4" t="s">
        <v>122</v>
      </c>
      <c r="I66" s="4" t="s">
        <v>123</v>
      </c>
      <c r="J66" s="4" t="s">
        <v>24</v>
      </c>
      <c r="K66" s="4" t="s">
        <v>35</v>
      </c>
      <c r="L66" s="4" t="s">
        <v>89</v>
      </c>
      <c r="M66" s="4" t="s">
        <v>1784</v>
      </c>
      <c r="N66" s="5">
        <v>1377.12</v>
      </c>
      <c r="O66" s="6">
        <v>8</v>
      </c>
      <c r="P66" s="7">
        <v>0.05</v>
      </c>
      <c r="Q66" s="18">
        <v>441.24</v>
      </c>
      <c r="R66" s="45" t="str">
        <f t="shared" ref="R66:R129" si="4">IF(C66&lt;B66,"Error","OK")</f>
        <v>OK</v>
      </c>
      <c r="S66" s="45">
        <f t="shared" ref="S66:S129" si="5">AVERAGEIF(E66:E1064,"CU-1057",N66:N1064)</f>
        <v>1259.4063636363637</v>
      </c>
      <c r="T66" s="45">
        <f t="shared" ref="T66:T129" si="6">COUNTIF(E66:E1064,"CU-1057")</f>
        <v>11</v>
      </c>
      <c r="U66" s="45">
        <f t="shared" ref="U66:U129" si="7">SUMIF(E66:E1064,"CU-1057",N66:N1064)</f>
        <v>13853.470000000001</v>
      </c>
    </row>
    <row r="67" spans="1:21" x14ac:dyDescent="0.3">
      <c r="A67" s="16" t="s">
        <v>1874</v>
      </c>
      <c r="B67" s="31">
        <v>44290</v>
      </c>
      <c r="C67" s="31">
        <v>44295</v>
      </c>
      <c r="D67" s="2" t="s">
        <v>29</v>
      </c>
      <c r="E67" s="2" t="s">
        <v>1162</v>
      </c>
      <c r="F67" s="4" t="s">
        <v>1163</v>
      </c>
      <c r="G67" s="4" t="s">
        <v>21</v>
      </c>
      <c r="H67" s="4" t="s">
        <v>386</v>
      </c>
      <c r="I67" s="4" t="s">
        <v>347</v>
      </c>
      <c r="J67" s="4" t="s">
        <v>88</v>
      </c>
      <c r="K67" s="4" t="s">
        <v>25</v>
      </c>
      <c r="L67" s="4" t="s">
        <v>26</v>
      </c>
      <c r="M67" s="4" t="s">
        <v>1875</v>
      </c>
      <c r="N67" s="5">
        <v>1876.18</v>
      </c>
      <c r="O67" s="6">
        <v>2</v>
      </c>
      <c r="P67" s="7">
        <v>0</v>
      </c>
      <c r="Q67" s="18">
        <v>269.8</v>
      </c>
      <c r="R67" s="45" t="str">
        <f t="shared" si="4"/>
        <v>OK</v>
      </c>
      <c r="S67" s="45">
        <f t="shared" si="5"/>
        <v>1259.4063636363637</v>
      </c>
      <c r="T67" s="45">
        <f t="shared" si="6"/>
        <v>11</v>
      </c>
      <c r="U67" s="45">
        <f t="shared" si="7"/>
        <v>13853.470000000001</v>
      </c>
    </row>
    <row r="68" spans="1:21" x14ac:dyDescent="0.3">
      <c r="A68" s="17" t="s">
        <v>1757</v>
      </c>
      <c r="B68" s="32">
        <v>44294</v>
      </c>
      <c r="C68" s="32">
        <v>44298</v>
      </c>
      <c r="D68" s="8" t="s">
        <v>39</v>
      </c>
      <c r="E68" s="8" t="s">
        <v>102</v>
      </c>
      <c r="F68" s="10" t="s">
        <v>103</v>
      </c>
      <c r="G68" s="10" t="s">
        <v>42</v>
      </c>
      <c r="H68" s="10" t="s">
        <v>104</v>
      </c>
      <c r="I68" s="10" t="s">
        <v>105</v>
      </c>
      <c r="J68" s="10" t="s">
        <v>88</v>
      </c>
      <c r="K68" s="10" t="s">
        <v>25</v>
      </c>
      <c r="L68" s="10" t="s">
        <v>68</v>
      </c>
      <c r="M68" s="10" t="s">
        <v>1758</v>
      </c>
      <c r="N68" s="11">
        <v>1450.68</v>
      </c>
      <c r="O68" s="12">
        <v>9</v>
      </c>
      <c r="P68" s="13">
        <v>0.05</v>
      </c>
      <c r="Q68" s="19">
        <v>586.41999999999996</v>
      </c>
      <c r="R68" s="45" t="str">
        <f t="shared" si="4"/>
        <v>OK</v>
      </c>
      <c r="S68" s="45">
        <f t="shared" si="5"/>
        <v>1259.4063636363637</v>
      </c>
      <c r="T68" s="45">
        <f t="shared" si="6"/>
        <v>11</v>
      </c>
      <c r="U68" s="45">
        <f t="shared" si="7"/>
        <v>13853.470000000001</v>
      </c>
    </row>
    <row r="69" spans="1:21" x14ac:dyDescent="0.3">
      <c r="A69" s="16" t="s">
        <v>479</v>
      </c>
      <c r="B69" s="31">
        <v>44297</v>
      </c>
      <c r="C69" s="31">
        <v>44299</v>
      </c>
      <c r="D69" s="2" t="s">
        <v>18</v>
      </c>
      <c r="E69" s="2" t="s">
        <v>480</v>
      </c>
      <c r="F69" s="4" t="s">
        <v>481</v>
      </c>
      <c r="G69" s="4" t="s">
        <v>42</v>
      </c>
      <c r="H69" s="4" t="s">
        <v>352</v>
      </c>
      <c r="I69" s="4" t="s">
        <v>306</v>
      </c>
      <c r="J69" s="4" t="s">
        <v>34</v>
      </c>
      <c r="K69" s="4" t="s">
        <v>35</v>
      </c>
      <c r="L69" s="4" t="s">
        <v>158</v>
      </c>
      <c r="M69" s="4" t="s">
        <v>482</v>
      </c>
      <c r="N69" s="5">
        <v>30.18</v>
      </c>
      <c r="O69" s="6">
        <v>2</v>
      </c>
      <c r="P69" s="7">
        <v>0.3</v>
      </c>
      <c r="Q69" s="18">
        <v>2.95</v>
      </c>
      <c r="R69" s="45" t="str">
        <f t="shared" si="4"/>
        <v>OK</v>
      </c>
      <c r="S69" s="45">
        <f t="shared" si="5"/>
        <v>1259.4063636363637</v>
      </c>
      <c r="T69" s="45">
        <f t="shared" si="6"/>
        <v>11</v>
      </c>
      <c r="U69" s="45">
        <f t="shared" si="7"/>
        <v>13853.470000000001</v>
      </c>
    </row>
    <row r="70" spans="1:21" x14ac:dyDescent="0.3">
      <c r="A70" s="16" t="s">
        <v>627</v>
      </c>
      <c r="B70" s="31">
        <v>44301</v>
      </c>
      <c r="C70" s="31">
        <v>44303</v>
      </c>
      <c r="D70" s="2" t="s">
        <v>18</v>
      </c>
      <c r="E70" s="2" t="s">
        <v>628</v>
      </c>
      <c r="F70" s="4" t="s">
        <v>629</v>
      </c>
      <c r="G70" s="4" t="s">
        <v>42</v>
      </c>
      <c r="H70" s="4" t="s">
        <v>32</v>
      </c>
      <c r="I70" s="4" t="s">
        <v>33</v>
      </c>
      <c r="J70" s="4" t="s">
        <v>34</v>
      </c>
      <c r="K70" s="4" t="s">
        <v>25</v>
      </c>
      <c r="L70" s="4" t="s">
        <v>124</v>
      </c>
      <c r="M70" s="4" t="s">
        <v>630</v>
      </c>
      <c r="N70" s="5">
        <v>5680.86</v>
      </c>
      <c r="O70" s="6">
        <v>6</v>
      </c>
      <c r="P70" s="7">
        <v>0</v>
      </c>
      <c r="Q70" s="18">
        <v>1407.78</v>
      </c>
      <c r="R70" s="45" t="str">
        <f t="shared" si="4"/>
        <v>OK</v>
      </c>
      <c r="S70" s="45">
        <f t="shared" si="5"/>
        <v>1259.4063636363637</v>
      </c>
      <c r="T70" s="45">
        <f t="shared" si="6"/>
        <v>11</v>
      </c>
      <c r="U70" s="45">
        <f t="shared" si="7"/>
        <v>13853.470000000001</v>
      </c>
    </row>
    <row r="71" spans="1:21" x14ac:dyDescent="0.3">
      <c r="A71" s="16" t="s">
        <v>1921</v>
      </c>
      <c r="B71" s="31">
        <v>44304</v>
      </c>
      <c r="C71" s="31">
        <v>44307</v>
      </c>
      <c r="D71" s="2" t="s">
        <v>73</v>
      </c>
      <c r="E71" s="2" t="s">
        <v>40</v>
      </c>
      <c r="F71" s="4" t="s">
        <v>41</v>
      </c>
      <c r="G71" s="4" t="s">
        <v>42</v>
      </c>
      <c r="H71" s="4" t="s">
        <v>43</v>
      </c>
      <c r="I71" s="4" t="s">
        <v>44</v>
      </c>
      <c r="J71" s="4" t="s">
        <v>833</v>
      </c>
      <c r="K71" s="4" t="s">
        <v>45</v>
      </c>
      <c r="L71" s="4" t="s">
        <v>61</v>
      </c>
      <c r="M71" s="4" t="s">
        <v>1922</v>
      </c>
      <c r="N71" s="5">
        <v>2107.77</v>
      </c>
      <c r="O71" s="6">
        <v>10</v>
      </c>
      <c r="P71" s="7">
        <v>0.3</v>
      </c>
      <c r="Q71" s="18">
        <v>-382.2</v>
      </c>
      <c r="R71" s="45" t="str">
        <f t="shared" si="4"/>
        <v>OK</v>
      </c>
      <c r="S71" s="45">
        <f t="shared" si="5"/>
        <v>1259.4063636363637</v>
      </c>
      <c r="T71" s="45">
        <f t="shared" si="6"/>
        <v>11</v>
      </c>
      <c r="U71" s="45">
        <f t="shared" si="7"/>
        <v>13853.470000000001</v>
      </c>
    </row>
    <row r="72" spans="1:21" x14ac:dyDescent="0.3">
      <c r="A72" s="16" t="s">
        <v>1568</v>
      </c>
      <c r="B72" s="31">
        <v>44305</v>
      </c>
      <c r="C72" s="31">
        <v>44309</v>
      </c>
      <c r="D72" s="2" t="s">
        <v>73</v>
      </c>
      <c r="E72" s="2" t="s">
        <v>350</v>
      </c>
      <c r="F72" s="4" t="s">
        <v>351</v>
      </c>
      <c r="G72" s="4" t="s">
        <v>42</v>
      </c>
      <c r="H72" s="4" t="s">
        <v>352</v>
      </c>
      <c r="I72" s="4" t="s">
        <v>306</v>
      </c>
      <c r="J72" s="4" t="s">
        <v>34</v>
      </c>
      <c r="K72" s="4" t="s">
        <v>25</v>
      </c>
      <c r="L72" s="4" t="s">
        <v>68</v>
      </c>
      <c r="M72" s="4" t="s">
        <v>1569</v>
      </c>
      <c r="N72" s="5">
        <v>279.36</v>
      </c>
      <c r="O72" s="6">
        <v>10</v>
      </c>
      <c r="P72" s="7">
        <v>0.4</v>
      </c>
      <c r="Q72" s="18">
        <v>-5.73</v>
      </c>
      <c r="R72" s="45" t="str">
        <f t="shared" si="4"/>
        <v>OK</v>
      </c>
      <c r="S72" s="45">
        <f t="shared" si="5"/>
        <v>1259.4063636363637</v>
      </c>
      <c r="T72" s="45">
        <f t="shared" si="6"/>
        <v>11</v>
      </c>
      <c r="U72" s="45">
        <f t="shared" si="7"/>
        <v>13853.470000000001</v>
      </c>
    </row>
    <row r="73" spans="1:21" x14ac:dyDescent="0.3">
      <c r="A73" s="16" t="s">
        <v>1663</v>
      </c>
      <c r="B73" s="31">
        <v>44305</v>
      </c>
      <c r="C73" s="31">
        <v>44311</v>
      </c>
      <c r="D73" s="2" t="s">
        <v>29</v>
      </c>
      <c r="E73" s="2" t="s">
        <v>389</v>
      </c>
      <c r="F73" s="4" t="s">
        <v>390</v>
      </c>
      <c r="G73" s="4" t="s">
        <v>51</v>
      </c>
      <c r="H73" s="4" t="s">
        <v>59</v>
      </c>
      <c r="I73" s="4" t="s">
        <v>60</v>
      </c>
      <c r="J73" s="4" t="s">
        <v>54</v>
      </c>
      <c r="K73" s="4" t="s">
        <v>35</v>
      </c>
      <c r="L73" s="4" t="s">
        <v>81</v>
      </c>
      <c r="M73" s="4" t="s">
        <v>1664</v>
      </c>
      <c r="N73" s="5">
        <v>58.77</v>
      </c>
      <c r="O73" s="6">
        <v>3</v>
      </c>
      <c r="P73" s="7">
        <v>0</v>
      </c>
      <c r="Q73" s="18">
        <v>33.15</v>
      </c>
      <c r="R73" s="45" t="str">
        <f t="shared" si="4"/>
        <v>OK</v>
      </c>
      <c r="S73" s="45">
        <f t="shared" si="5"/>
        <v>1259.4063636363637</v>
      </c>
      <c r="T73" s="45">
        <f t="shared" si="6"/>
        <v>11</v>
      </c>
      <c r="U73" s="45">
        <f t="shared" si="7"/>
        <v>13853.470000000001</v>
      </c>
    </row>
    <row r="74" spans="1:21" x14ac:dyDescent="0.3">
      <c r="A74" s="17" t="s">
        <v>990</v>
      </c>
      <c r="B74" s="32">
        <v>44307</v>
      </c>
      <c r="C74" s="32">
        <v>44310</v>
      </c>
      <c r="D74" s="8" t="s">
        <v>39</v>
      </c>
      <c r="E74" s="8" t="s">
        <v>991</v>
      </c>
      <c r="F74" s="10" t="s">
        <v>992</v>
      </c>
      <c r="G74" s="10" t="s">
        <v>42</v>
      </c>
      <c r="H74" s="10" t="s">
        <v>43</v>
      </c>
      <c r="I74" s="10" t="s">
        <v>44</v>
      </c>
      <c r="J74" s="10" t="s">
        <v>24</v>
      </c>
      <c r="K74" s="10" t="s">
        <v>25</v>
      </c>
      <c r="L74" s="10" t="s">
        <v>74</v>
      </c>
      <c r="M74" s="10" t="s">
        <v>993</v>
      </c>
      <c r="N74" s="11">
        <v>314.82</v>
      </c>
      <c r="O74" s="12">
        <v>6</v>
      </c>
      <c r="P74" s="13">
        <v>0.5</v>
      </c>
      <c r="Q74" s="19">
        <v>-112.41</v>
      </c>
      <c r="R74" s="45" t="str">
        <f t="shared" si="4"/>
        <v>OK</v>
      </c>
      <c r="S74" s="45">
        <f t="shared" si="5"/>
        <v>1259.4063636363637</v>
      </c>
      <c r="T74" s="45">
        <f t="shared" si="6"/>
        <v>11</v>
      </c>
      <c r="U74" s="45">
        <f t="shared" si="7"/>
        <v>13853.470000000001</v>
      </c>
    </row>
    <row r="75" spans="1:21" x14ac:dyDescent="0.3">
      <c r="A75" s="17" t="s">
        <v>2199</v>
      </c>
      <c r="B75" s="32">
        <v>44307</v>
      </c>
      <c r="C75" s="32">
        <v>44313</v>
      </c>
      <c r="D75" s="8" t="s">
        <v>29</v>
      </c>
      <c r="E75" s="8" t="s">
        <v>850</v>
      </c>
      <c r="F75" s="10" t="s">
        <v>851</v>
      </c>
      <c r="G75" s="10" t="s">
        <v>42</v>
      </c>
      <c r="H75" s="10" t="s">
        <v>183</v>
      </c>
      <c r="I75" s="10" t="s">
        <v>184</v>
      </c>
      <c r="J75" s="10" t="s">
        <v>54</v>
      </c>
      <c r="K75" s="10" t="s">
        <v>35</v>
      </c>
      <c r="L75" s="10" t="s">
        <v>36</v>
      </c>
      <c r="M75" s="10" t="s">
        <v>2200</v>
      </c>
      <c r="N75" s="11">
        <v>468.96</v>
      </c>
      <c r="O75" s="12">
        <v>8</v>
      </c>
      <c r="P75" s="13">
        <v>0</v>
      </c>
      <c r="Q75" s="19">
        <v>226.53</v>
      </c>
      <c r="R75" s="45" t="str">
        <f t="shared" si="4"/>
        <v>OK</v>
      </c>
      <c r="S75" s="45">
        <f t="shared" si="5"/>
        <v>1259.4063636363637</v>
      </c>
      <c r="T75" s="45">
        <f t="shared" si="6"/>
        <v>11</v>
      </c>
      <c r="U75" s="45">
        <f t="shared" si="7"/>
        <v>13853.470000000001</v>
      </c>
    </row>
    <row r="76" spans="1:21" x14ac:dyDescent="0.3">
      <c r="A76" s="17" t="s">
        <v>1235</v>
      </c>
      <c r="B76" s="32">
        <v>44308</v>
      </c>
      <c r="C76" s="32">
        <v>44312</v>
      </c>
      <c r="D76" s="8" t="s">
        <v>73</v>
      </c>
      <c r="E76" s="8" t="s">
        <v>1236</v>
      </c>
      <c r="F76" s="10" t="s">
        <v>1237</v>
      </c>
      <c r="G76" s="10" t="s">
        <v>51</v>
      </c>
      <c r="H76" s="10" t="s">
        <v>300</v>
      </c>
      <c r="I76" s="10" t="s">
        <v>184</v>
      </c>
      <c r="J76" s="10" t="s">
        <v>54</v>
      </c>
      <c r="K76" s="10" t="s">
        <v>25</v>
      </c>
      <c r="L76" s="10" t="s">
        <v>124</v>
      </c>
      <c r="M76" s="10" t="s">
        <v>1238</v>
      </c>
      <c r="N76" s="11">
        <v>2327.34</v>
      </c>
      <c r="O76" s="12">
        <v>6</v>
      </c>
      <c r="P76" s="13">
        <v>0</v>
      </c>
      <c r="Q76" s="19">
        <v>735.43</v>
      </c>
      <c r="R76" s="45" t="str">
        <f t="shared" si="4"/>
        <v>OK</v>
      </c>
      <c r="S76" s="45">
        <f t="shared" si="5"/>
        <v>1259.4063636363637</v>
      </c>
      <c r="T76" s="45">
        <f t="shared" si="6"/>
        <v>11</v>
      </c>
      <c r="U76" s="45">
        <f t="shared" si="7"/>
        <v>13853.470000000001</v>
      </c>
    </row>
    <row r="77" spans="1:21" x14ac:dyDescent="0.3">
      <c r="A77" s="17" t="s">
        <v>1020</v>
      </c>
      <c r="B77" s="32">
        <v>44310</v>
      </c>
      <c r="C77" s="32">
        <v>44317</v>
      </c>
      <c r="D77" s="8" t="s">
        <v>29</v>
      </c>
      <c r="E77" s="8" t="s">
        <v>289</v>
      </c>
      <c r="F77" s="10" t="s">
        <v>290</v>
      </c>
      <c r="G77" s="10" t="s">
        <v>51</v>
      </c>
      <c r="H77" s="10" t="s">
        <v>115</v>
      </c>
      <c r="I77" s="10" t="s">
        <v>116</v>
      </c>
      <c r="J77" s="10" t="s">
        <v>54</v>
      </c>
      <c r="K77" s="10" t="s">
        <v>25</v>
      </c>
      <c r="L77" s="10" t="s">
        <v>124</v>
      </c>
      <c r="M77" s="10" t="s">
        <v>1021</v>
      </c>
      <c r="N77" s="11">
        <v>973.85</v>
      </c>
      <c r="O77" s="12">
        <v>1</v>
      </c>
      <c r="P77" s="13">
        <v>0.1</v>
      </c>
      <c r="Q77" s="19">
        <v>192.92</v>
      </c>
      <c r="R77" s="45" t="str">
        <f t="shared" si="4"/>
        <v>OK</v>
      </c>
      <c r="S77" s="45">
        <f t="shared" si="5"/>
        <v>1259.4063636363637</v>
      </c>
      <c r="T77" s="45">
        <f t="shared" si="6"/>
        <v>11</v>
      </c>
      <c r="U77" s="45">
        <f t="shared" si="7"/>
        <v>13853.470000000001</v>
      </c>
    </row>
    <row r="78" spans="1:21" x14ac:dyDescent="0.3">
      <c r="A78" s="16" t="s">
        <v>1208</v>
      </c>
      <c r="B78" s="31">
        <v>44310</v>
      </c>
      <c r="C78" s="31">
        <v>44315</v>
      </c>
      <c r="D78" s="2" t="s">
        <v>29</v>
      </c>
      <c r="E78" s="2" t="s">
        <v>692</v>
      </c>
      <c r="F78" s="4" t="s">
        <v>693</v>
      </c>
      <c r="G78" s="4" t="s">
        <v>21</v>
      </c>
      <c r="H78" s="4" t="s">
        <v>694</v>
      </c>
      <c r="I78" s="4" t="s">
        <v>67</v>
      </c>
      <c r="J78" s="4" t="s">
        <v>34</v>
      </c>
      <c r="K78" s="4" t="s">
        <v>45</v>
      </c>
      <c r="L78" s="4" t="s">
        <v>99</v>
      </c>
      <c r="M78" s="4" t="s">
        <v>1209</v>
      </c>
      <c r="N78" s="5">
        <v>436.95</v>
      </c>
      <c r="O78" s="6">
        <v>5</v>
      </c>
      <c r="P78" s="7">
        <v>0.05</v>
      </c>
      <c r="Q78" s="18">
        <v>159.4</v>
      </c>
      <c r="R78" s="45" t="str">
        <f t="shared" si="4"/>
        <v>OK</v>
      </c>
      <c r="S78" s="45">
        <f t="shared" si="5"/>
        <v>1259.4063636363637</v>
      </c>
      <c r="T78" s="45">
        <f t="shared" si="6"/>
        <v>11</v>
      </c>
      <c r="U78" s="45">
        <f t="shared" si="7"/>
        <v>13853.470000000001</v>
      </c>
    </row>
    <row r="79" spans="1:21" x14ac:dyDescent="0.3">
      <c r="A79" s="16" t="s">
        <v>2050</v>
      </c>
      <c r="B79" s="31">
        <v>44311</v>
      </c>
      <c r="C79" s="31">
        <v>44314</v>
      </c>
      <c r="D79" s="2" t="s">
        <v>39</v>
      </c>
      <c r="E79" s="2" t="s">
        <v>1360</v>
      </c>
      <c r="F79" s="4" t="s">
        <v>1361</v>
      </c>
      <c r="G79" s="4" t="s">
        <v>21</v>
      </c>
      <c r="H79" s="4" t="s">
        <v>156</v>
      </c>
      <c r="I79" s="4" t="s">
        <v>157</v>
      </c>
      <c r="J79" s="4" t="s">
        <v>88</v>
      </c>
      <c r="K79" s="4" t="s">
        <v>35</v>
      </c>
      <c r="L79" s="4" t="s">
        <v>81</v>
      </c>
      <c r="M79" s="4" t="s">
        <v>2051</v>
      </c>
      <c r="N79" s="5">
        <v>78.650000000000006</v>
      </c>
      <c r="O79" s="6">
        <v>10</v>
      </c>
      <c r="P79" s="7">
        <v>0.5</v>
      </c>
      <c r="Q79" s="18">
        <v>-0.28999999999999998</v>
      </c>
      <c r="R79" s="45" t="str">
        <f t="shared" si="4"/>
        <v>OK</v>
      </c>
      <c r="S79" s="45">
        <f t="shared" si="5"/>
        <v>1259.4063636363637</v>
      </c>
      <c r="T79" s="45">
        <f t="shared" si="6"/>
        <v>11</v>
      </c>
      <c r="U79" s="45">
        <f t="shared" si="7"/>
        <v>13853.470000000001</v>
      </c>
    </row>
    <row r="80" spans="1:21" x14ac:dyDescent="0.3">
      <c r="A80" s="17" t="s">
        <v>2130</v>
      </c>
      <c r="B80" s="32">
        <v>44312</v>
      </c>
      <c r="C80" s="32">
        <v>44317</v>
      </c>
      <c r="D80" s="8" t="s">
        <v>73</v>
      </c>
      <c r="E80" s="8" t="s">
        <v>707</v>
      </c>
      <c r="F80" s="10" t="s">
        <v>708</v>
      </c>
      <c r="G80" s="10" t="s">
        <v>51</v>
      </c>
      <c r="H80" s="10" t="s">
        <v>386</v>
      </c>
      <c r="I80" s="10" t="s">
        <v>347</v>
      </c>
      <c r="J80" s="10" t="s">
        <v>88</v>
      </c>
      <c r="K80" s="10" t="s">
        <v>45</v>
      </c>
      <c r="L80" s="10" t="s">
        <v>61</v>
      </c>
      <c r="M80" s="10" t="s">
        <v>2131</v>
      </c>
      <c r="N80" s="11">
        <v>1120.77</v>
      </c>
      <c r="O80" s="12">
        <v>-3</v>
      </c>
      <c r="P80" s="13">
        <v>0.3</v>
      </c>
      <c r="Q80" s="19">
        <v>-201.86</v>
      </c>
      <c r="R80" s="45" t="str">
        <f t="shared" si="4"/>
        <v>OK</v>
      </c>
      <c r="S80" s="45">
        <f t="shared" si="5"/>
        <v>1259.4063636363637</v>
      </c>
      <c r="T80" s="45">
        <f t="shared" si="6"/>
        <v>11</v>
      </c>
      <c r="U80" s="45">
        <f t="shared" si="7"/>
        <v>13853.470000000001</v>
      </c>
    </row>
    <row r="81" spans="1:21" x14ac:dyDescent="0.3">
      <c r="A81" s="17" t="s">
        <v>1697</v>
      </c>
      <c r="B81" s="32">
        <v>44313</v>
      </c>
      <c r="C81" s="32">
        <v>44318</v>
      </c>
      <c r="D81" s="8" t="s">
        <v>73</v>
      </c>
      <c r="E81" s="8" t="s">
        <v>1089</v>
      </c>
      <c r="F81" s="10" t="s">
        <v>1090</v>
      </c>
      <c r="G81" s="10" t="s">
        <v>51</v>
      </c>
      <c r="H81" s="10" t="s">
        <v>1091</v>
      </c>
      <c r="I81" s="10" t="s">
        <v>23</v>
      </c>
      <c r="J81" s="10" t="s">
        <v>24</v>
      </c>
      <c r="K81" s="10" t="s">
        <v>35</v>
      </c>
      <c r="L81" s="10" t="s">
        <v>166</v>
      </c>
      <c r="M81" s="10" t="s">
        <v>1698</v>
      </c>
      <c r="N81" s="11">
        <v>28.38</v>
      </c>
      <c r="O81" s="12">
        <v>1</v>
      </c>
      <c r="P81" s="13">
        <v>0.5</v>
      </c>
      <c r="Q81" s="19">
        <v>-15.69</v>
      </c>
      <c r="R81" s="45" t="str">
        <f t="shared" si="4"/>
        <v>OK</v>
      </c>
      <c r="S81" s="45">
        <f t="shared" si="5"/>
        <v>1259.4063636363637</v>
      </c>
      <c r="T81" s="45">
        <f t="shared" si="6"/>
        <v>11</v>
      </c>
      <c r="U81" s="45">
        <f t="shared" si="7"/>
        <v>13853.470000000001</v>
      </c>
    </row>
    <row r="82" spans="1:21" x14ac:dyDescent="0.3">
      <c r="A82" s="16" t="s">
        <v>1088</v>
      </c>
      <c r="B82" s="31">
        <v>44314</v>
      </c>
      <c r="C82" s="31">
        <v>44317</v>
      </c>
      <c r="D82" s="2" t="s">
        <v>39</v>
      </c>
      <c r="E82" s="2" t="s">
        <v>1089</v>
      </c>
      <c r="F82" s="4" t="s">
        <v>1090</v>
      </c>
      <c r="G82" s="4" t="s">
        <v>51</v>
      </c>
      <c r="H82" s="4" t="s">
        <v>1091</v>
      </c>
      <c r="I82" s="4" t="s">
        <v>23</v>
      </c>
      <c r="J82" s="4" t="s">
        <v>24</v>
      </c>
      <c r="K82" s="4" t="s">
        <v>35</v>
      </c>
      <c r="L82" s="4" t="s">
        <v>110</v>
      </c>
      <c r="M82" s="4" t="s">
        <v>1092</v>
      </c>
      <c r="N82" s="5">
        <v>158.59</v>
      </c>
      <c r="O82" s="6">
        <v>6</v>
      </c>
      <c r="P82" s="7">
        <v>0.2</v>
      </c>
      <c r="Q82" s="18">
        <v>53.41</v>
      </c>
      <c r="R82" s="45" t="str">
        <f t="shared" si="4"/>
        <v>OK</v>
      </c>
      <c r="S82" s="45">
        <f t="shared" si="5"/>
        <v>1259.4063636363637</v>
      </c>
      <c r="T82" s="45">
        <f t="shared" si="6"/>
        <v>11</v>
      </c>
      <c r="U82" s="45">
        <f t="shared" si="7"/>
        <v>13853.470000000001</v>
      </c>
    </row>
    <row r="83" spans="1:21" x14ac:dyDescent="0.3">
      <c r="A83" s="16" t="s">
        <v>2446</v>
      </c>
      <c r="B83" s="31">
        <v>44318</v>
      </c>
      <c r="C83" s="31">
        <v>44322</v>
      </c>
      <c r="D83" s="2" t="s">
        <v>39</v>
      </c>
      <c r="E83" s="2" t="s">
        <v>1047</v>
      </c>
      <c r="F83" s="4" t="s">
        <v>1048</v>
      </c>
      <c r="G83" s="4" t="s">
        <v>42</v>
      </c>
      <c r="H83" s="4" t="s">
        <v>79</v>
      </c>
      <c r="I83" s="4" t="s">
        <v>80</v>
      </c>
      <c r="J83" s="4" t="s">
        <v>54</v>
      </c>
      <c r="K83" s="4" t="s">
        <v>25</v>
      </c>
      <c r="L83" s="4" t="s">
        <v>74</v>
      </c>
      <c r="M83" s="4" t="s">
        <v>2447</v>
      </c>
      <c r="N83" s="5">
        <v>449.76</v>
      </c>
      <c r="O83" s="6">
        <v>3</v>
      </c>
      <c r="P83" s="7">
        <v>0.05</v>
      </c>
      <c r="Q83" s="18">
        <v>132.47999999999999</v>
      </c>
      <c r="R83" s="45" t="str">
        <f t="shared" si="4"/>
        <v>OK</v>
      </c>
      <c r="S83" s="45">
        <f t="shared" si="5"/>
        <v>1259.4063636363637</v>
      </c>
      <c r="T83" s="45">
        <f t="shared" si="6"/>
        <v>11</v>
      </c>
      <c r="U83" s="45">
        <f t="shared" si="7"/>
        <v>13853.470000000001</v>
      </c>
    </row>
    <row r="84" spans="1:21" x14ac:dyDescent="0.3">
      <c r="A84" s="16" t="s">
        <v>1487</v>
      </c>
      <c r="B84" s="31">
        <v>44319</v>
      </c>
      <c r="C84" s="31">
        <v>44323</v>
      </c>
      <c r="D84" s="2" t="s">
        <v>73</v>
      </c>
      <c r="E84" s="2" t="s">
        <v>163</v>
      </c>
      <c r="F84" s="4" t="s">
        <v>164</v>
      </c>
      <c r="G84" s="4" t="s">
        <v>21</v>
      </c>
      <c r="H84" s="4" t="s">
        <v>165</v>
      </c>
      <c r="I84" s="4" t="s">
        <v>44</v>
      </c>
      <c r="J84" s="4" t="s">
        <v>24</v>
      </c>
      <c r="K84" s="4" t="s">
        <v>45</v>
      </c>
      <c r="L84" s="4" t="s">
        <v>46</v>
      </c>
      <c r="M84" s="4" t="s">
        <v>1488</v>
      </c>
      <c r="N84" s="5">
        <v>2010.76</v>
      </c>
      <c r="O84" s="6">
        <v>7</v>
      </c>
      <c r="P84" s="7">
        <v>0.05</v>
      </c>
      <c r="Q84" s="18">
        <v>594.41999999999996</v>
      </c>
      <c r="R84" s="45" t="str">
        <f t="shared" si="4"/>
        <v>OK</v>
      </c>
      <c r="S84" s="45">
        <f t="shared" si="5"/>
        <v>1259.4063636363637</v>
      </c>
      <c r="T84" s="45">
        <f t="shared" si="6"/>
        <v>11</v>
      </c>
      <c r="U84" s="45">
        <f t="shared" si="7"/>
        <v>13853.470000000001</v>
      </c>
    </row>
    <row r="85" spans="1:21" x14ac:dyDescent="0.3">
      <c r="A85" s="16" t="s">
        <v>2312</v>
      </c>
      <c r="B85" s="31">
        <v>44319</v>
      </c>
      <c r="C85" s="31">
        <v>44326</v>
      </c>
      <c r="D85" s="2" t="s">
        <v>29</v>
      </c>
      <c r="E85" s="2" t="s">
        <v>1011</v>
      </c>
      <c r="F85" s="4" t="s">
        <v>1012</v>
      </c>
      <c r="G85" s="4" t="s">
        <v>21</v>
      </c>
      <c r="H85" s="4" t="s">
        <v>59</v>
      </c>
      <c r="I85" s="4" t="s">
        <v>60</v>
      </c>
      <c r="J85" s="4" t="s">
        <v>54</v>
      </c>
      <c r="K85" s="4" t="s">
        <v>35</v>
      </c>
      <c r="L85" s="4" t="s">
        <v>89</v>
      </c>
      <c r="M85" s="4" t="s">
        <v>2313</v>
      </c>
      <c r="N85" s="5">
        <v>213.93</v>
      </c>
      <c r="O85" s="6">
        <v>1</v>
      </c>
      <c r="P85" s="7">
        <v>0.1</v>
      </c>
      <c r="Q85" s="18">
        <v>74.209999999999994</v>
      </c>
      <c r="R85" s="45" t="str">
        <f t="shared" si="4"/>
        <v>OK</v>
      </c>
      <c r="S85" s="45">
        <f t="shared" si="5"/>
        <v>1259.4063636363637</v>
      </c>
      <c r="T85" s="45">
        <f t="shared" si="6"/>
        <v>11</v>
      </c>
      <c r="U85" s="45">
        <f t="shared" si="7"/>
        <v>13853.470000000001</v>
      </c>
    </row>
    <row r="86" spans="1:21" x14ac:dyDescent="0.3">
      <c r="A86" s="17" t="s">
        <v>962</v>
      </c>
      <c r="B86" s="32">
        <v>44320</v>
      </c>
      <c r="C86" s="32">
        <v>44323</v>
      </c>
      <c r="D86" s="8" t="s">
        <v>39</v>
      </c>
      <c r="E86" s="8" t="s">
        <v>432</v>
      </c>
      <c r="F86" s="10" t="s">
        <v>433</v>
      </c>
      <c r="G86" s="10" t="s">
        <v>51</v>
      </c>
      <c r="H86" s="10" t="s">
        <v>171</v>
      </c>
      <c r="I86" s="10" t="s">
        <v>172</v>
      </c>
      <c r="J86" s="10" t="s">
        <v>24</v>
      </c>
      <c r="K86" s="10" t="s">
        <v>45</v>
      </c>
      <c r="L86" s="10" t="s">
        <v>46</v>
      </c>
      <c r="M86" s="10" t="s">
        <v>963</v>
      </c>
      <c r="N86" s="11">
        <v>223.72</v>
      </c>
      <c r="O86" s="12">
        <v>1</v>
      </c>
      <c r="P86" s="13">
        <v>0.2</v>
      </c>
      <c r="Q86" s="19">
        <v>46.93</v>
      </c>
      <c r="R86" s="45" t="str">
        <f t="shared" si="4"/>
        <v>OK</v>
      </c>
      <c r="S86" s="45">
        <f t="shared" si="5"/>
        <v>1259.4063636363637</v>
      </c>
      <c r="T86" s="45">
        <f t="shared" si="6"/>
        <v>11</v>
      </c>
      <c r="U86" s="45">
        <f t="shared" si="7"/>
        <v>13853.470000000001</v>
      </c>
    </row>
    <row r="87" spans="1:21" x14ac:dyDescent="0.3">
      <c r="A87" s="17" t="s">
        <v>2372</v>
      </c>
      <c r="B87" s="32">
        <v>44320</v>
      </c>
      <c r="C87" s="32">
        <v>44322</v>
      </c>
      <c r="D87" s="8" t="s">
        <v>39</v>
      </c>
      <c r="E87" s="8" t="s">
        <v>1578</v>
      </c>
      <c r="F87" s="10" t="s">
        <v>1579</v>
      </c>
      <c r="G87" s="10" t="s">
        <v>51</v>
      </c>
      <c r="H87" s="10" t="s">
        <v>207</v>
      </c>
      <c r="I87" s="10" t="s">
        <v>60</v>
      </c>
      <c r="J87" s="10" t="s">
        <v>54</v>
      </c>
      <c r="K87" s="10" t="s">
        <v>25</v>
      </c>
      <c r="L87" s="10" t="s">
        <v>68</v>
      </c>
      <c r="M87" s="10" t="s">
        <v>2373</v>
      </c>
      <c r="N87" s="11">
        <v>734.04</v>
      </c>
      <c r="O87" s="12">
        <v>9</v>
      </c>
      <c r="P87" s="13">
        <v>0</v>
      </c>
      <c r="Q87" s="19">
        <v>322.33999999999997</v>
      </c>
      <c r="R87" s="45" t="str">
        <f t="shared" si="4"/>
        <v>OK</v>
      </c>
      <c r="S87" s="45">
        <f t="shared" si="5"/>
        <v>1259.4063636363637</v>
      </c>
      <c r="T87" s="45">
        <f t="shared" si="6"/>
        <v>11</v>
      </c>
      <c r="U87" s="45">
        <f t="shared" si="7"/>
        <v>13853.470000000001</v>
      </c>
    </row>
    <row r="88" spans="1:21" x14ac:dyDescent="0.3">
      <c r="A88" s="16" t="s">
        <v>1457</v>
      </c>
      <c r="B88" s="31">
        <v>44323</v>
      </c>
      <c r="C88" s="31">
        <v>44324</v>
      </c>
      <c r="D88" s="2" t="s">
        <v>18</v>
      </c>
      <c r="E88" s="2" t="s">
        <v>49</v>
      </c>
      <c r="F88" s="4" t="s">
        <v>50</v>
      </c>
      <c r="G88" s="4" t="s">
        <v>51</v>
      </c>
      <c r="H88" s="4" t="s">
        <v>52</v>
      </c>
      <c r="I88" s="4" t="s">
        <v>53</v>
      </c>
      <c r="J88" s="4" t="s">
        <v>54</v>
      </c>
      <c r="K88" s="4" t="s">
        <v>25</v>
      </c>
      <c r="L88" s="4" t="s">
        <v>124</v>
      </c>
      <c r="M88" s="4" t="s">
        <v>1458</v>
      </c>
      <c r="N88" s="5">
        <v>7150.32</v>
      </c>
      <c r="O88" s="6">
        <v>8</v>
      </c>
      <c r="P88" s="7">
        <v>0.4</v>
      </c>
      <c r="Q88" s="18">
        <v>-1121.8599999999999</v>
      </c>
      <c r="R88" s="45" t="str">
        <f t="shared" si="4"/>
        <v>OK</v>
      </c>
      <c r="S88" s="45">
        <f t="shared" si="5"/>
        <v>1259.4063636363637</v>
      </c>
      <c r="T88" s="45">
        <f t="shared" si="6"/>
        <v>11</v>
      </c>
      <c r="U88" s="45">
        <f t="shared" si="7"/>
        <v>13853.470000000001</v>
      </c>
    </row>
    <row r="89" spans="1:21" x14ac:dyDescent="0.3">
      <c r="A89" s="16" t="s">
        <v>383</v>
      </c>
      <c r="B89" s="31">
        <v>44332</v>
      </c>
      <c r="C89" s="31">
        <v>44336</v>
      </c>
      <c r="D89" s="2" t="s">
        <v>73</v>
      </c>
      <c r="E89" s="2" t="s">
        <v>384</v>
      </c>
      <c r="F89" s="4" t="s">
        <v>385</v>
      </c>
      <c r="G89" s="4" t="s">
        <v>51</v>
      </c>
      <c r="H89" s="4" t="s">
        <v>386</v>
      </c>
      <c r="I89" s="4" t="s">
        <v>347</v>
      </c>
      <c r="J89" s="4" t="s">
        <v>88</v>
      </c>
      <c r="K89" s="4" t="s">
        <v>45</v>
      </c>
      <c r="L89" s="4" t="s">
        <v>99</v>
      </c>
      <c r="M89" s="4" t="s">
        <v>387</v>
      </c>
      <c r="N89" s="5">
        <v>724.05</v>
      </c>
      <c r="O89" s="6">
        <v>4</v>
      </c>
      <c r="P89" s="7">
        <v>0.05</v>
      </c>
      <c r="Q89" s="18">
        <v>174.35</v>
      </c>
      <c r="R89" s="45" t="str">
        <f t="shared" si="4"/>
        <v>OK</v>
      </c>
      <c r="S89" s="45">
        <f t="shared" si="5"/>
        <v>1259.4063636363637</v>
      </c>
      <c r="T89" s="45">
        <f t="shared" si="6"/>
        <v>11</v>
      </c>
      <c r="U89" s="45">
        <f t="shared" si="7"/>
        <v>13853.470000000001</v>
      </c>
    </row>
    <row r="90" spans="1:21" x14ac:dyDescent="0.3">
      <c r="A90" s="16" t="s">
        <v>863</v>
      </c>
      <c r="B90" s="31">
        <v>44333</v>
      </c>
      <c r="C90" s="31">
        <v>44337</v>
      </c>
      <c r="D90" s="2" t="s">
        <v>39</v>
      </c>
      <c r="E90" s="2" t="s">
        <v>864</v>
      </c>
      <c r="F90" s="4" t="s">
        <v>865</v>
      </c>
      <c r="G90" s="4" t="s">
        <v>21</v>
      </c>
      <c r="H90" s="4" t="s">
        <v>177</v>
      </c>
      <c r="I90" s="4" t="s">
        <v>178</v>
      </c>
      <c r="J90" s="4" t="s">
        <v>24</v>
      </c>
      <c r="K90" s="4" t="s">
        <v>25</v>
      </c>
      <c r="L90" s="4" t="s">
        <v>124</v>
      </c>
      <c r="M90" s="4" t="s">
        <v>866</v>
      </c>
      <c r="N90" s="5">
        <v>1418.34</v>
      </c>
      <c r="O90" s="6">
        <v>5</v>
      </c>
      <c r="P90" s="7">
        <v>0.3</v>
      </c>
      <c r="Q90" s="18">
        <v>-261.57</v>
      </c>
      <c r="R90" s="45" t="str">
        <f t="shared" si="4"/>
        <v>OK</v>
      </c>
      <c r="S90" s="45">
        <f t="shared" si="5"/>
        <v>1259.4063636363637</v>
      </c>
      <c r="T90" s="45">
        <f t="shared" si="6"/>
        <v>11</v>
      </c>
      <c r="U90" s="45">
        <f t="shared" si="7"/>
        <v>13853.470000000001</v>
      </c>
    </row>
    <row r="91" spans="1:21" x14ac:dyDescent="0.3">
      <c r="A91" s="16" t="s">
        <v>863</v>
      </c>
      <c r="B91" s="31">
        <v>44333</v>
      </c>
      <c r="C91" s="31">
        <v>44337</v>
      </c>
      <c r="D91" s="2" t="s">
        <v>39</v>
      </c>
      <c r="E91" s="2" t="s">
        <v>864</v>
      </c>
      <c r="F91" s="4" t="s">
        <v>865</v>
      </c>
      <c r="G91" s="4" t="s">
        <v>21</v>
      </c>
      <c r="H91" s="4" t="s">
        <v>177</v>
      </c>
      <c r="I91" s="4" t="s">
        <v>178</v>
      </c>
      <c r="J91" s="4" t="s">
        <v>24</v>
      </c>
      <c r="K91" s="4" t="s">
        <v>25</v>
      </c>
      <c r="L91" s="4" t="s">
        <v>124</v>
      </c>
      <c r="M91" s="4" t="s">
        <v>866</v>
      </c>
      <c r="N91" s="5">
        <v>1418.34</v>
      </c>
      <c r="O91" s="6">
        <v>5</v>
      </c>
      <c r="P91" s="7">
        <v>0.3</v>
      </c>
      <c r="Q91" s="18">
        <v>-261.57</v>
      </c>
      <c r="R91" s="45" t="str">
        <f t="shared" si="4"/>
        <v>OK</v>
      </c>
      <c r="S91" s="45">
        <f t="shared" si="5"/>
        <v>1259.4063636363637</v>
      </c>
      <c r="T91" s="45">
        <f t="shared" si="6"/>
        <v>11</v>
      </c>
      <c r="U91" s="45">
        <f t="shared" si="7"/>
        <v>13853.470000000001</v>
      </c>
    </row>
    <row r="92" spans="1:21" x14ac:dyDescent="0.3">
      <c r="A92" s="16" t="s">
        <v>253</v>
      </c>
      <c r="B92" s="31">
        <v>44335</v>
      </c>
      <c r="C92" s="31">
        <v>44338</v>
      </c>
      <c r="D92" s="2" t="s">
        <v>39</v>
      </c>
      <c r="E92" s="2" t="s">
        <v>169</v>
      </c>
      <c r="F92" s="4" t="s">
        <v>170</v>
      </c>
      <c r="G92" s="4" t="s">
        <v>21</v>
      </c>
      <c r="H92" s="4" t="s">
        <v>171</v>
      </c>
      <c r="I92" s="4" t="s">
        <v>172</v>
      </c>
      <c r="J92" s="4" t="s">
        <v>24</v>
      </c>
      <c r="K92" s="4" t="s">
        <v>25</v>
      </c>
      <c r="L92" s="4" t="s">
        <v>124</v>
      </c>
      <c r="M92" s="4" t="s">
        <v>254</v>
      </c>
      <c r="N92" s="5">
        <v>1230.48</v>
      </c>
      <c r="O92" s="6">
        <v>4</v>
      </c>
      <c r="P92" s="7">
        <v>0.1</v>
      </c>
      <c r="Q92" s="18">
        <v>258.8</v>
      </c>
      <c r="R92" s="45" t="str">
        <f t="shared" si="4"/>
        <v>OK</v>
      </c>
      <c r="S92" s="45">
        <f t="shared" si="5"/>
        <v>1259.4063636363637</v>
      </c>
      <c r="T92" s="45">
        <f t="shared" si="6"/>
        <v>11</v>
      </c>
      <c r="U92" s="45">
        <f t="shared" si="7"/>
        <v>13853.470000000001</v>
      </c>
    </row>
    <row r="93" spans="1:21" x14ac:dyDescent="0.3">
      <c r="A93" s="17" t="s">
        <v>1532</v>
      </c>
      <c r="B93" s="32">
        <v>44335</v>
      </c>
      <c r="C93" s="32">
        <v>44337</v>
      </c>
      <c r="D93" s="8" t="s">
        <v>39</v>
      </c>
      <c r="E93" s="8" t="s">
        <v>370</v>
      </c>
      <c r="F93" s="10" t="s">
        <v>371</v>
      </c>
      <c r="G93" s="10" t="s">
        <v>51</v>
      </c>
      <c r="H93" s="10" t="s">
        <v>372</v>
      </c>
      <c r="I93" s="10" t="s">
        <v>373</v>
      </c>
      <c r="J93" s="10" t="s">
        <v>34</v>
      </c>
      <c r="K93" s="10" t="s">
        <v>25</v>
      </c>
      <c r="L93" s="10" t="s">
        <v>74</v>
      </c>
      <c r="M93" s="10" t="s">
        <v>1533</v>
      </c>
      <c r="N93" s="11">
        <v>3927</v>
      </c>
      <c r="O93" s="12">
        <v>5</v>
      </c>
      <c r="P93" s="13">
        <v>0</v>
      </c>
      <c r="Q93" s="19">
        <v>1582.05</v>
      </c>
      <c r="R93" s="45" t="str">
        <f t="shared" si="4"/>
        <v>OK</v>
      </c>
      <c r="S93" s="45">
        <f t="shared" si="5"/>
        <v>1259.4063636363637</v>
      </c>
      <c r="T93" s="45">
        <f t="shared" si="6"/>
        <v>11</v>
      </c>
      <c r="U93" s="45">
        <f t="shared" si="7"/>
        <v>13853.470000000001</v>
      </c>
    </row>
    <row r="94" spans="1:21" x14ac:dyDescent="0.3">
      <c r="A94" s="16" t="s">
        <v>2019</v>
      </c>
      <c r="B94" s="31">
        <v>44335</v>
      </c>
      <c r="C94" s="31">
        <v>44341</v>
      </c>
      <c r="D94" s="2" t="s">
        <v>29</v>
      </c>
      <c r="E94" s="2" t="s">
        <v>561</v>
      </c>
      <c r="F94" s="4" t="s">
        <v>562</v>
      </c>
      <c r="G94" s="4" t="s">
        <v>42</v>
      </c>
      <c r="H94" s="4" t="s">
        <v>563</v>
      </c>
      <c r="I94" s="4" t="s">
        <v>460</v>
      </c>
      <c r="J94" s="4" t="s">
        <v>54</v>
      </c>
      <c r="K94" s="4" t="s">
        <v>25</v>
      </c>
      <c r="L94" s="4" t="s">
        <v>74</v>
      </c>
      <c r="M94" s="4" t="s">
        <v>2020</v>
      </c>
      <c r="N94" s="5">
        <v>209.08</v>
      </c>
      <c r="O94" s="6">
        <v>2</v>
      </c>
      <c r="P94" s="7">
        <v>0.4</v>
      </c>
      <c r="Q94" s="18">
        <v>-33.43</v>
      </c>
      <c r="R94" s="45" t="str">
        <f t="shared" si="4"/>
        <v>OK</v>
      </c>
      <c r="S94" s="45">
        <f t="shared" si="5"/>
        <v>1259.4063636363637</v>
      </c>
      <c r="T94" s="45">
        <f t="shared" si="6"/>
        <v>11</v>
      </c>
      <c r="U94" s="45">
        <f t="shared" si="7"/>
        <v>13853.470000000001</v>
      </c>
    </row>
    <row r="95" spans="1:21" x14ac:dyDescent="0.3">
      <c r="A95" s="17" t="s">
        <v>824</v>
      </c>
      <c r="B95" s="32">
        <v>44337</v>
      </c>
      <c r="C95" s="32">
        <v>44341</v>
      </c>
      <c r="D95" s="8" t="s">
        <v>73</v>
      </c>
      <c r="E95" s="8" t="s">
        <v>92</v>
      </c>
      <c r="F95" s="10" t="s">
        <v>93</v>
      </c>
      <c r="G95" s="10" t="s">
        <v>42</v>
      </c>
      <c r="H95" s="10" t="s">
        <v>43</v>
      </c>
      <c r="I95" s="10" t="s">
        <v>44</v>
      </c>
      <c r="J95" s="10" t="s">
        <v>24</v>
      </c>
      <c r="K95" s="10" t="s">
        <v>25</v>
      </c>
      <c r="L95" s="10" t="s">
        <v>26</v>
      </c>
      <c r="M95" s="10" t="s">
        <v>825</v>
      </c>
      <c r="N95" s="11">
        <v>1933.22</v>
      </c>
      <c r="O95" s="12">
        <v>6</v>
      </c>
      <c r="P95" s="13">
        <v>0.3</v>
      </c>
      <c r="Q95" s="19">
        <v>-318.83</v>
      </c>
      <c r="R95" s="45" t="str">
        <f t="shared" si="4"/>
        <v>OK</v>
      </c>
      <c r="S95" s="45">
        <f t="shared" si="5"/>
        <v>1259.4063636363637</v>
      </c>
      <c r="T95" s="45">
        <f t="shared" si="6"/>
        <v>11</v>
      </c>
      <c r="U95" s="45">
        <f t="shared" si="7"/>
        <v>13853.470000000001</v>
      </c>
    </row>
    <row r="96" spans="1:21" x14ac:dyDescent="0.3">
      <c r="A96" s="17" t="s">
        <v>1051</v>
      </c>
      <c r="B96" s="32">
        <v>44338</v>
      </c>
      <c r="C96" s="32">
        <v>44340</v>
      </c>
      <c r="D96" s="8" t="s">
        <v>18</v>
      </c>
      <c r="E96" s="8" t="s">
        <v>1052</v>
      </c>
      <c r="F96" s="10" t="s">
        <v>1053</v>
      </c>
      <c r="G96" s="10" t="s">
        <v>42</v>
      </c>
      <c r="H96" s="10" t="s">
        <v>694</v>
      </c>
      <c r="I96" s="10" t="s">
        <v>67</v>
      </c>
      <c r="J96" s="10" t="s">
        <v>34</v>
      </c>
      <c r="K96" s="10" t="s">
        <v>45</v>
      </c>
      <c r="L96" s="10" t="s">
        <v>117</v>
      </c>
      <c r="M96" s="10" t="s">
        <v>1054</v>
      </c>
      <c r="N96" s="11">
        <v>1554.75</v>
      </c>
      <c r="O96" s="12">
        <v>9</v>
      </c>
      <c r="P96" s="13">
        <v>0</v>
      </c>
      <c r="Q96" s="19">
        <v>322.37</v>
      </c>
      <c r="R96" s="45" t="str">
        <f t="shared" si="4"/>
        <v>OK</v>
      </c>
      <c r="S96" s="45">
        <f t="shared" si="5"/>
        <v>1259.4063636363637</v>
      </c>
      <c r="T96" s="45">
        <f t="shared" si="6"/>
        <v>11</v>
      </c>
      <c r="U96" s="45">
        <f t="shared" si="7"/>
        <v>13853.470000000001</v>
      </c>
    </row>
    <row r="97" spans="1:21" x14ac:dyDescent="0.3">
      <c r="A97" s="16" t="s">
        <v>1763</v>
      </c>
      <c r="B97" s="31">
        <v>44338</v>
      </c>
      <c r="C97" s="31">
        <v>44339</v>
      </c>
      <c r="D97" s="2" t="s">
        <v>18</v>
      </c>
      <c r="E97" s="2" t="s">
        <v>370</v>
      </c>
      <c r="F97" s="4" t="s">
        <v>371</v>
      </c>
      <c r="G97" s="4" t="s">
        <v>51</v>
      </c>
      <c r="H97" s="4" t="s">
        <v>372</v>
      </c>
      <c r="I97" s="4" t="s">
        <v>373</v>
      </c>
      <c r="J97" s="4" t="s">
        <v>34</v>
      </c>
      <c r="K97" s="4" t="s">
        <v>35</v>
      </c>
      <c r="L97" s="4" t="s">
        <v>110</v>
      </c>
      <c r="M97" s="4" t="s">
        <v>1764</v>
      </c>
      <c r="N97" s="5">
        <v>257.49</v>
      </c>
      <c r="O97" s="6">
        <v>9</v>
      </c>
      <c r="P97" s="7">
        <v>0</v>
      </c>
      <c r="Q97" s="18">
        <v>97.97</v>
      </c>
      <c r="R97" s="45" t="str">
        <f t="shared" si="4"/>
        <v>OK</v>
      </c>
      <c r="S97" s="45">
        <f t="shared" si="5"/>
        <v>1259.4063636363637</v>
      </c>
      <c r="T97" s="45">
        <f t="shared" si="6"/>
        <v>11</v>
      </c>
      <c r="U97" s="45">
        <f t="shared" si="7"/>
        <v>13853.470000000001</v>
      </c>
    </row>
    <row r="98" spans="1:21" x14ac:dyDescent="0.3">
      <c r="A98" s="17" t="s">
        <v>247</v>
      </c>
      <c r="B98" s="32">
        <v>44339</v>
      </c>
      <c r="C98" s="32">
        <v>44342</v>
      </c>
      <c r="D98" s="8" t="s">
        <v>18</v>
      </c>
      <c r="E98" s="8" t="s">
        <v>248</v>
      </c>
      <c r="F98" s="10" t="s">
        <v>249</v>
      </c>
      <c r="G98" s="10" t="s">
        <v>51</v>
      </c>
      <c r="H98" s="10" t="s">
        <v>250</v>
      </c>
      <c r="I98" s="10" t="s">
        <v>251</v>
      </c>
      <c r="J98" s="10" t="s">
        <v>88</v>
      </c>
      <c r="K98" s="10" t="s">
        <v>35</v>
      </c>
      <c r="L98" s="10" t="s">
        <v>81</v>
      </c>
      <c r="M98" s="10" t="s">
        <v>252</v>
      </c>
      <c r="N98" s="11">
        <v>70.040000000000006</v>
      </c>
      <c r="O98" s="12">
        <v>5</v>
      </c>
      <c r="P98" s="13">
        <v>0.2</v>
      </c>
      <c r="Q98" s="19">
        <v>30.62</v>
      </c>
      <c r="R98" s="45" t="str">
        <f t="shared" si="4"/>
        <v>OK</v>
      </c>
      <c r="S98" s="45">
        <f t="shared" si="5"/>
        <v>1259.4063636363637</v>
      </c>
      <c r="T98" s="45">
        <f t="shared" si="6"/>
        <v>11</v>
      </c>
      <c r="U98" s="45">
        <f t="shared" si="7"/>
        <v>13853.470000000001</v>
      </c>
    </row>
    <row r="99" spans="1:21" x14ac:dyDescent="0.3">
      <c r="A99" s="16" t="s">
        <v>1084</v>
      </c>
      <c r="B99" s="31">
        <v>44339</v>
      </c>
      <c r="C99" s="31">
        <v>44342</v>
      </c>
      <c r="D99" s="2" t="s">
        <v>73</v>
      </c>
      <c r="E99" s="2" t="s">
        <v>858</v>
      </c>
      <c r="F99" s="4" t="s">
        <v>859</v>
      </c>
      <c r="G99" s="4" t="s">
        <v>51</v>
      </c>
      <c r="H99" s="4" t="s">
        <v>145</v>
      </c>
      <c r="I99" s="4" t="s">
        <v>140</v>
      </c>
      <c r="J99" s="4" t="s">
        <v>24</v>
      </c>
      <c r="K99" s="4" t="s">
        <v>45</v>
      </c>
      <c r="L99" s="4" t="s">
        <v>61</v>
      </c>
      <c r="M99" s="4" t="s">
        <v>1085</v>
      </c>
      <c r="N99" s="5">
        <v>2765.08</v>
      </c>
      <c r="O99" s="6">
        <v>4</v>
      </c>
      <c r="P99" s="7">
        <v>0</v>
      </c>
      <c r="Q99" s="18">
        <v>358.3</v>
      </c>
      <c r="R99" s="45" t="str">
        <f t="shared" si="4"/>
        <v>OK</v>
      </c>
      <c r="S99" s="45">
        <f t="shared" si="5"/>
        <v>1259.4063636363637</v>
      </c>
      <c r="T99" s="45">
        <f t="shared" si="6"/>
        <v>11</v>
      </c>
      <c r="U99" s="45">
        <f t="shared" si="7"/>
        <v>13853.470000000001</v>
      </c>
    </row>
    <row r="100" spans="1:21" x14ac:dyDescent="0.3">
      <c r="A100" s="17" t="s">
        <v>1550</v>
      </c>
      <c r="B100" s="32">
        <v>44342</v>
      </c>
      <c r="C100" s="32">
        <v>44343</v>
      </c>
      <c r="D100" s="8" t="s">
        <v>18</v>
      </c>
      <c r="E100" s="8" t="s">
        <v>642</v>
      </c>
      <c r="F100" s="10" t="s">
        <v>643</v>
      </c>
      <c r="G100" s="10" t="s">
        <v>51</v>
      </c>
      <c r="H100" s="10" t="s">
        <v>171</v>
      </c>
      <c r="I100" s="10" t="s">
        <v>172</v>
      </c>
      <c r="J100" s="10" t="s">
        <v>24</v>
      </c>
      <c r="K100" s="10" t="s">
        <v>45</v>
      </c>
      <c r="L100" s="10" t="s">
        <v>61</v>
      </c>
      <c r="M100" s="10" t="s">
        <v>1551</v>
      </c>
      <c r="N100" s="11">
        <v>714.7</v>
      </c>
      <c r="O100" s="12">
        <v>10</v>
      </c>
      <c r="P100" s="13">
        <v>0.5</v>
      </c>
      <c r="Q100" s="19">
        <v>-673.37</v>
      </c>
      <c r="R100" s="45" t="str">
        <f t="shared" si="4"/>
        <v>OK</v>
      </c>
      <c r="S100" s="45">
        <f t="shared" si="5"/>
        <v>1259.4063636363637</v>
      </c>
      <c r="T100" s="45">
        <f t="shared" si="6"/>
        <v>11</v>
      </c>
      <c r="U100" s="45">
        <f t="shared" si="7"/>
        <v>13853.470000000001</v>
      </c>
    </row>
    <row r="101" spans="1:21" x14ac:dyDescent="0.3">
      <c r="A101" s="17" t="s">
        <v>1626</v>
      </c>
      <c r="B101" s="32">
        <v>44342</v>
      </c>
      <c r="C101" s="32">
        <v>44346</v>
      </c>
      <c r="D101" s="8" t="s">
        <v>39</v>
      </c>
      <c r="E101" s="8" t="s">
        <v>809</v>
      </c>
      <c r="F101" s="10" t="s">
        <v>810</v>
      </c>
      <c r="G101" s="10" t="s">
        <v>42</v>
      </c>
      <c r="H101" s="10" t="s">
        <v>352</v>
      </c>
      <c r="I101" s="10" t="s">
        <v>306</v>
      </c>
      <c r="J101" s="10" t="s">
        <v>34</v>
      </c>
      <c r="K101" s="10" t="s">
        <v>25</v>
      </c>
      <c r="L101" s="10" t="s">
        <v>26</v>
      </c>
      <c r="M101" s="10" t="s">
        <v>1627</v>
      </c>
      <c r="N101" s="11">
        <v>1628.62</v>
      </c>
      <c r="O101" s="12">
        <v>5</v>
      </c>
      <c r="P101" s="13">
        <v>0.5</v>
      </c>
      <c r="Q101" s="19">
        <v>-844.19</v>
      </c>
      <c r="R101" s="45" t="str">
        <f t="shared" si="4"/>
        <v>OK</v>
      </c>
      <c r="S101" s="45">
        <f t="shared" si="5"/>
        <v>1259.4063636363637</v>
      </c>
      <c r="T101" s="45">
        <f t="shared" si="6"/>
        <v>11</v>
      </c>
      <c r="U101" s="45">
        <f t="shared" si="7"/>
        <v>13853.470000000001</v>
      </c>
    </row>
    <row r="102" spans="1:21" x14ac:dyDescent="0.3">
      <c r="A102" s="16" t="s">
        <v>1981</v>
      </c>
      <c r="B102" s="31">
        <v>44345</v>
      </c>
      <c r="C102" s="31">
        <v>44349</v>
      </c>
      <c r="D102" s="2" t="s">
        <v>39</v>
      </c>
      <c r="E102" s="2" t="s">
        <v>1982</v>
      </c>
      <c r="F102" s="4" t="s">
        <v>1983</v>
      </c>
      <c r="G102" s="4" t="s">
        <v>21</v>
      </c>
      <c r="H102" s="4" t="s">
        <v>22</v>
      </c>
      <c r="I102" s="4" t="s">
        <v>23</v>
      </c>
      <c r="J102" s="4" t="s">
        <v>24</v>
      </c>
      <c r="K102" s="4" t="s">
        <v>45</v>
      </c>
      <c r="L102" s="4" t="s">
        <v>46</v>
      </c>
      <c r="M102" s="4" t="s">
        <v>1984</v>
      </c>
      <c r="N102" s="5">
        <v>6242.9</v>
      </c>
      <c r="O102" s="6">
        <v>10</v>
      </c>
      <c r="P102" s="7">
        <v>0</v>
      </c>
      <c r="Q102" s="18">
        <v>1984.36</v>
      </c>
      <c r="R102" s="45" t="str">
        <f t="shared" si="4"/>
        <v>OK</v>
      </c>
      <c r="S102" s="45">
        <f t="shared" si="5"/>
        <v>1259.4063636363637</v>
      </c>
      <c r="T102" s="45">
        <f t="shared" si="6"/>
        <v>11</v>
      </c>
      <c r="U102" s="45">
        <f t="shared" si="7"/>
        <v>13853.470000000001</v>
      </c>
    </row>
    <row r="103" spans="1:21" x14ac:dyDescent="0.3">
      <c r="A103" s="16" t="s">
        <v>1995</v>
      </c>
      <c r="B103" s="31">
        <v>44346</v>
      </c>
      <c r="C103" s="31">
        <v>44352</v>
      </c>
      <c r="D103" s="2" t="s">
        <v>29</v>
      </c>
      <c r="E103" s="2" t="s">
        <v>1029</v>
      </c>
      <c r="F103" s="4" t="s">
        <v>1030</v>
      </c>
      <c r="G103" s="4" t="s">
        <v>21</v>
      </c>
      <c r="H103" s="4" t="s">
        <v>438</v>
      </c>
      <c r="I103" s="4" t="s">
        <v>157</v>
      </c>
      <c r="J103" s="4" t="s">
        <v>88</v>
      </c>
      <c r="K103" s="4" t="s">
        <v>45</v>
      </c>
      <c r="L103" s="4" t="s">
        <v>117</v>
      </c>
      <c r="M103" s="4" t="s">
        <v>1996</v>
      </c>
      <c r="N103" s="5">
        <v>973.98</v>
      </c>
      <c r="O103" s="6">
        <v>6</v>
      </c>
      <c r="P103" s="7">
        <v>0</v>
      </c>
      <c r="Q103" s="18">
        <v>313.91000000000003</v>
      </c>
      <c r="R103" s="45" t="str">
        <f t="shared" si="4"/>
        <v>OK</v>
      </c>
      <c r="S103" s="45">
        <f t="shared" si="5"/>
        <v>1259.4063636363637</v>
      </c>
      <c r="T103" s="45">
        <f t="shared" si="6"/>
        <v>11</v>
      </c>
      <c r="U103" s="45">
        <f t="shared" si="7"/>
        <v>13853.470000000001</v>
      </c>
    </row>
    <row r="104" spans="1:21" x14ac:dyDescent="0.3">
      <c r="A104" s="16" t="s">
        <v>2177</v>
      </c>
      <c r="B104" s="31">
        <v>44346</v>
      </c>
      <c r="C104" s="31">
        <v>44350</v>
      </c>
      <c r="D104" s="2" t="s">
        <v>39</v>
      </c>
      <c r="E104" s="2" t="s">
        <v>441</v>
      </c>
      <c r="F104" s="4" t="s">
        <v>442</v>
      </c>
      <c r="G104" s="4" t="s">
        <v>21</v>
      </c>
      <c r="H104" s="4" t="s">
        <v>98</v>
      </c>
      <c r="I104" s="4" t="s">
        <v>80</v>
      </c>
      <c r="J104" s="4" t="s">
        <v>54</v>
      </c>
      <c r="K104" s="4" t="s">
        <v>25</v>
      </c>
      <c r="L104" s="4" t="s">
        <v>68</v>
      </c>
      <c r="M104" s="4" t="s">
        <v>2178</v>
      </c>
      <c r="N104" s="5">
        <v>1082.0899999999999</v>
      </c>
      <c r="O104" s="6">
        <v>9</v>
      </c>
      <c r="P104" s="7">
        <v>0.3</v>
      </c>
      <c r="Q104" s="18">
        <v>118.8</v>
      </c>
      <c r="R104" s="45" t="str">
        <f t="shared" si="4"/>
        <v>OK</v>
      </c>
      <c r="S104" s="45">
        <f t="shared" si="5"/>
        <v>1259.4063636363637</v>
      </c>
      <c r="T104" s="45">
        <f t="shared" si="6"/>
        <v>11</v>
      </c>
      <c r="U104" s="45">
        <f t="shared" si="7"/>
        <v>13853.470000000001</v>
      </c>
    </row>
    <row r="105" spans="1:21" x14ac:dyDescent="0.3">
      <c r="A105" s="16" t="s">
        <v>700</v>
      </c>
      <c r="B105" s="31">
        <v>44349</v>
      </c>
      <c r="C105" s="31">
        <v>44353</v>
      </c>
      <c r="D105" s="2" t="s">
        <v>39</v>
      </c>
      <c r="E105" s="2" t="s">
        <v>701</v>
      </c>
      <c r="F105" s="4" t="s">
        <v>702</v>
      </c>
      <c r="G105" s="4" t="s">
        <v>21</v>
      </c>
      <c r="H105" s="4" t="s">
        <v>43</v>
      </c>
      <c r="I105" s="4" t="s">
        <v>44</v>
      </c>
      <c r="J105" s="4" t="s">
        <v>24</v>
      </c>
      <c r="K105" s="4" t="s">
        <v>45</v>
      </c>
      <c r="L105" s="4" t="s">
        <v>117</v>
      </c>
      <c r="M105" s="4" t="s">
        <v>703</v>
      </c>
      <c r="N105" s="5">
        <v>1163.96</v>
      </c>
      <c r="O105" s="6">
        <v>10</v>
      </c>
      <c r="P105" s="7">
        <v>0.3</v>
      </c>
      <c r="Q105" s="18">
        <v>27.64</v>
      </c>
      <c r="R105" s="45" t="str">
        <f t="shared" si="4"/>
        <v>OK</v>
      </c>
      <c r="S105" s="45">
        <f t="shared" si="5"/>
        <v>1259.4063636363637</v>
      </c>
      <c r="T105" s="45">
        <f t="shared" si="6"/>
        <v>11</v>
      </c>
      <c r="U105" s="45">
        <f t="shared" si="7"/>
        <v>13853.470000000001</v>
      </c>
    </row>
    <row r="106" spans="1:21" x14ac:dyDescent="0.3">
      <c r="A106" s="16" t="s">
        <v>448</v>
      </c>
      <c r="B106" s="31">
        <v>44350</v>
      </c>
      <c r="C106" s="31">
        <v>44352</v>
      </c>
      <c r="D106" s="2" t="s">
        <v>18</v>
      </c>
      <c r="E106" s="2" t="s">
        <v>240</v>
      </c>
      <c r="F106" s="4" t="s">
        <v>241</v>
      </c>
      <c r="G106" s="4" t="s">
        <v>42</v>
      </c>
      <c r="H106" s="4" t="s">
        <v>115</v>
      </c>
      <c r="I106" s="4" t="s">
        <v>116</v>
      </c>
      <c r="J106" s="4" t="s">
        <v>54</v>
      </c>
      <c r="K106" s="4" t="s">
        <v>25</v>
      </c>
      <c r="L106" s="4" t="s">
        <v>124</v>
      </c>
      <c r="M106" s="4" t="s">
        <v>449</v>
      </c>
      <c r="N106" s="5">
        <v>12155.36</v>
      </c>
      <c r="O106" s="6">
        <v>8</v>
      </c>
      <c r="P106" s="7">
        <v>0.3</v>
      </c>
      <c r="Q106" s="18">
        <v>-1894.61</v>
      </c>
      <c r="R106" s="45" t="str">
        <f t="shared" si="4"/>
        <v>OK</v>
      </c>
      <c r="S106" s="45">
        <f t="shared" si="5"/>
        <v>1259.4063636363637</v>
      </c>
      <c r="T106" s="45">
        <f t="shared" si="6"/>
        <v>11</v>
      </c>
      <c r="U106" s="45">
        <f t="shared" si="7"/>
        <v>13853.470000000001</v>
      </c>
    </row>
    <row r="107" spans="1:21" x14ac:dyDescent="0.3">
      <c r="A107" s="16" t="s">
        <v>1187</v>
      </c>
      <c r="B107" s="31">
        <v>44353</v>
      </c>
      <c r="C107" s="31">
        <v>44355</v>
      </c>
      <c r="D107" s="2" t="s">
        <v>18</v>
      </c>
      <c r="E107" s="2" t="s">
        <v>472</v>
      </c>
      <c r="F107" s="4" t="s">
        <v>473</v>
      </c>
      <c r="G107" s="4" t="s">
        <v>51</v>
      </c>
      <c r="H107" s="4" t="s">
        <v>32</v>
      </c>
      <c r="I107" s="4" t="s">
        <v>33</v>
      </c>
      <c r="J107" s="4" t="s">
        <v>34</v>
      </c>
      <c r="K107" s="4" t="s">
        <v>35</v>
      </c>
      <c r="L107" s="4" t="s">
        <v>110</v>
      </c>
      <c r="M107" s="4" t="s">
        <v>1188</v>
      </c>
      <c r="N107" s="5">
        <v>39</v>
      </c>
      <c r="O107" s="6">
        <v>10</v>
      </c>
      <c r="P107" s="7">
        <v>0.5</v>
      </c>
      <c r="Q107" s="18">
        <v>1.1399999999999999</v>
      </c>
      <c r="R107" s="45" t="str">
        <f t="shared" si="4"/>
        <v>OK</v>
      </c>
      <c r="S107" s="45">
        <f t="shared" si="5"/>
        <v>1259.4063636363637</v>
      </c>
      <c r="T107" s="45">
        <f t="shared" si="6"/>
        <v>11</v>
      </c>
      <c r="U107" s="45">
        <f t="shared" si="7"/>
        <v>13853.470000000001</v>
      </c>
    </row>
    <row r="108" spans="1:21" x14ac:dyDescent="0.3">
      <c r="A108" s="16" t="s">
        <v>1707</v>
      </c>
      <c r="B108" s="31">
        <v>44354</v>
      </c>
      <c r="C108" s="31">
        <v>44359</v>
      </c>
      <c r="D108" s="2" t="s">
        <v>29</v>
      </c>
      <c r="E108" s="2" t="s">
        <v>1708</v>
      </c>
      <c r="F108" s="4" t="s">
        <v>1709</v>
      </c>
      <c r="G108" s="4" t="s">
        <v>51</v>
      </c>
      <c r="H108" s="4" t="s">
        <v>177</v>
      </c>
      <c r="I108" s="4" t="s">
        <v>178</v>
      </c>
      <c r="J108" s="4" t="s">
        <v>24</v>
      </c>
      <c r="K108" s="4" t="s">
        <v>35</v>
      </c>
      <c r="L108" s="4" t="s">
        <v>216</v>
      </c>
      <c r="M108" s="4" t="s">
        <v>1710</v>
      </c>
      <c r="N108" s="5">
        <v>20.440000000000001</v>
      </c>
      <c r="O108" s="6">
        <v>3</v>
      </c>
      <c r="P108" s="7">
        <v>0.1</v>
      </c>
      <c r="Q108" s="18">
        <v>6.28</v>
      </c>
      <c r="R108" s="45" t="str">
        <f t="shared" si="4"/>
        <v>OK</v>
      </c>
      <c r="S108" s="45">
        <f t="shared" si="5"/>
        <v>1259.4063636363637</v>
      </c>
      <c r="T108" s="45">
        <f t="shared" si="6"/>
        <v>11</v>
      </c>
      <c r="U108" s="45">
        <f t="shared" si="7"/>
        <v>13853.470000000001</v>
      </c>
    </row>
    <row r="109" spans="1:21" x14ac:dyDescent="0.3">
      <c r="A109" s="17" t="s">
        <v>2005</v>
      </c>
      <c r="B109" s="32">
        <v>44355</v>
      </c>
      <c r="C109" s="32">
        <v>44358</v>
      </c>
      <c r="D109" s="8" t="s">
        <v>39</v>
      </c>
      <c r="E109" s="8" t="s">
        <v>163</v>
      </c>
      <c r="F109" s="10" t="s">
        <v>164</v>
      </c>
      <c r="G109" s="10" t="s">
        <v>21</v>
      </c>
      <c r="H109" s="10" t="s">
        <v>165</v>
      </c>
      <c r="I109" s="10" t="s">
        <v>44</v>
      </c>
      <c r="J109" s="10" t="s">
        <v>24</v>
      </c>
      <c r="K109" s="10" t="s">
        <v>35</v>
      </c>
      <c r="L109" s="10" t="s">
        <v>229</v>
      </c>
      <c r="M109" s="10" t="s">
        <v>2006</v>
      </c>
      <c r="N109" s="11">
        <v>9.6199999999999992</v>
      </c>
      <c r="O109" s="12">
        <v>7</v>
      </c>
      <c r="P109" s="13">
        <v>0.5</v>
      </c>
      <c r="Q109" s="19">
        <v>-1.68</v>
      </c>
      <c r="R109" s="45" t="str">
        <f t="shared" si="4"/>
        <v>OK</v>
      </c>
      <c r="S109" s="45">
        <f t="shared" si="5"/>
        <v>1259.4063636363637</v>
      </c>
      <c r="T109" s="45">
        <f t="shared" si="6"/>
        <v>11</v>
      </c>
      <c r="U109" s="45">
        <f t="shared" si="7"/>
        <v>13853.470000000001</v>
      </c>
    </row>
    <row r="110" spans="1:21" x14ac:dyDescent="0.3">
      <c r="A110" s="17" t="s">
        <v>732</v>
      </c>
      <c r="B110" s="32">
        <v>44356</v>
      </c>
      <c r="C110" s="32">
        <v>44359</v>
      </c>
      <c r="D110" s="8" t="s">
        <v>39</v>
      </c>
      <c r="E110" s="8" t="s">
        <v>733</v>
      </c>
      <c r="F110" s="10" t="s">
        <v>734</v>
      </c>
      <c r="G110" s="10" t="s">
        <v>51</v>
      </c>
      <c r="H110" s="10" t="s">
        <v>324</v>
      </c>
      <c r="I110" s="10" t="s">
        <v>116</v>
      </c>
      <c r="J110" s="10" t="s">
        <v>54</v>
      </c>
      <c r="K110" s="10" t="s">
        <v>25</v>
      </c>
      <c r="L110" s="10" t="s">
        <v>124</v>
      </c>
      <c r="M110" s="10" t="s">
        <v>735</v>
      </c>
      <c r="N110" s="11">
        <v>10077.16</v>
      </c>
      <c r="O110" s="12">
        <v>7</v>
      </c>
      <c r="P110" s="13">
        <v>0.15</v>
      </c>
      <c r="Q110" s="19">
        <v>1019.23</v>
      </c>
      <c r="R110" s="45" t="str">
        <f t="shared" si="4"/>
        <v>OK</v>
      </c>
      <c r="S110" s="45">
        <f t="shared" si="5"/>
        <v>1259.4063636363637</v>
      </c>
      <c r="T110" s="45">
        <f t="shared" si="6"/>
        <v>11</v>
      </c>
      <c r="U110" s="45">
        <f t="shared" si="7"/>
        <v>13853.470000000001</v>
      </c>
    </row>
    <row r="111" spans="1:21" x14ac:dyDescent="0.3">
      <c r="A111" s="17" t="s">
        <v>1665</v>
      </c>
      <c r="B111" s="32">
        <v>44357</v>
      </c>
      <c r="C111" s="32">
        <v>44360</v>
      </c>
      <c r="D111" s="8" t="s">
        <v>73</v>
      </c>
      <c r="E111" s="8" t="s">
        <v>132</v>
      </c>
      <c r="F111" s="10" t="s">
        <v>133</v>
      </c>
      <c r="G111" s="10" t="s">
        <v>21</v>
      </c>
      <c r="H111" s="10" t="s">
        <v>134</v>
      </c>
      <c r="I111" s="10" t="s">
        <v>87</v>
      </c>
      <c r="J111" s="10" t="s">
        <v>88</v>
      </c>
      <c r="K111" s="10" t="s">
        <v>45</v>
      </c>
      <c r="L111" s="10" t="s">
        <v>46</v>
      </c>
      <c r="M111" s="10" t="s">
        <v>1666</v>
      </c>
      <c r="N111" s="11">
        <v>1153.53</v>
      </c>
      <c r="O111" s="12">
        <v>7</v>
      </c>
      <c r="P111" s="13">
        <v>0.5</v>
      </c>
      <c r="Q111" s="19">
        <v>-340.97</v>
      </c>
      <c r="R111" s="45" t="str">
        <f t="shared" si="4"/>
        <v>OK</v>
      </c>
      <c r="S111" s="45">
        <f t="shared" si="5"/>
        <v>1259.4063636363637</v>
      </c>
      <c r="T111" s="45">
        <f t="shared" si="6"/>
        <v>11</v>
      </c>
      <c r="U111" s="45">
        <f t="shared" si="7"/>
        <v>13853.470000000001</v>
      </c>
    </row>
    <row r="112" spans="1:21" x14ac:dyDescent="0.3">
      <c r="A112" s="17" t="s">
        <v>773</v>
      </c>
      <c r="B112" s="32">
        <v>44360</v>
      </c>
      <c r="C112" s="32">
        <v>44363</v>
      </c>
      <c r="D112" s="8" t="s">
        <v>18</v>
      </c>
      <c r="E112" s="8" t="s">
        <v>293</v>
      </c>
      <c r="F112" s="10" t="s">
        <v>294</v>
      </c>
      <c r="G112" s="10" t="s">
        <v>21</v>
      </c>
      <c r="H112" s="10" t="s">
        <v>193</v>
      </c>
      <c r="I112" s="10" t="s">
        <v>194</v>
      </c>
      <c r="J112" s="10" t="s">
        <v>34</v>
      </c>
      <c r="K112" s="10" t="s">
        <v>25</v>
      </c>
      <c r="L112" s="10" t="s">
        <v>68</v>
      </c>
      <c r="M112" s="10" t="s">
        <v>774</v>
      </c>
      <c r="N112" s="11">
        <v>34.97</v>
      </c>
      <c r="O112" s="12">
        <v>4</v>
      </c>
      <c r="P112" s="13">
        <v>0.3</v>
      </c>
      <c r="Q112" s="19">
        <v>1.57</v>
      </c>
      <c r="R112" s="45" t="str">
        <f t="shared" si="4"/>
        <v>OK</v>
      </c>
      <c r="S112" s="45">
        <f t="shared" si="5"/>
        <v>1259.4063636363637</v>
      </c>
      <c r="T112" s="45">
        <f t="shared" si="6"/>
        <v>11</v>
      </c>
      <c r="U112" s="45">
        <f t="shared" si="7"/>
        <v>13853.470000000001</v>
      </c>
    </row>
    <row r="113" spans="1:21" x14ac:dyDescent="0.3">
      <c r="A113" s="17" t="s">
        <v>558</v>
      </c>
      <c r="B113" s="32">
        <v>44362</v>
      </c>
      <c r="C113" s="32">
        <v>44364</v>
      </c>
      <c r="D113" s="8" t="s">
        <v>39</v>
      </c>
      <c r="E113" s="8" t="s">
        <v>244</v>
      </c>
      <c r="F113" s="10" t="s">
        <v>245</v>
      </c>
      <c r="G113" s="10" t="s">
        <v>42</v>
      </c>
      <c r="H113" s="10" t="s">
        <v>79</v>
      </c>
      <c r="I113" s="10" t="s">
        <v>80</v>
      </c>
      <c r="J113" s="10" t="s">
        <v>54</v>
      </c>
      <c r="K113" s="10" t="s">
        <v>25</v>
      </c>
      <c r="L113" s="10" t="s">
        <v>26</v>
      </c>
      <c r="M113" s="10" t="s">
        <v>559</v>
      </c>
      <c r="N113" s="11">
        <v>1324.45</v>
      </c>
      <c r="O113" s="12">
        <v>4</v>
      </c>
      <c r="P113" s="13">
        <v>0.2</v>
      </c>
      <c r="Q113" s="19">
        <v>-22.57</v>
      </c>
      <c r="R113" s="45" t="str">
        <f t="shared" si="4"/>
        <v>OK</v>
      </c>
      <c r="S113" s="45">
        <f t="shared" si="5"/>
        <v>1259.4063636363637</v>
      </c>
      <c r="T113" s="45">
        <f t="shared" si="6"/>
        <v>11</v>
      </c>
      <c r="U113" s="45">
        <f t="shared" si="7"/>
        <v>13853.470000000001</v>
      </c>
    </row>
    <row r="114" spans="1:21" x14ac:dyDescent="0.3">
      <c r="A114" s="17" t="s">
        <v>1884</v>
      </c>
      <c r="B114" s="32">
        <v>44362</v>
      </c>
      <c r="C114" s="32">
        <v>44367</v>
      </c>
      <c r="D114" s="8" t="s">
        <v>29</v>
      </c>
      <c r="E114" s="8" t="s">
        <v>120</v>
      </c>
      <c r="F114" s="10" t="s">
        <v>121</v>
      </c>
      <c r="G114" s="10" t="s">
        <v>21</v>
      </c>
      <c r="H114" s="10" t="s">
        <v>122</v>
      </c>
      <c r="I114" s="10" t="s">
        <v>123</v>
      </c>
      <c r="J114" s="10" t="s">
        <v>24</v>
      </c>
      <c r="K114" s="10" t="s">
        <v>35</v>
      </c>
      <c r="L114" s="10" t="s">
        <v>295</v>
      </c>
      <c r="M114" s="10" t="s">
        <v>1885</v>
      </c>
      <c r="N114" s="11">
        <v>149.80000000000001</v>
      </c>
      <c r="O114" s="12">
        <v>4</v>
      </c>
      <c r="P114" s="13">
        <v>0.05</v>
      </c>
      <c r="Q114" s="19">
        <v>76.010000000000005</v>
      </c>
      <c r="R114" s="45" t="str">
        <f t="shared" si="4"/>
        <v>OK</v>
      </c>
      <c r="S114" s="45">
        <f t="shared" si="5"/>
        <v>1259.4063636363637</v>
      </c>
      <c r="T114" s="45">
        <f t="shared" si="6"/>
        <v>11</v>
      </c>
      <c r="U114" s="45">
        <f t="shared" si="7"/>
        <v>13853.470000000001</v>
      </c>
    </row>
    <row r="115" spans="1:21" x14ac:dyDescent="0.3">
      <c r="A115" s="17" t="s">
        <v>2153</v>
      </c>
      <c r="B115" s="32">
        <v>44365</v>
      </c>
      <c r="C115" s="32">
        <v>44370</v>
      </c>
      <c r="D115" s="8" t="s">
        <v>29</v>
      </c>
      <c r="E115" s="8" t="s">
        <v>1360</v>
      </c>
      <c r="F115" s="10" t="s">
        <v>1361</v>
      </c>
      <c r="G115" s="10" t="s">
        <v>21</v>
      </c>
      <c r="H115" s="10" t="s">
        <v>156</v>
      </c>
      <c r="I115" s="10" t="s">
        <v>157</v>
      </c>
      <c r="J115" s="10" t="s">
        <v>88</v>
      </c>
      <c r="K115" s="10" t="s">
        <v>25</v>
      </c>
      <c r="L115" s="10" t="s">
        <v>74</v>
      </c>
      <c r="M115" s="10" t="s">
        <v>2154</v>
      </c>
      <c r="N115" s="11">
        <v>1922.99</v>
      </c>
      <c r="O115" s="12">
        <v>5</v>
      </c>
      <c r="P115" s="13">
        <v>0.05</v>
      </c>
      <c r="Q115" s="19">
        <v>726.18</v>
      </c>
      <c r="R115" s="45" t="str">
        <f t="shared" si="4"/>
        <v>OK</v>
      </c>
      <c r="S115" s="45">
        <f t="shared" si="5"/>
        <v>1259.4063636363637</v>
      </c>
      <c r="T115" s="45">
        <f t="shared" si="6"/>
        <v>11</v>
      </c>
      <c r="U115" s="45">
        <f t="shared" si="7"/>
        <v>13853.470000000001</v>
      </c>
    </row>
    <row r="116" spans="1:21" x14ac:dyDescent="0.3">
      <c r="A116" s="16" t="s">
        <v>2427</v>
      </c>
      <c r="B116" s="31">
        <v>44369</v>
      </c>
      <c r="C116" s="31">
        <v>44374</v>
      </c>
      <c r="D116" s="2" t="s">
        <v>73</v>
      </c>
      <c r="E116" s="2" t="s">
        <v>813</v>
      </c>
      <c r="F116" s="4" t="s">
        <v>814</v>
      </c>
      <c r="G116" s="4" t="s">
        <v>51</v>
      </c>
      <c r="H116" s="4" t="s">
        <v>134</v>
      </c>
      <c r="I116" s="4" t="s">
        <v>87</v>
      </c>
      <c r="J116" s="4" t="s">
        <v>88</v>
      </c>
      <c r="K116" s="4" t="s">
        <v>25</v>
      </c>
      <c r="L116" s="4" t="s">
        <v>124</v>
      </c>
      <c r="M116" s="4" t="s">
        <v>2428</v>
      </c>
      <c r="N116" s="5">
        <v>18847.8</v>
      </c>
      <c r="O116" s="6">
        <v>9</v>
      </c>
      <c r="P116" s="7">
        <v>0</v>
      </c>
      <c r="Q116" s="18">
        <v>5185.87</v>
      </c>
      <c r="R116" s="45" t="str">
        <f t="shared" si="4"/>
        <v>OK</v>
      </c>
      <c r="S116" s="45">
        <f t="shared" si="5"/>
        <v>1259.4063636363637</v>
      </c>
      <c r="T116" s="45">
        <f t="shared" si="6"/>
        <v>11</v>
      </c>
      <c r="U116" s="45">
        <f t="shared" si="7"/>
        <v>13853.470000000001</v>
      </c>
    </row>
    <row r="117" spans="1:21" x14ac:dyDescent="0.3">
      <c r="A117" s="17" t="s">
        <v>621</v>
      </c>
      <c r="B117" s="32">
        <v>44370</v>
      </c>
      <c r="C117" s="32">
        <v>44375</v>
      </c>
      <c r="D117" s="8" t="s">
        <v>73</v>
      </c>
      <c r="E117" s="8" t="s">
        <v>376</v>
      </c>
      <c r="F117" s="10" t="s">
        <v>377</v>
      </c>
      <c r="G117" s="10" t="s">
        <v>42</v>
      </c>
      <c r="H117" s="10" t="s">
        <v>122</v>
      </c>
      <c r="I117" s="10" t="s">
        <v>123</v>
      </c>
      <c r="J117" s="10" t="s">
        <v>24</v>
      </c>
      <c r="K117" s="10" t="s">
        <v>25</v>
      </c>
      <c r="L117" s="10" t="s">
        <v>26</v>
      </c>
      <c r="M117" s="10" t="s">
        <v>622</v>
      </c>
      <c r="N117" s="11">
        <v>1573.09</v>
      </c>
      <c r="O117" s="12">
        <v>1</v>
      </c>
      <c r="P117" s="13">
        <v>0.1</v>
      </c>
      <c r="Q117" s="19">
        <v>198.89</v>
      </c>
      <c r="R117" s="45" t="str">
        <f t="shared" si="4"/>
        <v>OK</v>
      </c>
      <c r="S117" s="45">
        <f t="shared" si="5"/>
        <v>1259.4063636363637</v>
      </c>
      <c r="T117" s="45">
        <f t="shared" si="6"/>
        <v>11</v>
      </c>
      <c r="U117" s="45">
        <f t="shared" si="7"/>
        <v>13853.470000000001</v>
      </c>
    </row>
    <row r="118" spans="1:21" x14ac:dyDescent="0.3">
      <c r="A118" s="17" t="s">
        <v>1856</v>
      </c>
      <c r="B118" s="32">
        <v>44371</v>
      </c>
      <c r="C118" s="32">
        <v>44378</v>
      </c>
      <c r="D118" s="8" t="s">
        <v>29</v>
      </c>
      <c r="E118" s="8" t="s">
        <v>376</v>
      </c>
      <c r="F118" s="10" t="s">
        <v>377</v>
      </c>
      <c r="G118" s="10" t="s">
        <v>42</v>
      </c>
      <c r="H118" s="10" t="s">
        <v>122</v>
      </c>
      <c r="I118" s="10" t="s">
        <v>123</v>
      </c>
      <c r="J118" s="10" t="s">
        <v>24</v>
      </c>
      <c r="K118" s="10" t="s">
        <v>45</v>
      </c>
      <c r="L118" s="10" t="s">
        <v>99</v>
      </c>
      <c r="M118" s="10" t="s">
        <v>1857</v>
      </c>
      <c r="N118" s="11">
        <v>182.68</v>
      </c>
      <c r="O118" s="12">
        <v>4</v>
      </c>
      <c r="P118" s="13">
        <v>0</v>
      </c>
      <c r="Q118" s="19">
        <v>66.05</v>
      </c>
      <c r="R118" s="45" t="str">
        <f t="shared" si="4"/>
        <v>OK</v>
      </c>
      <c r="S118" s="45">
        <f t="shared" si="5"/>
        <v>1259.4063636363637</v>
      </c>
      <c r="T118" s="45">
        <f t="shared" si="6"/>
        <v>11</v>
      </c>
      <c r="U118" s="45">
        <f t="shared" si="7"/>
        <v>13853.470000000001</v>
      </c>
    </row>
    <row r="119" spans="1:21" x14ac:dyDescent="0.3">
      <c r="A119" s="17" t="s">
        <v>841</v>
      </c>
      <c r="B119" s="32">
        <v>44373</v>
      </c>
      <c r="C119" s="32">
        <v>44374</v>
      </c>
      <c r="D119" s="8" t="s">
        <v>18</v>
      </c>
      <c r="E119" s="8" t="s">
        <v>426</v>
      </c>
      <c r="F119" s="10" t="s">
        <v>427</v>
      </c>
      <c r="G119" s="10" t="s">
        <v>42</v>
      </c>
      <c r="H119" s="10" t="s">
        <v>412</v>
      </c>
      <c r="I119" s="10" t="s">
        <v>178</v>
      </c>
      <c r="J119" s="10" t="s">
        <v>24</v>
      </c>
      <c r="K119" s="10" t="s">
        <v>25</v>
      </c>
      <c r="L119" s="10" t="s">
        <v>68</v>
      </c>
      <c r="M119" s="10" t="s">
        <v>842</v>
      </c>
      <c r="N119" s="11">
        <v>458.38</v>
      </c>
      <c r="O119" s="12">
        <v>7</v>
      </c>
      <c r="P119" s="13">
        <v>0.05</v>
      </c>
      <c r="Q119" s="19">
        <v>203</v>
      </c>
      <c r="R119" s="45" t="str">
        <f t="shared" si="4"/>
        <v>OK</v>
      </c>
      <c r="S119" s="45">
        <f t="shared" si="5"/>
        <v>1259.4063636363637</v>
      </c>
      <c r="T119" s="45">
        <f t="shared" si="6"/>
        <v>11</v>
      </c>
      <c r="U119" s="45">
        <f t="shared" si="7"/>
        <v>13853.470000000001</v>
      </c>
    </row>
    <row r="120" spans="1:21" x14ac:dyDescent="0.3">
      <c r="A120" s="16" t="s">
        <v>603</v>
      </c>
      <c r="B120" s="31">
        <v>44376</v>
      </c>
      <c r="C120" s="31">
        <v>44379</v>
      </c>
      <c r="D120" s="2" t="s">
        <v>18</v>
      </c>
      <c r="E120" s="2" t="s">
        <v>484</v>
      </c>
      <c r="F120" s="4" t="s">
        <v>485</v>
      </c>
      <c r="G120" s="4" t="s">
        <v>21</v>
      </c>
      <c r="H120" s="4" t="s">
        <v>86</v>
      </c>
      <c r="I120" s="4" t="s">
        <v>87</v>
      </c>
      <c r="J120" s="4" t="s">
        <v>88</v>
      </c>
      <c r="K120" s="4" t="s">
        <v>45</v>
      </c>
      <c r="L120" s="4" t="s">
        <v>99</v>
      </c>
      <c r="M120" s="4" t="s">
        <v>604</v>
      </c>
      <c r="N120" s="5">
        <v>253.73</v>
      </c>
      <c r="O120" s="6">
        <v>6</v>
      </c>
      <c r="P120" s="7">
        <v>0.2</v>
      </c>
      <c r="Q120" s="18">
        <v>30.1</v>
      </c>
      <c r="R120" s="45" t="str">
        <f t="shared" si="4"/>
        <v>OK</v>
      </c>
      <c r="S120" s="45">
        <f t="shared" si="5"/>
        <v>1259.4063636363637</v>
      </c>
      <c r="T120" s="45">
        <f t="shared" si="6"/>
        <v>11</v>
      </c>
      <c r="U120" s="45">
        <f t="shared" si="7"/>
        <v>13853.470000000001</v>
      </c>
    </row>
    <row r="121" spans="1:21" x14ac:dyDescent="0.3">
      <c r="A121" s="16" t="s">
        <v>180</v>
      </c>
      <c r="B121" s="31">
        <v>44378</v>
      </c>
      <c r="C121" s="31">
        <v>44381</v>
      </c>
      <c r="D121" s="2" t="s">
        <v>39</v>
      </c>
      <c r="E121" s="2" t="s">
        <v>181</v>
      </c>
      <c r="F121" s="4" t="s">
        <v>182</v>
      </c>
      <c r="G121" s="4" t="s">
        <v>21</v>
      </c>
      <c r="H121" s="4" t="s">
        <v>183</v>
      </c>
      <c r="I121" s="4" t="s">
        <v>184</v>
      </c>
      <c r="J121" s="4" t="s">
        <v>54</v>
      </c>
      <c r="K121" s="4" t="s">
        <v>45</v>
      </c>
      <c r="L121" s="4" t="s">
        <v>117</v>
      </c>
      <c r="M121" s="4" t="s">
        <v>185</v>
      </c>
      <c r="N121" s="5">
        <v>1444.5</v>
      </c>
      <c r="O121" s="6">
        <v>6</v>
      </c>
      <c r="P121" s="7">
        <v>0</v>
      </c>
      <c r="Q121" s="18">
        <v>372.98</v>
      </c>
      <c r="R121" s="45" t="str">
        <f t="shared" si="4"/>
        <v>OK</v>
      </c>
      <c r="S121" s="45">
        <f t="shared" si="5"/>
        <v>1259.4063636363637</v>
      </c>
      <c r="T121" s="45">
        <f t="shared" si="6"/>
        <v>11</v>
      </c>
      <c r="U121" s="45">
        <f t="shared" si="7"/>
        <v>13853.470000000001</v>
      </c>
    </row>
    <row r="122" spans="1:21" x14ac:dyDescent="0.3">
      <c r="A122" s="16" t="s">
        <v>326</v>
      </c>
      <c r="B122" s="31">
        <v>44380</v>
      </c>
      <c r="C122" s="31">
        <v>44384</v>
      </c>
      <c r="D122" s="2" t="s">
        <v>39</v>
      </c>
      <c r="E122" s="2" t="s">
        <v>309</v>
      </c>
      <c r="F122" s="4" t="s">
        <v>310</v>
      </c>
      <c r="G122" s="4" t="s">
        <v>21</v>
      </c>
      <c r="H122" s="4" t="s">
        <v>115</v>
      </c>
      <c r="I122" s="4" t="s">
        <v>116</v>
      </c>
      <c r="J122" s="4" t="s">
        <v>54</v>
      </c>
      <c r="K122" s="4" t="s">
        <v>35</v>
      </c>
      <c r="L122" s="4" t="s">
        <v>89</v>
      </c>
      <c r="M122" s="4" t="s">
        <v>327</v>
      </c>
      <c r="N122" s="5">
        <v>1250.93</v>
      </c>
      <c r="O122" s="6">
        <v>9</v>
      </c>
      <c r="P122" s="7">
        <v>0.2</v>
      </c>
      <c r="Q122" s="18">
        <v>333.8</v>
      </c>
      <c r="R122" s="45" t="str">
        <f t="shared" si="4"/>
        <v>OK</v>
      </c>
      <c r="S122" s="45">
        <f t="shared" si="5"/>
        <v>1259.4063636363637</v>
      </c>
      <c r="T122" s="45">
        <f t="shared" si="6"/>
        <v>11</v>
      </c>
      <c r="U122" s="45">
        <f t="shared" si="7"/>
        <v>13853.470000000001</v>
      </c>
    </row>
    <row r="123" spans="1:21" x14ac:dyDescent="0.3">
      <c r="A123" s="17" t="s">
        <v>710</v>
      </c>
      <c r="B123" s="32">
        <v>44380</v>
      </c>
      <c r="C123" s="32">
        <v>44383</v>
      </c>
      <c r="D123" s="8" t="s">
        <v>18</v>
      </c>
      <c r="E123" s="8" t="s">
        <v>420</v>
      </c>
      <c r="F123" s="10" t="s">
        <v>421</v>
      </c>
      <c r="G123" s="10" t="s">
        <v>51</v>
      </c>
      <c r="H123" s="10" t="s">
        <v>422</v>
      </c>
      <c r="I123" s="10" t="s">
        <v>423</v>
      </c>
      <c r="J123" s="10" t="s">
        <v>88</v>
      </c>
      <c r="K123" s="10" t="s">
        <v>25</v>
      </c>
      <c r="L123" s="10" t="s">
        <v>26</v>
      </c>
      <c r="M123" s="10" t="s">
        <v>711</v>
      </c>
      <c r="N123" s="11">
        <v>1053.67</v>
      </c>
      <c r="O123" s="12">
        <v>9</v>
      </c>
      <c r="P123" s="13">
        <v>0.5</v>
      </c>
      <c r="Q123" s="19">
        <v>-487.2</v>
      </c>
      <c r="R123" s="45" t="str">
        <f t="shared" si="4"/>
        <v>OK</v>
      </c>
      <c r="S123" s="45">
        <f t="shared" si="5"/>
        <v>1259.4063636363637</v>
      </c>
      <c r="T123" s="45">
        <f t="shared" si="6"/>
        <v>11</v>
      </c>
      <c r="U123" s="45">
        <f t="shared" si="7"/>
        <v>13853.470000000001</v>
      </c>
    </row>
    <row r="124" spans="1:21" x14ac:dyDescent="0.3">
      <c r="A124" s="17" t="s">
        <v>48</v>
      </c>
      <c r="B124" s="32">
        <v>44381</v>
      </c>
      <c r="C124" s="32">
        <v>44383</v>
      </c>
      <c r="D124" s="8" t="s">
        <v>18</v>
      </c>
      <c r="E124" s="8" t="s">
        <v>49</v>
      </c>
      <c r="F124" s="10" t="s">
        <v>50</v>
      </c>
      <c r="G124" s="10" t="s">
        <v>51</v>
      </c>
      <c r="H124" s="10" t="s">
        <v>52</v>
      </c>
      <c r="I124" s="10" t="s">
        <v>53</v>
      </c>
      <c r="J124" s="10" t="s">
        <v>54</v>
      </c>
      <c r="K124" s="10" t="s">
        <v>45</v>
      </c>
      <c r="L124" s="10" t="s">
        <v>46</v>
      </c>
      <c r="M124" s="10" t="s">
        <v>55</v>
      </c>
      <c r="N124" s="11">
        <v>1727.45</v>
      </c>
      <c r="O124" s="12">
        <v>5</v>
      </c>
      <c r="P124" s="13">
        <v>0</v>
      </c>
      <c r="Q124" s="19">
        <v>564.62</v>
      </c>
      <c r="R124" s="45" t="str">
        <f t="shared" si="4"/>
        <v>OK</v>
      </c>
      <c r="S124" s="45">
        <f t="shared" si="5"/>
        <v>1259.4063636363637</v>
      </c>
      <c r="T124" s="45">
        <f t="shared" si="6"/>
        <v>11</v>
      </c>
      <c r="U124" s="45">
        <f t="shared" si="7"/>
        <v>13853.470000000001</v>
      </c>
    </row>
    <row r="125" spans="1:21" x14ac:dyDescent="0.3">
      <c r="A125" s="16" t="s">
        <v>2010</v>
      </c>
      <c r="B125" s="31">
        <v>44381</v>
      </c>
      <c r="C125" s="31">
        <v>44388</v>
      </c>
      <c r="D125" s="2" t="s">
        <v>29</v>
      </c>
      <c r="E125" s="2" t="s">
        <v>1270</v>
      </c>
      <c r="F125" s="4" t="s">
        <v>1271</v>
      </c>
      <c r="G125" s="4" t="s">
        <v>51</v>
      </c>
      <c r="H125" s="4" t="s">
        <v>412</v>
      </c>
      <c r="I125" s="4" t="s">
        <v>178</v>
      </c>
      <c r="J125" s="4" t="s">
        <v>24</v>
      </c>
      <c r="K125" s="4" t="s">
        <v>45</v>
      </c>
      <c r="L125" s="4" t="s">
        <v>46</v>
      </c>
      <c r="M125" s="4" t="s">
        <v>2011</v>
      </c>
      <c r="N125" s="5">
        <v>5130.6499999999996</v>
      </c>
      <c r="O125" s="6">
        <v>10</v>
      </c>
      <c r="P125" s="7">
        <v>0.3</v>
      </c>
      <c r="Q125" s="18">
        <v>777.93</v>
      </c>
      <c r="R125" s="45" t="str">
        <f t="shared" si="4"/>
        <v>OK</v>
      </c>
      <c r="S125" s="45">
        <f t="shared" si="5"/>
        <v>1259.4063636363637</v>
      </c>
      <c r="T125" s="45">
        <f t="shared" si="6"/>
        <v>11</v>
      </c>
      <c r="U125" s="45">
        <f t="shared" si="7"/>
        <v>13853.470000000001</v>
      </c>
    </row>
    <row r="126" spans="1:21" x14ac:dyDescent="0.3">
      <c r="A126" s="16" t="s">
        <v>1743</v>
      </c>
      <c r="B126" s="31">
        <v>44386</v>
      </c>
      <c r="C126" s="31">
        <v>44388</v>
      </c>
      <c r="D126" s="2" t="s">
        <v>18</v>
      </c>
      <c r="E126" s="2" t="s">
        <v>1089</v>
      </c>
      <c r="F126" s="4" t="s">
        <v>1090</v>
      </c>
      <c r="G126" s="4" t="s">
        <v>51</v>
      </c>
      <c r="H126" s="4" t="s">
        <v>1091</v>
      </c>
      <c r="I126" s="4" t="s">
        <v>23</v>
      </c>
      <c r="J126" s="4" t="s">
        <v>24</v>
      </c>
      <c r="K126" s="4" t="s">
        <v>45</v>
      </c>
      <c r="L126" s="4" t="s">
        <v>99</v>
      </c>
      <c r="M126" s="4" t="s">
        <v>1744</v>
      </c>
      <c r="N126" s="5">
        <v>570.1</v>
      </c>
      <c r="O126" s="6">
        <v>10</v>
      </c>
      <c r="P126" s="7">
        <v>0</v>
      </c>
      <c r="Q126" s="18">
        <v>226.91</v>
      </c>
      <c r="R126" s="45" t="str">
        <f t="shared" si="4"/>
        <v>OK</v>
      </c>
      <c r="S126" s="45">
        <f t="shared" si="5"/>
        <v>1259.4063636363637</v>
      </c>
      <c r="T126" s="45">
        <f t="shared" si="6"/>
        <v>11</v>
      </c>
      <c r="U126" s="45">
        <f t="shared" si="7"/>
        <v>13853.470000000001</v>
      </c>
    </row>
    <row r="127" spans="1:21" x14ac:dyDescent="0.3">
      <c r="A127" s="16" t="s">
        <v>1743</v>
      </c>
      <c r="B127" s="31">
        <v>44386</v>
      </c>
      <c r="C127" s="31">
        <v>44388</v>
      </c>
      <c r="D127" s="2" t="s">
        <v>18</v>
      </c>
      <c r="E127" s="2" t="s">
        <v>1089</v>
      </c>
      <c r="F127" s="4" t="s">
        <v>1090</v>
      </c>
      <c r="G127" s="4" t="s">
        <v>51</v>
      </c>
      <c r="H127" s="4" t="s">
        <v>1091</v>
      </c>
      <c r="I127" s="4" t="s">
        <v>23</v>
      </c>
      <c r="J127" s="4" t="s">
        <v>24</v>
      </c>
      <c r="K127" s="4" t="s">
        <v>45</v>
      </c>
      <c r="L127" s="4" t="s">
        <v>99</v>
      </c>
      <c r="M127" s="4" t="s">
        <v>1744</v>
      </c>
      <c r="N127" s="5">
        <v>570.1</v>
      </c>
      <c r="O127" s="6">
        <v>10</v>
      </c>
      <c r="P127" s="7">
        <v>0</v>
      </c>
      <c r="Q127" s="18">
        <v>226.91</v>
      </c>
      <c r="R127" s="45" t="str">
        <f t="shared" si="4"/>
        <v>OK</v>
      </c>
      <c r="S127" s="45">
        <f t="shared" si="5"/>
        <v>1259.4063636363637</v>
      </c>
      <c r="T127" s="45">
        <f t="shared" si="6"/>
        <v>11</v>
      </c>
      <c r="U127" s="45">
        <f t="shared" si="7"/>
        <v>13853.470000000001</v>
      </c>
    </row>
    <row r="128" spans="1:21" x14ac:dyDescent="0.3">
      <c r="A128" s="16" t="s">
        <v>1534</v>
      </c>
      <c r="B128" s="31">
        <v>44387</v>
      </c>
      <c r="C128" s="31">
        <v>44390</v>
      </c>
      <c r="D128" s="2" t="s">
        <v>18</v>
      </c>
      <c r="E128" s="2" t="s">
        <v>389</v>
      </c>
      <c r="F128" s="4" t="s">
        <v>390</v>
      </c>
      <c r="G128" s="4" t="s">
        <v>51</v>
      </c>
      <c r="H128" s="4" t="s">
        <v>59</v>
      </c>
      <c r="I128" s="4" t="s">
        <v>60</v>
      </c>
      <c r="J128" s="4" t="s">
        <v>54</v>
      </c>
      <c r="K128" s="4" t="s">
        <v>45</v>
      </c>
      <c r="L128" s="4" t="s">
        <v>99</v>
      </c>
      <c r="M128" s="4" t="s">
        <v>1535</v>
      </c>
      <c r="N128" s="5">
        <v>633.47</v>
      </c>
      <c r="O128" s="6">
        <v>7</v>
      </c>
      <c r="P128" s="7">
        <v>0.3</v>
      </c>
      <c r="Q128" s="18">
        <v>79.56</v>
      </c>
      <c r="R128" s="45" t="str">
        <f t="shared" si="4"/>
        <v>OK</v>
      </c>
      <c r="S128" s="45">
        <f t="shared" si="5"/>
        <v>1259.4063636363637</v>
      </c>
      <c r="T128" s="45">
        <f t="shared" si="6"/>
        <v>11</v>
      </c>
      <c r="U128" s="45">
        <f t="shared" si="7"/>
        <v>13853.470000000001</v>
      </c>
    </row>
    <row r="129" spans="1:21" x14ac:dyDescent="0.3">
      <c r="A129" s="17" t="s">
        <v>1800</v>
      </c>
      <c r="B129" s="32">
        <v>44387</v>
      </c>
      <c r="C129" s="32">
        <v>44390</v>
      </c>
      <c r="D129" s="8" t="s">
        <v>18</v>
      </c>
      <c r="E129" s="8" t="s">
        <v>1064</v>
      </c>
      <c r="F129" s="10" t="s">
        <v>1065</v>
      </c>
      <c r="G129" s="10" t="s">
        <v>51</v>
      </c>
      <c r="H129" s="10" t="s">
        <v>122</v>
      </c>
      <c r="I129" s="10" t="s">
        <v>123</v>
      </c>
      <c r="J129" s="10" t="s">
        <v>24</v>
      </c>
      <c r="K129" s="10" t="s">
        <v>25</v>
      </c>
      <c r="L129" s="10" t="s">
        <v>68</v>
      </c>
      <c r="M129" s="10" t="s">
        <v>1801</v>
      </c>
      <c r="N129" s="11">
        <v>954.56</v>
      </c>
      <c r="O129" s="12">
        <v>9</v>
      </c>
      <c r="P129" s="13">
        <v>0.4</v>
      </c>
      <c r="Q129" s="19">
        <v>-64.239999999999995</v>
      </c>
      <c r="R129" s="45" t="str">
        <f t="shared" si="4"/>
        <v>OK</v>
      </c>
      <c r="S129" s="45">
        <f t="shared" si="5"/>
        <v>1259.4063636363637</v>
      </c>
      <c r="T129" s="45">
        <f t="shared" si="6"/>
        <v>11</v>
      </c>
      <c r="U129" s="45">
        <f t="shared" si="7"/>
        <v>13853.470000000001</v>
      </c>
    </row>
    <row r="130" spans="1:21" x14ac:dyDescent="0.3">
      <c r="A130" s="17" t="s">
        <v>2282</v>
      </c>
      <c r="B130" s="32">
        <v>44387</v>
      </c>
      <c r="C130" s="32">
        <v>44390</v>
      </c>
      <c r="D130" s="8" t="s">
        <v>18</v>
      </c>
      <c r="E130" s="8" t="s">
        <v>1578</v>
      </c>
      <c r="F130" s="10" t="s">
        <v>1579</v>
      </c>
      <c r="G130" s="10" t="s">
        <v>51</v>
      </c>
      <c r="H130" s="10" t="s">
        <v>207</v>
      </c>
      <c r="I130" s="10" t="s">
        <v>60</v>
      </c>
      <c r="J130" s="10" t="s">
        <v>54</v>
      </c>
      <c r="K130" s="10" t="s">
        <v>35</v>
      </c>
      <c r="L130" s="10" t="s">
        <v>89</v>
      </c>
      <c r="M130" s="10" t="s">
        <v>2283</v>
      </c>
      <c r="N130" s="11">
        <v>857.46</v>
      </c>
      <c r="O130" s="12">
        <v>6</v>
      </c>
      <c r="P130" s="13">
        <v>0.5</v>
      </c>
      <c r="Q130" s="19">
        <v>-120.72</v>
      </c>
      <c r="R130" s="45" t="str">
        <f t="shared" ref="R130:R193" si="8">IF(C130&lt;B130,"Error","OK")</f>
        <v>OK</v>
      </c>
      <c r="S130" s="45">
        <f t="shared" ref="S130:S193" si="9">AVERAGEIF(E130:E1128,"CU-1057",N130:N1128)</f>
        <v>1259.4063636363637</v>
      </c>
      <c r="T130" s="45">
        <f t="shared" ref="T130:T193" si="10">COUNTIF(E130:E1128,"CU-1057")</f>
        <v>11</v>
      </c>
      <c r="U130" s="45">
        <f t="shared" ref="U130:U193" si="11">SUMIF(E130:E1128,"CU-1057",N130:N1128)</f>
        <v>13853.470000000001</v>
      </c>
    </row>
    <row r="131" spans="1:21" x14ac:dyDescent="0.3">
      <c r="A131" s="16" t="s">
        <v>1636</v>
      </c>
      <c r="B131" s="31">
        <v>44393</v>
      </c>
      <c r="C131" s="31">
        <v>44396</v>
      </c>
      <c r="D131" s="2" t="s">
        <v>39</v>
      </c>
      <c r="E131" s="2" t="s">
        <v>723</v>
      </c>
      <c r="F131" s="4" t="s">
        <v>724</v>
      </c>
      <c r="G131" s="4" t="s">
        <v>21</v>
      </c>
      <c r="H131" s="4" t="s">
        <v>98</v>
      </c>
      <c r="I131" s="4" t="s">
        <v>80</v>
      </c>
      <c r="J131" s="4" t="s">
        <v>54</v>
      </c>
      <c r="K131" s="4" t="s">
        <v>45</v>
      </c>
      <c r="L131" s="4" t="s">
        <v>61</v>
      </c>
      <c r="M131" s="4" t="s">
        <v>1637</v>
      </c>
      <c r="N131" s="5">
        <v>6022.24</v>
      </c>
      <c r="O131" s="6">
        <v>7</v>
      </c>
      <c r="P131" s="7">
        <v>0</v>
      </c>
      <c r="Q131" s="18">
        <v>191.76</v>
      </c>
      <c r="R131" s="45" t="str">
        <f t="shared" si="8"/>
        <v>OK</v>
      </c>
      <c r="S131" s="45">
        <f t="shared" si="9"/>
        <v>1259.4063636363637</v>
      </c>
      <c r="T131" s="45">
        <f t="shared" si="10"/>
        <v>11</v>
      </c>
      <c r="U131" s="45">
        <f t="shared" si="11"/>
        <v>13853.470000000001</v>
      </c>
    </row>
    <row r="132" spans="1:21" x14ac:dyDescent="0.3">
      <c r="A132" s="17" t="s">
        <v>2060</v>
      </c>
      <c r="B132" s="32">
        <v>44394</v>
      </c>
      <c r="C132" s="32">
        <v>44397</v>
      </c>
      <c r="D132" s="8" t="s">
        <v>18</v>
      </c>
      <c r="E132" s="8" t="s">
        <v>303</v>
      </c>
      <c r="F132" s="10" t="s">
        <v>304</v>
      </c>
      <c r="G132" s="10" t="s">
        <v>42</v>
      </c>
      <c r="H132" s="10" t="s">
        <v>305</v>
      </c>
      <c r="I132" s="10" t="s">
        <v>306</v>
      </c>
      <c r="J132" s="10" t="s">
        <v>34</v>
      </c>
      <c r="K132" s="10" t="s">
        <v>45</v>
      </c>
      <c r="L132" s="10" t="s">
        <v>117</v>
      </c>
      <c r="M132" s="10" t="s">
        <v>2061</v>
      </c>
      <c r="N132" s="11">
        <v>290.57</v>
      </c>
      <c r="O132" s="12">
        <v>5</v>
      </c>
      <c r="P132" s="13">
        <v>0.3</v>
      </c>
      <c r="Q132" s="19">
        <v>-30.82</v>
      </c>
      <c r="R132" s="45" t="str">
        <f t="shared" si="8"/>
        <v>OK</v>
      </c>
      <c r="S132" s="45">
        <f t="shared" si="9"/>
        <v>1259.4063636363637</v>
      </c>
      <c r="T132" s="45">
        <f t="shared" si="10"/>
        <v>11</v>
      </c>
      <c r="U132" s="45">
        <f t="shared" si="11"/>
        <v>13853.470000000001</v>
      </c>
    </row>
    <row r="133" spans="1:21" x14ac:dyDescent="0.3">
      <c r="A133" s="17" t="s">
        <v>2342</v>
      </c>
      <c r="B133" s="32">
        <v>44397</v>
      </c>
      <c r="C133" s="32">
        <v>44400</v>
      </c>
      <c r="D133" s="8" t="s">
        <v>39</v>
      </c>
      <c r="E133" s="8" t="s">
        <v>504</v>
      </c>
      <c r="F133" s="10" t="s">
        <v>505</v>
      </c>
      <c r="G133" s="10" t="s">
        <v>42</v>
      </c>
      <c r="H133" s="10" t="s">
        <v>150</v>
      </c>
      <c r="I133" s="10" t="s">
        <v>151</v>
      </c>
      <c r="J133" s="10" t="s">
        <v>34</v>
      </c>
      <c r="K133" s="10" t="s">
        <v>35</v>
      </c>
      <c r="L133" s="10" t="s">
        <v>81</v>
      </c>
      <c r="M133" s="10" t="s">
        <v>2343</v>
      </c>
      <c r="N133" s="11">
        <v>138.49</v>
      </c>
      <c r="O133" s="12">
        <v>7</v>
      </c>
      <c r="P133" s="13">
        <v>0.2</v>
      </c>
      <c r="Q133" s="19">
        <v>54.73</v>
      </c>
      <c r="R133" s="45" t="str">
        <f t="shared" si="8"/>
        <v>OK</v>
      </c>
      <c r="S133" s="45">
        <f t="shared" si="9"/>
        <v>1259.4063636363637</v>
      </c>
      <c r="T133" s="45">
        <f t="shared" si="10"/>
        <v>11</v>
      </c>
      <c r="U133" s="45">
        <f t="shared" si="11"/>
        <v>13853.470000000001</v>
      </c>
    </row>
    <row r="134" spans="1:21" x14ac:dyDescent="0.3">
      <c r="A134" s="17" t="s">
        <v>63</v>
      </c>
      <c r="B134" s="32">
        <v>44399</v>
      </c>
      <c r="C134" s="32">
        <v>44406</v>
      </c>
      <c r="D134" s="8" t="s">
        <v>29</v>
      </c>
      <c r="E134" s="8" t="s">
        <v>64</v>
      </c>
      <c r="F134" s="10" t="s">
        <v>65</v>
      </c>
      <c r="G134" s="10" t="s">
        <v>51</v>
      </c>
      <c r="H134" s="10" t="s">
        <v>66</v>
      </c>
      <c r="I134" s="10" t="s">
        <v>67</v>
      </c>
      <c r="J134" s="10" t="s">
        <v>34</v>
      </c>
      <c r="K134" s="10" t="s">
        <v>25</v>
      </c>
      <c r="L134" s="10" t="s">
        <v>68</v>
      </c>
      <c r="M134" s="10" t="s">
        <v>69</v>
      </c>
      <c r="N134" s="11">
        <v>67.64</v>
      </c>
      <c r="O134" s="12">
        <v>4</v>
      </c>
      <c r="P134" s="13">
        <v>0.05</v>
      </c>
      <c r="Q134" s="19">
        <v>22.59</v>
      </c>
      <c r="R134" s="45" t="str">
        <f t="shared" si="8"/>
        <v>OK</v>
      </c>
      <c r="S134" s="45">
        <f t="shared" si="9"/>
        <v>1259.4063636363637</v>
      </c>
      <c r="T134" s="45">
        <f t="shared" si="10"/>
        <v>11</v>
      </c>
      <c r="U134" s="45">
        <f t="shared" si="11"/>
        <v>13853.470000000001</v>
      </c>
    </row>
    <row r="135" spans="1:21" x14ac:dyDescent="0.3">
      <c r="A135" s="16" t="s">
        <v>1094</v>
      </c>
      <c r="B135" s="31">
        <v>44400</v>
      </c>
      <c r="C135" s="31">
        <v>44405</v>
      </c>
      <c r="D135" s="2" t="s">
        <v>73</v>
      </c>
      <c r="E135" s="2" t="s">
        <v>553</v>
      </c>
      <c r="F135" s="4" t="s">
        <v>554</v>
      </c>
      <c r="G135" s="4" t="s">
        <v>42</v>
      </c>
      <c r="H135" s="4" t="s">
        <v>177</v>
      </c>
      <c r="I135" s="4" t="s">
        <v>178</v>
      </c>
      <c r="J135" s="4" t="s">
        <v>24</v>
      </c>
      <c r="K135" s="4" t="s">
        <v>35</v>
      </c>
      <c r="L135" s="4" t="s">
        <v>158</v>
      </c>
      <c r="M135" s="4" t="s">
        <v>1095</v>
      </c>
      <c r="N135" s="5">
        <v>527.04</v>
      </c>
      <c r="O135" s="6">
        <v>8</v>
      </c>
      <c r="P135" s="7">
        <v>0.4</v>
      </c>
      <c r="Q135" s="18">
        <v>-17.34</v>
      </c>
      <c r="R135" s="45" t="str">
        <f t="shared" si="8"/>
        <v>OK</v>
      </c>
      <c r="S135" s="45">
        <f t="shared" si="9"/>
        <v>1259.4063636363637</v>
      </c>
      <c r="T135" s="45">
        <f t="shared" si="10"/>
        <v>11</v>
      </c>
      <c r="U135" s="45">
        <f t="shared" si="11"/>
        <v>13853.470000000001</v>
      </c>
    </row>
    <row r="136" spans="1:21" x14ac:dyDescent="0.3">
      <c r="A136" s="16" t="s">
        <v>431</v>
      </c>
      <c r="B136" s="31">
        <v>44401</v>
      </c>
      <c r="C136" s="31">
        <v>44404</v>
      </c>
      <c r="D136" s="2" t="s">
        <v>73</v>
      </c>
      <c r="E136" s="2" t="s">
        <v>432</v>
      </c>
      <c r="F136" s="4" t="s">
        <v>433</v>
      </c>
      <c r="G136" s="4" t="s">
        <v>51</v>
      </c>
      <c r="H136" s="4" t="s">
        <v>171</v>
      </c>
      <c r="I136" s="4" t="s">
        <v>172</v>
      </c>
      <c r="J136" s="4" t="s">
        <v>24</v>
      </c>
      <c r="K136" s="4" t="s">
        <v>25</v>
      </c>
      <c r="L136" s="4" t="s">
        <v>124</v>
      </c>
      <c r="M136" s="4" t="s">
        <v>434</v>
      </c>
      <c r="N136" s="5">
        <v>8954.91</v>
      </c>
      <c r="O136" s="6">
        <v>5</v>
      </c>
      <c r="P136" s="7">
        <v>0.1</v>
      </c>
      <c r="Q136" s="18">
        <v>1549.35</v>
      </c>
      <c r="R136" s="45" t="str">
        <f t="shared" si="8"/>
        <v>OK</v>
      </c>
      <c r="S136" s="45">
        <f t="shared" si="9"/>
        <v>1259.4063636363637</v>
      </c>
      <c r="T136" s="45">
        <f t="shared" si="10"/>
        <v>11</v>
      </c>
      <c r="U136" s="45">
        <f t="shared" si="11"/>
        <v>13853.470000000001</v>
      </c>
    </row>
    <row r="137" spans="1:21" x14ac:dyDescent="0.3">
      <c r="A137" s="17" t="s">
        <v>1193</v>
      </c>
      <c r="B137" s="32">
        <v>44402</v>
      </c>
      <c r="C137" s="32">
        <v>44407</v>
      </c>
      <c r="D137" s="8" t="s">
        <v>73</v>
      </c>
      <c r="E137" s="8" t="s">
        <v>654</v>
      </c>
      <c r="F137" s="10" t="s">
        <v>655</v>
      </c>
      <c r="G137" s="10" t="s">
        <v>21</v>
      </c>
      <c r="H137" s="10" t="s">
        <v>66</v>
      </c>
      <c r="I137" s="10" t="s">
        <v>67</v>
      </c>
      <c r="J137" s="10" t="s">
        <v>34</v>
      </c>
      <c r="K137" s="10" t="s">
        <v>35</v>
      </c>
      <c r="L137" s="10" t="s">
        <v>166</v>
      </c>
      <c r="M137" s="10" t="s">
        <v>1194</v>
      </c>
      <c r="N137" s="11">
        <v>437.95</v>
      </c>
      <c r="O137" s="12">
        <v>10</v>
      </c>
      <c r="P137" s="13">
        <v>0.05</v>
      </c>
      <c r="Q137" s="19">
        <v>80.290000000000006</v>
      </c>
      <c r="R137" s="45" t="str">
        <f t="shared" si="8"/>
        <v>OK</v>
      </c>
      <c r="S137" s="45">
        <f t="shared" si="9"/>
        <v>1259.4063636363637</v>
      </c>
      <c r="T137" s="45">
        <f t="shared" si="10"/>
        <v>11</v>
      </c>
      <c r="U137" s="45">
        <f t="shared" si="11"/>
        <v>13853.470000000001</v>
      </c>
    </row>
    <row r="138" spans="1:21" x14ac:dyDescent="0.3">
      <c r="A138" s="16" t="s">
        <v>1006</v>
      </c>
      <c r="B138" s="31">
        <v>44405</v>
      </c>
      <c r="C138" s="31">
        <v>44409</v>
      </c>
      <c r="D138" s="2" t="s">
        <v>73</v>
      </c>
      <c r="E138" s="2" t="s">
        <v>370</v>
      </c>
      <c r="F138" s="4" t="s">
        <v>371</v>
      </c>
      <c r="G138" s="4" t="s">
        <v>51</v>
      </c>
      <c r="H138" s="4" t="s">
        <v>372</v>
      </c>
      <c r="I138" s="4" t="s">
        <v>373</v>
      </c>
      <c r="J138" s="4" t="s">
        <v>34</v>
      </c>
      <c r="K138" s="4" t="s">
        <v>45</v>
      </c>
      <c r="L138" s="4" t="s">
        <v>117</v>
      </c>
      <c r="M138" s="4" t="s">
        <v>1007</v>
      </c>
      <c r="N138" s="5">
        <v>1932.7</v>
      </c>
      <c r="O138" s="6">
        <v>10</v>
      </c>
      <c r="P138" s="7">
        <v>0.3</v>
      </c>
      <c r="Q138" s="18">
        <v>-268.64</v>
      </c>
      <c r="R138" s="45" t="str">
        <f t="shared" si="8"/>
        <v>OK</v>
      </c>
      <c r="S138" s="45">
        <f t="shared" si="9"/>
        <v>1259.4063636363637</v>
      </c>
      <c r="T138" s="45">
        <f t="shared" si="10"/>
        <v>11</v>
      </c>
      <c r="U138" s="45">
        <f t="shared" si="11"/>
        <v>13853.470000000001</v>
      </c>
    </row>
    <row r="139" spans="1:21" x14ac:dyDescent="0.3">
      <c r="A139" s="17" t="s">
        <v>1672</v>
      </c>
      <c r="B139" s="32">
        <v>44407</v>
      </c>
      <c r="C139" s="32">
        <v>44412</v>
      </c>
      <c r="D139" s="8" t="s">
        <v>29</v>
      </c>
      <c r="E139" s="8" t="s">
        <v>426</v>
      </c>
      <c r="F139" s="10" t="s">
        <v>427</v>
      </c>
      <c r="G139" s="10" t="s">
        <v>42</v>
      </c>
      <c r="H139" s="10" t="s">
        <v>412</v>
      </c>
      <c r="I139" s="10" t="s">
        <v>178</v>
      </c>
      <c r="J139" s="10" t="s">
        <v>24</v>
      </c>
      <c r="K139" s="10" t="s">
        <v>35</v>
      </c>
      <c r="L139" s="10" t="s">
        <v>89</v>
      </c>
      <c r="M139" s="10" t="s">
        <v>1673</v>
      </c>
      <c r="N139" s="11">
        <v>264.52</v>
      </c>
      <c r="O139" s="12">
        <v>2</v>
      </c>
      <c r="P139" s="13">
        <v>0.15</v>
      </c>
      <c r="Q139" s="19">
        <v>40.450000000000003</v>
      </c>
      <c r="R139" s="45" t="str">
        <f t="shared" si="8"/>
        <v>OK</v>
      </c>
      <c r="S139" s="45">
        <f t="shared" si="9"/>
        <v>1259.4063636363637</v>
      </c>
      <c r="T139" s="45">
        <f t="shared" si="10"/>
        <v>11</v>
      </c>
      <c r="U139" s="45">
        <f t="shared" si="11"/>
        <v>13853.470000000001</v>
      </c>
    </row>
    <row r="140" spans="1:21" x14ac:dyDescent="0.3">
      <c r="A140" s="16" t="s">
        <v>1786</v>
      </c>
      <c r="B140" s="31">
        <v>44407</v>
      </c>
      <c r="C140" s="31">
        <v>44409</v>
      </c>
      <c r="D140" s="2" t="s">
        <v>39</v>
      </c>
      <c r="E140" s="2" t="s">
        <v>905</v>
      </c>
      <c r="F140" s="4" t="s">
        <v>906</v>
      </c>
      <c r="G140" s="4" t="s">
        <v>51</v>
      </c>
      <c r="H140" s="4" t="s">
        <v>352</v>
      </c>
      <c r="I140" s="4" t="s">
        <v>306</v>
      </c>
      <c r="J140" s="4" t="s">
        <v>34</v>
      </c>
      <c r="K140" s="4" t="s">
        <v>45</v>
      </c>
      <c r="L140" s="4" t="s">
        <v>99</v>
      </c>
      <c r="M140" s="4" t="s">
        <v>1787</v>
      </c>
      <c r="N140" s="5">
        <v>258.44</v>
      </c>
      <c r="O140" s="6">
        <v>2</v>
      </c>
      <c r="P140" s="7">
        <v>0</v>
      </c>
      <c r="Q140" s="18">
        <v>69.27</v>
      </c>
      <c r="R140" s="45" t="str">
        <f t="shared" si="8"/>
        <v>OK</v>
      </c>
      <c r="S140" s="45">
        <f t="shared" si="9"/>
        <v>1259.4063636363637</v>
      </c>
      <c r="T140" s="45">
        <f t="shared" si="10"/>
        <v>11</v>
      </c>
      <c r="U140" s="45">
        <f t="shared" si="11"/>
        <v>13853.470000000001</v>
      </c>
    </row>
    <row r="141" spans="1:21" x14ac:dyDescent="0.3">
      <c r="A141" s="17" t="s">
        <v>849</v>
      </c>
      <c r="B141" s="32">
        <v>44408</v>
      </c>
      <c r="C141" s="32">
        <v>44413</v>
      </c>
      <c r="D141" s="8" t="s">
        <v>29</v>
      </c>
      <c r="E141" s="8" t="s">
        <v>850</v>
      </c>
      <c r="F141" s="10" t="s">
        <v>851</v>
      </c>
      <c r="G141" s="10" t="s">
        <v>42</v>
      </c>
      <c r="H141" s="10" t="s">
        <v>183</v>
      </c>
      <c r="I141" s="10" t="s">
        <v>184</v>
      </c>
      <c r="J141" s="10" t="s">
        <v>54</v>
      </c>
      <c r="K141" s="10" t="s">
        <v>35</v>
      </c>
      <c r="L141" s="10" t="s">
        <v>81</v>
      </c>
      <c r="M141" s="10" t="s">
        <v>852</v>
      </c>
      <c r="N141" s="11">
        <v>26.87</v>
      </c>
      <c r="O141" s="12">
        <v>2</v>
      </c>
      <c r="P141" s="13">
        <v>0.3</v>
      </c>
      <c r="Q141" s="19">
        <v>6.36</v>
      </c>
      <c r="R141" s="45" t="str">
        <f t="shared" si="8"/>
        <v>OK</v>
      </c>
      <c r="S141" s="45">
        <f t="shared" si="9"/>
        <v>1259.4063636363637</v>
      </c>
      <c r="T141" s="45">
        <f t="shared" si="10"/>
        <v>11</v>
      </c>
      <c r="U141" s="45">
        <f t="shared" si="11"/>
        <v>13853.470000000001</v>
      </c>
    </row>
    <row r="142" spans="1:21" x14ac:dyDescent="0.3">
      <c r="A142" s="16" t="s">
        <v>1424</v>
      </c>
      <c r="B142" s="31">
        <v>44410</v>
      </c>
      <c r="C142" s="31">
        <v>44411</v>
      </c>
      <c r="D142" s="2" t="s">
        <v>18</v>
      </c>
      <c r="E142" s="2" t="s">
        <v>441</v>
      </c>
      <c r="F142" s="4" t="s">
        <v>442</v>
      </c>
      <c r="G142" s="4" t="s">
        <v>21</v>
      </c>
      <c r="H142" s="4" t="s">
        <v>98</v>
      </c>
      <c r="I142" s="4" t="s">
        <v>80</v>
      </c>
      <c r="J142" s="4" t="s">
        <v>54</v>
      </c>
      <c r="K142" s="4" t="s">
        <v>25</v>
      </c>
      <c r="L142" s="4" t="s">
        <v>26</v>
      </c>
      <c r="M142" s="4" t="s">
        <v>1425</v>
      </c>
      <c r="N142" s="5">
        <v>17612.240000000002</v>
      </c>
      <c r="O142" s="6">
        <v>10</v>
      </c>
      <c r="P142" s="7">
        <v>0.05</v>
      </c>
      <c r="Q142" s="18">
        <v>2366.65</v>
      </c>
      <c r="R142" s="45" t="str">
        <f t="shared" si="8"/>
        <v>OK</v>
      </c>
      <c r="S142" s="45">
        <f t="shared" si="9"/>
        <v>1259.4063636363637</v>
      </c>
      <c r="T142" s="45">
        <f t="shared" si="10"/>
        <v>11</v>
      </c>
      <c r="U142" s="45">
        <f t="shared" si="11"/>
        <v>13853.470000000001</v>
      </c>
    </row>
    <row r="143" spans="1:21" x14ac:dyDescent="0.3">
      <c r="A143" s="16" t="s">
        <v>623</v>
      </c>
      <c r="B143" s="31">
        <v>44413</v>
      </c>
      <c r="C143" s="31">
        <v>44417</v>
      </c>
      <c r="D143" s="2" t="s">
        <v>73</v>
      </c>
      <c r="E143" s="2" t="s">
        <v>108</v>
      </c>
      <c r="F143" s="4" t="s">
        <v>109</v>
      </c>
      <c r="G143" s="4" t="s">
        <v>21</v>
      </c>
      <c r="H143" s="4" t="s">
        <v>22</v>
      </c>
      <c r="I143" s="4" t="s">
        <v>23</v>
      </c>
      <c r="J143" s="4" t="s">
        <v>24</v>
      </c>
      <c r="K143" s="4" t="s">
        <v>45</v>
      </c>
      <c r="L143" s="4" t="s">
        <v>46</v>
      </c>
      <c r="M143" s="4" t="s">
        <v>624</v>
      </c>
      <c r="N143" s="5">
        <v>1139.04</v>
      </c>
      <c r="O143" s="6">
        <v>3</v>
      </c>
      <c r="P143" s="7">
        <v>0.5</v>
      </c>
      <c r="Q143" s="18">
        <v>-199.19</v>
      </c>
      <c r="R143" s="45" t="str">
        <f t="shared" si="8"/>
        <v>OK</v>
      </c>
      <c r="S143" s="45">
        <f t="shared" si="9"/>
        <v>1259.4063636363637</v>
      </c>
      <c r="T143" s="45">
        <f t="shared" si="10"/>
        <v>11</v>
      </c>
      <c r="U143" s="45">
        <f t="shared" si="11"/>
        <v>13853.470000000001</v>
      </c>
    </row>
    <row r="144" spans="1:21" x14ac:dyDescent="0.3">
      <c r="A144" s="16" t="s">
        <v>879</v>
      </c>
      <c r="B144" s="31">
        <v>44416</v>
      </c>
      <c r="C144" s="31">
        <v>44419</v>
      </c>
      <c r="D144" s="2" t="s">
        <v>39</v>
      </c>
      <c r="E144" s="2" t="s">
        <v>309</v>
      </c>
      <c r="F144" s="4" t="s">
        <v>310</v>
      </c>
      <c r="G144" s="4" t="s">
        <v>21</v>
      </c>
      <c r="H144" s="4" t="s">
        <v>115</v>
      </c>
      <c r="I144" s="4" t="s">
        <v>116</v>
      </c>
      <c r="J144" s="4" t="s">
        <v>54</v>
      </c>
      <c r="K144" s="4" t="s">
        <v>25</v>
      </c>
      <c r="L144" s="4" t="s">
        <v>26</v>
      </c>
      <c r="M144" s="4" t="s">
        <v>880</v>
      </c>
      <c r="N144" s="5">
        <v>1594.77</v>
      </c>
      <c r="O144" s="6">
        <v>-1</v>
      </c>
      <c r="P144" s="7">
        <v>0.1</v>
      </c>
      <c r="Q144" s="18">
        <v>157.93</v>
      </c>
      <c r="R144" s="45" t="str">
        <f t="shared" si="8"/>
        <v>OK</v>
      </c>
      <c r="S144" s="45">
        <f t="shared" si="9"/>
        <v>1259.4063636363637</v>
      </c>
      <c r="T144" s="45">
        <f t="shared" si="10"/>
        <v>11</v>
      </c>
      <c r="U144" s="45">
        <f t="shared" si="11"/>
        <v>13853.470000000001</v>
      </c>
    </row>
    <row r="145" spans="1:21" x14ac:dyDescent="0.3">
      <c r="A145" s="16" t="s">
        <v>1613</v>
      </c>
      <c r="B145" s="31">
        <v>44416</v>
      </c>
      <c r="C145" s="31">
        <v>44420</v>
      </c>
      <c r="D145" s="2" t="s">
        <v>73</v>
      </c>
      <c r="E145" s="2" t="s">
        <v>96</v>
      </c>
      <c r="F145" s="4" t="s">
        <v>97</v>
      </c>
      <c r="G145" s="4" t="s">
        <v>21</v>
      </c>
      <c r="H145" s="4" t="s">
        <v>98</v>
      </c>
      <c r="I145" s="4" t="s">
        <v>80</v>
      </c>
      <c r="J145" s="4" t="s">
        <v>54</v>
      </c>
      <c r="K145" s="4" t="s">
        <v>25</v>
      </c>
      <c r="L145" s="4" t="s">
        <v>74</v>
      </c>
      <c r="M145" s="4" t="s">
        <v>1614</v>
      </c>
      <c r="N145" s="5">
        <v>3121.8</v>
      </c>
      <c r="O145" s="6">
        <v>10</v>
      </c>
      <c r="P145" s="7">
        <v>0</v>
      </c>
      <c r="Q145" s="18">
        <v>1216.42</v>
      </c>
      <c r="R145" s="45" t="str">
        <f t="shared" si="8"/>
        <v>OK</v>
      </c>
      <c r="S145" s="45">
        <f t="shared" si="9"/>
        <v>1259.4063636363637</v>
      </c>
      <c r="T145" s="45">
        <f t="shared" si="10"/>
        <v>11</v>
      </c>
      <c r="U145" s="45">
        <f t="shared" si="11"/>
        <v>13853.470000000001</v>
      </c>
    </row>
    <row r="146" spans="1:21" x14ac:dyDescent="0.3">
      <c r="A146" s="16" t="s">
        <v>929</v>
      </c>
      <c r="B146" s="31">
        <v>44418</v>
      </c>
      <c r="C146" s="31">
        <v>44420</v>
      </c>
      <c r="D146" s="2" t="s">
        <v>18</v>
      </c>
      <c r="E146" s="2" t="s">
        <v>809</v>
      </c>
      <c r="F146" s="4" t="s">
        <v>810</v>
      </c>
      <c r="G146" s="4" t="s">
        <v>42</v>
      </c>
      <c r="H146" s="4" t="s">
        <v>352</v>
      </c>
      <c r="I146" s="4" t="s">
        <v>306</v>
      </c>
      <c r="J146" s="4" t="s">
        <v>34</v>
      </c>
      <c r="K146" s="4" t="s">
        <v>35</v>
      </c>
      <c r="L146" s="4" t="s">
        <v>89</v>
      </c>
      <c r="M146" s="4" t="s">
        <v>930</v>
      </c>
      <c r="N146" s="5">
        <v>1584.88</v>
      </c>
      <c r="O146" s="6">
        <v>8</v>
      </c>
      <c r="P146" s="7">
        <v>0</v>
      </c>
      <c r="Q146" s="18">
        <v>659.74</v>
      </c>
      <c r="R146" s="45" t="str">
        <f t="shared" si="8"/>
        <v>OK</v>
      </c>
      <c r="S146" s="45">
        <f t="shared" si="9"/>
        <v>1259.4063636363637</v>
      </c>
      <c r="T146" s="45">
        <f t="shared" si="10"/>
        <v>11</v>
      </c>
      <c r="U146" s="45">
        <f t="shared" si="11"/>
        <v>13853.470000000001</v>
      </c>
    </row>
    <row r="147" spans="1:21" x14ac:dyDescent="0.3">
      <c r="A147" s="17" t="s">
        <v>953</v>
      </c>
      <c r="B147" s="32">
        <v>44418</v>
      </c>
      <c r="C147" s="32">
        <v>44419</v>
      </c>
      <c r="D147" s="8" t="s">
        <v>18</v>
      </c>
      <c r="E147" s="8" t="s">
        <v>954</v>
      </c>
      <c r="F147" s="10" t="s">
        <v>955</v>
      </c>
      <c r="G147" s="10" t="s">
        <v>51</v>
      </c>
      <c r="H147" s="10" t="s">
        <v>386</v>
      </c>
      <c r="I147" s="10" t="s">
        <v>347</v>
      </c>
      <c r="J147" s="10" t="s">
        <v>88</v>
      </c>
      <c r="K147" s="10" t="s">
        <v>35</v>
      </c>
      <c r="L147" s="10" t="s">
        <v>166</v>
      </c>
      <c r="M147" s="10" t="s">
        <v>956</v>
      </c>
      <c r="N147" s="11">
        <v>714.96</v>
      </c>
      <c r="O147" s="12">
        <v>10</v>
      </c>
      <c r="P147" s="13">
        <v>0.1</v>
      </c>
      <c r="Q147" s="19">
        <v>184.49</v>
      </c>
      <c r="R147" s="45" t="str">
        <f t="shared" si="8"/>
        <v>OK</v>
      </c>
      <c r="S147" s="45">
        <f t="shared" si="9"/>
        <v>1259.4063636363637</v>
      </c>
      <c r="T147" s="45">
        <f t="shared" si="10"/>
        <v>11</v>
      </c>
      <c r="U147" s="45">
        <f t="shared" si="11"/>
        <v>13853.470000000001</v>
      </c>
    </row>
    <row r="148" spans="1:21" x14ac:dyDescent="0.3">
      <c r="A148" s="17" t="s">
        <v>573</v>
      </c>
      <c r="B148" s="32">
        <v>44420</v>
      </c>
      <c r="C148" s="32">
        <v>44427</v>
      </c>
      <c r="D148" s="8" t="s">
        <v>29</v>
      </c>
      <c r="E148" s="8" t="s">
        <v>432</v>
      </c>
      <c r="F148" s="10" t="s">
        <v>433</v>
      </c>
      <c r="G148" s="10" t="s">
        <v>51</v>
      </c>
      <c r="H148" s="10" t="s">
        <v>171</v>
      </c>
      <c r="I148" s="10" t="s">
        <v>172</v>
      </c>
      <c r="J148" s="10" t="s">
        <v>24</v>
      </c>
      <c r="K148" s="10" t="s">
        <v>45</v>
      </c>
      <c r="L148" s="10" t="s">
        <v>99</v>
      </c>
      <c r="M148" s="10" t="s">
        <v>574</v>
      </c>
      <c r="N148" s="11">
        <v>56.34</v>
      </c>
      <c r="O148" s="12">
        <v>1</v>
      </c>
      <c r="P148" s="13">
        <v>0.5</v>
      </c>
      <c r="Q148" s="19">
        <v>-15.5</v>
      </c>
      <c r="R148" s="45" t="str">
        <f t="shared" si="8"/>
        <v>OK</v>
      </c>
      <c r="S148" s="45">
        <f t="shared" si="9"/>
        <v>1259.4063636363637</v>
      </c>
      <c r="T148" s="45">
        <f t="shared" si="10"/>
        <v>11</v>
      </c>
      <c r="U148" s="45">
        <f t="shared" si="11"/>
        <v>13853.470000000001</v>
      </c>
    </row>
    <row r="149" spans="1:21" x14ac:dyDescent="0.3">
      <c r="A149" s="17" t="s">
        <v>978</v>
      </c>
      <c r="B149" s="32">
        <v>44421</v>
      </c>
      <c r="C149" s="32">
        <v>44424</v>
      </c>
      <c r="D149" s="8" t="s">
        <v>18</v>
      </c>
      <c r="E149" s="8" t="s">
        <v>313</v>
      </c>
      <c r="F149" s="10" t="s">
        <v>314</v>
      </c>
      <c r="G149" s="10" t="s">
        <v>42</v>
      </c>
      <c r="H149" s="10" t="s">
        <v>193</v>
      </c>
      <c r="I149" s="10" t="s">
        <v>194</v>
      </c>
      <c r="J149" s="10" t="s">
        <v>34</v>
      </c>
      <c r="K149" s="10" t="s">
        <v>45</v>
      </c>
      <c r="L149" s="10" t="s">
        <v>61</v>
      </c>
      <c r="M149" s="10" t="s">
        <v>979</v>
      </c>
      <c r="N149" s="11">
        <v>1778.16</v>
      </c>
      <c r="O149" s="12">
        <v>5</v>
      </c>
      <c r="P149" s="13">
        <v>0.2</v>
      </c>
      <c r="Q149" s="19">
        <v>-217.81</v>
      </c>
      <c r="R149" s="45" t="str">
        <f t="shared" si="8"/>
        <v>OK</v>
      </c>
      <c r="S149" s="45">
        <f t="shared" si="9"/>
        <v>1259.4063636363637</v>
      </c>
      <c r="T149" s="45">
        <f t="shared" si="10"/>
        <v>11</v>
      </c>
      <c r="U149" s="45">
        <f t="shared" si="11"/>
        <v>13853.470000000001</v>
      </c>
    </row>
    <row r="150" spans="1:21" x14ac:dyDescent="0.3">
      <c r="A150" s="16" t="s">
        <v>1556</v>
      </c>
      <c r="B150" s="31">
        <v>44422</v>
      </c>
      <c r="C150" s="31">
        <v>44425</v>
      </c>
      <c r="D150" s="2" t="s">
        <v>73</v>
      </c>
      <c r="E150" s="2" t="s">
        <v>175</v>
      </c>
      <c r="F150" s="4" t="s">
        <v>176</v>
      </c>
      <c r="G150" s="4" t="s">
        <v>51</v>
      </c>
      <c r="H150" s="4" t="s">
        <v>177</v>
      </c>
      <c r="I150" s="4" t="s">
        <v>178</v>
      </c>
      <c r="J150" s="4" t="s">
        <v>24</v>
      </c>
      <c r="K150" s="4" t="s">
        <v>25</v>
      </c>
      <c r="L150" s="4" t="s">
        <v>74</v>
      </c>
      <c r="M150" s="4" t="s">
        <v>1557</v>
      </c>
      <c r="N150" s="5">
        <v>782.33</v>
      </c>
      <c r="O150" s="6">
        <v>2</v>
      </c>
      <c r="P150" s="7">
        <v>0.3</v>
      </c>
      <c r="Q150" s="18">
        <v>148.49</v>
      </c>
      <c r="R150" s="45" t="str">
        <f t="shared" si="8"/>
        <v>OK</v>
      </c>
      <c r="S150" s="45">
        <f t="shared" si="9"/>
        <v>1259.4063636363637</v>
      </c>
      <c r="T150" s="45">
        <f t="shared" si="10"/>
        <v>11</v>
      </c>
      <c r="U150" s="45">
        <f t="shared" si="11"/>
        <v>13853.470000000001</v>
      </c>
    </row>
    <row r="151" spans="1:21" x14ac:dyDescent="0.3">
      <c r="A151" s="17" t="s">
        <v>1562</v>
      </c>
      <c r="B151" s="32">
        <v>44423</v>
      </c>
      <c r="C151" s="32">
        <v>44428</v>
      </c>
      <c r="D151" s="8" t="s">
        <v>73</v>
      </c>
      <c r="E151" s="8" t="s">
        <v>453</v>
      </c>
      <c r="F151" s="10" t="s">
        <v>454</v>
      </c>
      <c r="G151" s="10" t="s">
        <v>21</v>
      </c>
      <c r="H151" s="10" t="s">
        <v>386</v>
      </c>
      <c r="I151" s="10" t="s">
        <v>347</v>
      </c>
      <c r="J151" s="10" t="s">
        <v>88</v>
      </c>
      <c r="K151" s="10" t="s">
        <v>25</v>
      </c>
      <c r="L151" s="10" t="s">
        <v>68</v>
      </c>
      <c r="M151" s="10" t="s">
        <v>1563</v>
      </c>
      <c r="N151" s="11">
        <v>238.84</v>
      </c>
      <c r="O151" s="12">
        <v>7</v>
      </c>
      <c r="P151" s="13">
        <v>0.2</v>
      </c>
      <c r="Q151" s="19">
        <v>76.09</v>
      </c>
      <c r="R151" s="45" t="str">
        <f t="shared" si="8"/>
        <v>OK</v>
      </c>
      <c r="S151" s="45">
        <f t="shared" si="9"/>
        <v>1307.114</v>
      </c>
      <c r="T151" s="45">
        <f t="shared" si="10"/>
        <v>10</v>
      </c>
      <c r="U151" s="45">
        <f t="shared" si="11"/>
        <v>13071.14</v>
      </c>
    </row>
    <row r="152" spans="1:21" x14ac:dyDescent="0.3">
      <c r="A152" s="17" t="s">
        <v>591</v>
      </c>
      <c r="B152" s="32">
        <v>44424</v>
      </c>
      <c r="C152" s="32">
        <v>44426</v>
      </c>
      <c r="D152" s="8" t="s">
        <v>39</v>
      </c>
      <c r="E152" s="8" t="s">
        <v>592</v>
      </c>
      <c r="F152" s="10" t="s">
        <v>593</v>
      </c>
      <c r="G152" s="10" t="s">
        <v>21</v>
      </c>
      <c r="H152" s="10" t="s">
        <v>207</v>
      </c>
      <c r="I152" s="10" t="s">
        <v>60</v>
      </c>
      <c r="J152" s="10" t="s">
        <v>54</v>
      </c>
      <c r="K152" s="10" t="s">
        <v>45</v>
      </c>
      <c r="L152" s="10" t="s">
        <v>99</v>
      </c>
      <c r="M152" s="10" t="s">
        <v>594</v>
      </c>
      <c r="N152" s="11">
        <v>183.02</v>
      </c>
      <c r="O152" s="12">
        <v>1</v>
      </c>
      <c r="P152" s="13">
        <v>0</v>
      </c>
      <c r="Q152" s="19">
        <v>62.11</v>
      </c>
      <c r="R152" s="45" t="str">
        <f t="shared" si="8"/>
        <v>OK</v>
      </c>
      <c r="S152" s="45">
        <f t="shared" si="9"/>
        <v>1307.114</v>
      </c>
      <c r="T152" s="45">
        <f t="shared" si="10"/>
        <v>10</v>
      </c>
      <c r="U152" s="45">
        <f t="shared" si="11"/>
        <v>13071.14</v>
      </c>
    </row>
    <row r="153" spans="1:21" x14ac:dyDescent="0.3">
      <c r="A153" s="17" t="s">
        <v>904</v>
      </c>
      <c r="B153" s="32">
        <v>44424</v>
      </c>
      <c r="C153" s="32">
        <v>44427</v>
      </c>
      <c r="D153" s="8" t="s">
        <v>39</v>
      </c>
      <c r="E153" s="8" t="s">
        <v>905</v>
      </c>
      <c r="F153" s="10" t="s">
        <v>906</v>
      </c>
      <c r="G153" s="10" t="s">
        <v>51</v>
      </c>
      <c r="H153" s="10" t="s">
        <v>352</v>
      </c>
      <c r="I153" s="10" t="s">
        <v>306</v>
      </c>
      <c r="J153" s="10" t="s">
        <v>34</v>
      </c>
      <c r="K153" s="10" t="s">
        <v>25</v>
      </c>
      <c r="L153" s="10" t="s">
        <v>124</v>
      </c>
      <c r="M153" s="10" t="s">
        <v>907</v>
      </c>
      <c r="N153" s="11">
        <v>17571.900000000001</v>
      </c>
      <c r="O153" s="12">
        <v>5</v>
      </c>
      <c r="P153" s="13">
        <v>0</v>
      </c>
      <c r="Q153" s="19">
        <v>4833.62</v>
      </c>
      <c r="R153" s="45" t="str">
        <f t="shared" si="8"/>
        <v>OK</v>
      </c>
      <c r="S153" s="45">
        <f t="shared" si="9"/>
        <v>1307.114</v>
      </c>
      <c r="T153" s="45">
        <f t="shared" si="10"/>
        <v>10</v>
      </c>
      <c r="U153" s="45">
        <f t="shared" si="11"/>
        <v>13071.14</v>
      </c>
    </row>
    <row r="154" spans="1:21" x14ac:dyDescent="0.3">
      <c r="A154" s="16" t="s">
        <v>2054</v>
      </c>
      <c r="B154" s="31">
        <v>44424</v>
      </c>
      <c r="C154" s="31">
        <v>44427</v>
      </c>
      <c r="D154" s="2" t="s">
        <v>73</v>
      </c>
      <c r="E154" s="2" t="s">
        <v>701</v>
      </c>
      <c r="F154" s="4" t="s">
        <v>702</v>
      </c>
      <c r="G154" s="4" t="s">
        <v>21</v>
      </c>
      <c r="H154" s="4" t="s">
        <v>43</v>
      </c>
      <c r="I154" s="4" t="s">
        <v>44</v>
      </c>
      <c r="J154" s="4" t="s">
        <v>24</v>
      </c>
      <c r="K154" s="4" t="s">
        <v>25</v>
      </c>
      <c r="L154" s="4" t="s">
        <v>74</v>
      </c>
      <c r="M154" s="4" t="s">
        <v>2055</v>
      </c>
      <c r="N154" s="5">
        <v>858.68</v>
      </c>
      <c r="O154" s="6">
        <v>2</v>
      </c>
      <c r="P154" s="7">
        <v>0</v>
      </c>
      <c r="Q154" s="18">
        <v>306.19</v>
      </c>
      <c r="R154" s="45" t="str">
        <f t="shared" si="8"/>
        <v>OK</v>
      </c>
      <c r="S154" s="45">
        <f t="shared" si="9"/>
        <v>1307.114</v>
      </c>
      <c r="T154" s="45">
        <f t="shared" si="10"/>
        <v>10</v>
      </c>
      <c r="U154" s="45">
        <f t="shared" si="11"/>
        <v>13071.14</v>
      </c>
    </row>
    <row r="155" spans="1:21" x14ac:dyDescent="0.3">
      <c r="A155" s="17" t="s">
        <v>1558</v>
      </c>
      <c r="B155" s="32">
        <v>44425</v>
      </c>
      <c r="C155" s="32">
        <v>44430</v>
      </c>
      <c r="D155" s="8" t="s">
        <v>29</v>
      </c>
      <c r="E155" s="8" t="s">
        <v>415</v>
      </c>
      <c r="F155" s="10" t="s">
        <v>416</v>
      </c>
      <c r="G155" s="10" t="s">
        <v>42</v>
      </c>
      <c r="H155" s="10" t="s">
        <v>417</v>
      </c>
      <c r="I155" s="10" t="s">
        <v>123</v>
      </c>
      <c r="J155" s="10" t="s">
        <v>24</v>
      </c>
      <c r="K155" s="10" t="s">
        <v>45</v>
      </c>
      <c r="L155" s="10" t="s">
        <v>117</v>
      </c>
      <c r="M155" s="10" t="s">
        <v>1559</v>
      </c>
      <c r="N155" s="11">
        <v>194.59</v>
      </c>
      <c r="O155" s="12">
        <v>2</v>
      </c>
      <c r="P155" s="13">
        <v>0.2</v>
      </c>
      <c r="Q155" s="19">
        <v>12.03</v>
      </c>
      <c r="R155" s="45" t="str">
        <f t="shared" si="8"/>
        <v>OK</v>
      </c>
      <c r="S155" s="45">
        <f t="shared" si="9"/>
        <v>1307.114</v>
      </c>
      <c r="T155" s="45">
        <f t="shared" si="10"/>
        <v>10</v>
      </c>
      <c r="U155" s="45">
        <f t="shared" si="11"/>
        <v>13071.14</v>
      </c>
    </row>
    <row r="156" spans="1:21" x14ac:dyDescent="0.3">
      <c r="A156" s="17" t="s">
        <v>272</v>
      </c>
      <c r="B156" s="32">
        <v>44427</v>
      </c>
      <c r="C156" s="32">
        <v>44430</v>
      </c>
      <c r="D156" s="8" t="s">
        <v>73</v>
      </c>
      <c r="E156" s="8" t="s">
        <v>273</v>
      </c>
      <c r="F156" s="10" t="s">
        <v>274</v>
      </c>
      <c r="G156" s="10" t="s">
        <v>42</v>
      </c>
      <c r="H156" s="10" t="s">
        <v>171</v>
      </c>
      <c r="I156" s="10" t="s">
        <v>172</v>
      </c>
      <c r="J156" s="10" t="s">
        <v>24</v>
      </c>
      <c r="K156" s="10" t="s">
        <v>35</v>
      </c>
      <c r="L156" s="10" t="s">
        <v>110</v>
      </c>
      <c r="M156" s="10" t="s">
        <v>275</v>
      </c>
      <c r="N156" s="11">
        <v>249.35</v>
      </c>
      <c r="O156" s="12">
        <v>9</v>
      </c>
      <c r="P156" s="13">
        <v>0.3</v>
      </c>
      <c r="Q156" s="19">
        <v>55.84</v>
      </c>
      <c r="R156" s="45" t="str">
        <f t="shared" si="8"/>
        <v>OK</v>
      </c>
      <c r="S156" s="45">
        <f t="shared" si="9"/>
        <v>1307.114</v>
      </c>
      <c r="T156" s="45">
        <f t="shared" si="10"/>
        <v>10</v>
      </c>
      <c r="U156" s="45">
        <f t="shared" si="11"/>
        <v>13071.14</v>
      </c>
    </row>
    <row r="157" spans="1:21" x14ac:dyDescent="0.3">
      <c r="A157" s="17" t="s">
        <v>1314</v>
      </c>
      <c r="B157" s="32">
        <v>44428</v>
      </c>
      <c r="C157" s="32">
        <v>44435</v>
      </c>
      <c r="D157" s="8" t="s">
        <v>29</v>
      </c>
      <c r="E157" s="8" t="s">
        <v>490</v>
      </c>
      <c r="F157" s="10" t="s">
        <v>491</v>
      </c>
      <c r="G157" s="10" t="s">
        <v>42</v>
      </c>
      <c r="H157" s="10" t="s">
        <v>492</v>
      </c>
      <c r="I157" s="10" t="s">
        <v>53</v>
      </c>
      <c r="J157" s="10" t="s">
        <v>54</v>
      </c>
      <c r="K157" s="10" t="s">
        <v>45</v>
      </c>
      <c r="L157" s="10" t="s">
        <v>61</v>
      </c>
      <c r="M157" s="10" t="s">
        <v>1110</v>
      </c>
      <c r="N157" s="11">
        <v>1790.42</v>
      </c>
      <c r="O157" s="12">
        <v>5</v>
      </c>
      <c r="P157" s="13">
        <v>0.05</v>
      </c>
      <c r="Q157" s="19">
        <v>-37.659999999999997</v>
      </c>
      <c r="R157" s="45" t="str">
        <f t="shared" si="8"/>
        <v>OK</v>
      </c>
      <c r="S157" s="45">
        <f t="shared" si="9"/>
        <v>1307.114</v>
      </c>
      <c r="T157" s="45">
        <f t="shared" si="10"/>
        <v>10</v>
      </c>
      <c r="U157" s="45">
        <f t="shared" si="11"/>
        <v>13071.14</v>
      </c>
    </row>
    <row r="158" spans="1:21" x14ac:dyDescent="0.3">
      <c r="A158" s="17" t="s">
        <v>1430</v>
      </c>
      <c r="B158" s="32">
        <v>44431</v>
      </c>
      <c r="C158" s="32">
        <v>44433</v>
      </c>
      <c r="D158" s="8" t="s">
        <v>18</v>
      </c>
      <c r="E158" s="8" t="s">
        <v>210</v>
      </c>
      <c r="F158" s="10" t="s">
        <v>211</v>
      </c>
      <c r="G158" s="10" t="s">
        <v>42</v>
      </c>
      <c r="H158" s="10" t="s">
        <v>86</v>
      </c>
      <c r="I158" s="10" t="s">
        <v>87</v>
      </c>
      <c r="J158" s="10" t="s">
        <v>88</v>
      </c>
      <c r="K158" s="10" t="s">
        <v>25</v>
      </c>
      <c r="L158" s="10" t="s">
        <v>124</v>
      </c>
      <c r="M158" s="10" t="s">
        <v>1431</v>
      </c>
      <c r="N158" s="11">
        <v>940.42</v>
      </c>
      <c r="O158" s="12">
        <v>2</v>
      </c>
      <c r="P158" s="13">
        <v>0.5</v>
      </c>
      <c r="Q158" s="19">
        <v>-571.54999999999995</v>
      </c>
      <c r="R158" s="45" t="str">
        <f t="shared" si="8"/>
        <v>OK</v>
      </c>
      <c r="S158" s="45">
        <f t="shared" si="9"/>
        <v>1307.114</v>
      </c>
      <c r="T158" s="45">
        <f t="shared" si="10"/>
        <v>10</v>
      </c>
      <c r="U158" s="45">
        <f t="shared" si="11"/>
        <v>13071.14</v>
      </c>
    </row>
    <row r="159" spans="1:21" x14ac:dyDescent="0.3">
      <c r="A159" s="17" t="s">
        <v>2466</v>
      </c>
      <c r="B159" s="32">
        <v>44432</v>
      </c>
      <c r="C159" s="32">
        <v>44436</v>
      </c>
      <c r="D159" s="8" t="s">
        <v>39</v>
      </c>
      <c r="E159" s="8" t="s">
        <v>838</v>
      </c>
      <c r="F159" s="10" t="s">
        <v>839</v>
      </c>
      <c r="G159" s="10" t="s">
        <v>51</v>
      </c>
      <c r="H159" s="10" t="s">
        <v>438</v>
      </c>
      <c r="I159" s="10" t="s">
        <v>157</v>
      </c>
      <c r="J159" s="10" t="s">
        <v>88</v>
      </c>
      <c r="K159" s="10" t="s">
        <v>35</v>
      </c>
      <c r="L159" s="10" t="s">
        <v>81</v>
      </c>
      <c r="M159" s="10" t="s">
        <v>2467</v>
      </c>
      <c r="N159" s="11">
        <v>173.61</v>
      </c>
      <c r="O159" s="12">
        <v>9</v>
      </c>
      <c r="P159" s="13">
        <v>0</v>
      </c>
      <c r="Q159" s="19">
        <v>93.76</v>
      </c>
      <c r="R159" s="45" t="str">
        <f t="shared" si="8"/>
        <v>OK</v>
      </c>
      <c r="S159" s="45">
        <f t="shared" si="9"/>
        <v>1307.114</v>
      </c>
      <c r="T159" s="45">
        <f t="shared" si="10"/>
        <v>10</v>
      </c>
      <c r="U159" s="45">
        <f t="shared" si="11"/>
        <v>13071.14</v>
      </c>
    </row>
    <row r="160" spans="1:21" x14ac:dyDescent="0.3">
      <c r="A160" s="16" t="s">
        <v>243</v>
      </c>
      <c r="B160" s="31">
        <v>44433</v>
      </c>
      <c r="C160" s="31">
        <v>44436</v>
      </c>
      <c r="D160" s="2" t="s">
        <v>18</v>
      </c>
      <c r="E160" s="2" t="s">
        <v>244</v>
      </c>
      <c r="F160" s="4" t="s">
        <v>245</v>
      </c>
      <c r="G160" s="4" t="s">
        <v>42</v>
      </c>
      <c r="H160" s="4" t="s">
        <v>79</v>
      </c>
      <c r="I160" s="4" t="s">
        <v>80</v>
      </c>
      <c r="J160" s="4" t="s">
        <v>54</v>
      </c>
      <c r="K160" s="4" t="s">
        <v>35</v>
      </c>
      <c r="L160" s="4" t="s">
        <v>166</v>
      </c>
      <c r="M160" s="4" t="s">
        <v>246</v>
      </c>
      <c r="N160" s="5">
        <v>948.24</v>
      </c>
      <c r="O160" s="6">
        <v>8</v>
      </c>
      <c r="P160" s="7">
        <v>0</v>
      </c>
      <c r="Q160" s="18">
        <v>224.33</v>
      </c>
      <c r="R160" s="45" t="str">
        <f t="shared" si="8"/>
        <v>OK</v>
      </c>
      <c r="S160" s="45">
        <f t="shared" si="9"/>
        <v>1307.114</v>
      </c>
      <c r="T160" s="45">
        <f t="shared" si="10"/>
        <v>10</v>
      </c>
      <c r="U160" s="45">
        <f t="shared" si="11"/>
        <v>13071.14</v>
      </c>
    </row>
    <row r="161" spans="1:21" x14ac:dyDescent="0.3">
      <c r="A161" s="17" t="s">
        <v>379</v>
      </c>
      <c r="B161" s="32">
        <v>44433</v>
      </c>
      <c r="C161" s="32">
        <v>44438</v>
      </c>
      <c r="D161" s="8" t="s">
        <v>73</v>
      </c>
      <c r="E161" s="8" t="s">
        <v>380</v>
      </c>
      <c r="F161" s="10" t="s">
        <v>381</v>
      </c>
      <c r="G161" s="10" t="s">
        <v>51</v>
      </c>
      <c r="H161" s="10" t="s">
        <v>156</v>
      </c>
      <c r="I161" s="10" t="s">
        <v>157</v>
      </c>
      <c r="J161" s="10" t="s">
        <v>88</v>
      </c>
      <c r="K161" s="10" t="s">
        <v>45</v>
      </c>
      <c r="L161" s="10" t="s">
        <v>99</v>
      </c>
      <c r="M161" s="10" t="s">
        <v>382</v>
      </c>
      <c r="N161" s="11">
        <v>39.89</v>
      </c>
      <c r="O161" s="12">
        <v>2</v>
      </c>
      <c r="P161" s="13">
        <v>0.5</v>
      </c>
      <c r="Q161" s="19">
        <v>-16.579999999999998</v>
      </c>
      <c r="R161" s="45" t="str">
        <f t="shared" si="8"/>
        <v>OK</v>
      </c>
      <c r="S161" s="45">
        <f t="shared" si="9"/>
        <v>1307.114</v>
      </c>
      <c r="T161" s="45">
        <f t="shared" si="10"/>
        <v>10</v>
      </c>
      <c r="U161" s="45">
        <f t="shared" si="11"/>
        <v>13071.14</v>
      </c>
    </row>
    <row r="162" spans="1:21" x14ac:dyDescent="0.3">
      <c r="A162" s="17" t="s">
        <v>696</v>
      </c>
      <c r="B162" s="32">
        <v>44437</v>
      </c>
      <c r="C162" s="32">
        <v>44444</v>
      </c>
      <c r="D162" s="8" t="s">
        <v>29</v>
      </c>
      <c r="E162" s="8" t="s">
        <v>697</v>
      </c>
      <c r="F162" s="10" t="s">
        <v>698</v>
      </c>
      <c r="G162" s="10" t="s">
        <v>21</v>
      </c>
      <c r="H162" s="10" t="s">
        <v>319</v>
      </c>
      <c r="I162" s="10" t="s">
        <v>194</v>
      </c>
      <c r="J162" s="10" t="s">
        <v>34</v>
      </c>
      <c r="K162" s="10" t="s">
        <v>35</v>
      </c>
      <c r="L162" s="10" t="s">
        <v>158</v>
      </c>
      <c r="M162" s="10" t="s">
        <v>699</v>
      </c>
      <c r="N162" s="11">
        <v>91.08</v>
      </c>
      <c r="O162" s="12">
        <v>6</v>
      </c>
      <c r="P162" s="13">
        <v>0</v>
      </c>
      <c r="Q162" s="19">
        <v>28.09</v>
      </c>
      <c r="R162" s="45" t="str">
        <f t="shared" si="8"/>
        <v>OK</v>
      </c>
      <c r="S162" s="45">
        <f t="shared" si="9"/>
        <v>1307.114</v>
      </c>
      <c r="T162" s="45">
        <f t="shared" si="10"/>
        <v>10</v>
      </c>
      <c r="U162" s="45">
        <f t="shared" si="11"/>
        <v>13071.14</v>
      </c>
    </row>
    <row r="163" spans="1:21" x14ac:dyDescent="0.3">
      <c r="A163" s="17" t="s">
        <v>1414</v>
      </c>
      <c r="B163" s="32">
        <v>44437</v>
      </c>
      <c r="C163" s="32">
        <v>44440</v>
      </c>
      <c r="D163" s="8" t="s">
        <v>73</v>
      </c>
      <c r="E163" s="8" t="s">
        <v>1158</v>
      </c>
      <c r="F163" s="10" t="s">
        <v>1159</v>
      </c>
      <c r="G163" s="10" t="s">
        <v>42</v>
      </c>
      <c r="H163" s="10" t="s">
        <v>346</v>
      </c>
      <c r="I163" s="10" t="s">
        <v>347</v>
      </c>
      <c r="J163" s="10" t="s">
        <v>88</v>
      </c>
      <c r="K163" s="10" t="s">
        <v>45</v>
      </c>
      <c r="L163" s="10" t="s">
        <v>61</v>
      </c>
      <c r="M163" s="10" t="s">
        <v>1415</v>
      </c>
      <c r="N163" s="11">
        <v>434.35</v>
      </c>
      <c r="O163" s="12">
        <v>2</v>
      </c>
      <c r="P163" s="13">
        <v>0.3</v>
      </c>
      <c r="Q163" s="19">
        <v>-160.37</v>
      </c>
      <c r="R163" s="45" t="str">
        <f t="shared" si="8"/>
        <v>OK</v>
      </c>
      <c r="S163" s="45">
        <f t="shared" si="9"/>
        <v>1307.114</v>
      </c>
      <c r="T163" s="45">
        <f t="shared" si="10"/>
        <v>10</v>
      </c>
      <c r="U163" s="45">
        <f t="shared" si="11"/>
        <v>13071.14</v>
      </c>
    </row>
    <row r="164" spans="1:21" x14ac:dyDescent="0.3">
      <c r="A164" s="16" t="s">
        <v>1574</v>
      </c>
      <c r="B164" s="31">
        <v>44438</v>
      </c>
      <c r="C164" s="31">
        <v>44444</v>
      </c>
      <c r="D164" s="2" t="s">
        <v>29</v>
      </c>
      <c r="E164" s="2" t="s">
        <v>40</v>
      </c>
      <c r="F164" s="4" t="s">
        <v>41</v>
      </c>
      <c r="G164" s="4" t="s">
        <v>42</v>
      </c>
      <c r="H164" s="4" t="s">
        <v>43</v>
      </c>
      <c r="I164" s="4" t="s">
        <v>44</v>
      </c>
      <c r="J164" s="4" t="s">
        <v>24</v>
      </c>
      <c r="K164" s="4" t="s">
        <v>25</v>
      </c>
      <c r="L164" s="4" t="s">
        <v>74</v>
      </c>
      <c r="M164" s="4" t="s">
        <v>772</v>
      </c>
      <c r="N164" s="5">
        <v>228.51</v>
      </c>
      <c r="O164" s="6">
        <v>1</v>
      </c>
      <c r="P164" s="7">
        <v>0</v>
      </c>
      <c r="Q164" s="18">
        <v>83.98</v>
      </c>
      <c r="R164" s="45" t="str">
        <f t="shared" si="8"/>
        <v>OK</v>
      </c>
      <c r="S164" s="45">
        <f t="shared" si="9"/>
        <v>1307.114</v>
      </c>
      <c r="T164" s="45">
        <f t="shared" si="10"/>
        <v>10</v>
      </c>
      <c r="U164" s="45">
        <f t="shared" si="11"/>
        <v>13071.14</v>
      </c>
    </row>
    <row r="165" spans="1:21" x14ac:dyDescent="0.3">
      <c r="A165" s="17" t="s">
        <v>1618</v>
      </c>
      <c r="B165" s="32">
        <v>44438</v>
      </c>
      <c r="C165" s="32">
        <v>44441</v>
      </c>
      <c r="D165" s="8" t="s">
        <v>39</v>
      </c>
      <c r="E165" s="8" t="s">
        <v>628</v>
      </c>
      <c r="F165" s="10" t="s">
        <v>629</v>
      </c>
      <c r="G165" s="10" t="s">
        <v>42</v>
      </c>
      <c r="H165" s="10" t="s">
        <v>32</v>
      </c>
      <c r="I165" s="10" t="s">
        <v>33</v>
      </c>
      <c r="J165" s="10" t="s">
        <v>34</v>
      </c>
      <c r="K165" s="10" t="s">
        <v>35</v>
      </c>
      <c r="L165" s="10" t="s">
        <v>216</v>
      </c>
      <c r="M165" s="10" t="s">
        <v>1619</v>
      </c>
      <c r="N165" s="11">
        <v>53.42</v>
      </c>
      <c r="O165" s="12">
        <v>4</v>
      </c>
      <c r="P165" s="13">
        <v>0.4</v>
      </c>
      <c r="Q165" s="19">
        <v>-0.55000000000000004</v>
      </c>
      <c r="R165" s="45" t="str">
        <f t="shared" si="8"/>
        <v>OK</v>
      </c>
      <c r="S165" s="45">
        <f t="shared" si="9"/>
        <v>1307.114</v>
      </c>
      <c r="T165" s="45">
        <f t="shared" si="10"/>
        <v>10</v>
      </c>
      <c r="U165" s="45">
        <f t="shared" si="11"/>
        <v>13071.14</v>
      </c>
    </row>
    <row r="166" spans="1:21" x14ac:dyDescent="0.3">
      <c r="A166" s="17" t="s">
        <v>2167</v>
      </c>
      <c r="B166" s="32">
        <v>44438</v>
      </c>
      <c r="C166" s="32">
        <v>44444</v>
      </c>
      <c r="D166" s="8" t="s">
        <v>29</v>
      </c>
      <c r="E166" s="8" t="s">
        <v>1101</v>
      </c>
      <c r="F166" s="10" t="s">
        <v>1102</v>
      </c>
      <c r="G166" s="10" t="s">
        <v>42</v>
      </c>
      <c r="H166" s="10" t="s">
        <v>1103</v>
      </c>
      <c r="I166" s="10" t="s">
        <v>172</v>
      </c>
      <c r="J166" s="10" t="s">
        <v>24</v>
      </c>
      <c r="K166" s="10" t="s">
        <v>25</v>
      </c>
      <c r="L166" s="10" t="s">
        <v>26</v>
      </c>
      <c r="M166" s="10" t="s">
        <v>2168</v>
      </c>
      <c r="N166" s="11">
        <v>1238.98</v>
      </c>
      <c r="O166" s="12">
        <v>3</v>
      </c>
      <c r="P166" s="13">
        <v>0.1</v>
      </c>
      <c r="Q166" s="19">
        <v>86.36</v>
      </c>
      <c r="R166" s="45" t="str">
        <f t="shared" si="8"/>
        <v>OK</v>
      </c>
      <c r="S166" s="45">
        <f t="shared" si="9"/>
        <v>1307.114</v>
      </c>
      <c r="T166" s="45">
        <f t="shared" si="10"/>
        <v>10</v>
      </c>
      <c r="U166" s="45">
        <f t="shared" si="11"/>
        <v>13071.14</v>
      </c>
    </row>
    <row r="167" spans="1:21" x14ac:dyDescent="0.3">
      <c r="A167" s="17" t="s">
        <v>1061</v>
      </c>
      <c r="B167" s="32">
        <v>44440</v>
      </c>
      <c r="C167" s="32">
        <v>44444</v>
      </c>
      <c r="D167" s="8" t="s">
        <v>73</v>
      </c>
      <c r="E167" s="8" t="s">
        <v>197</v>
      </c>
      <c r="F167" s="10" t="s">
        <v>198</v>
      </c>
      <c r="G167" s="10" t="s">
        <v>21</v>
      </c>
      <c r="H167" s="10" t="s">
        <v>129</v>
      </c>
      <c r="I167" s="10" t="s">
        <v>33</v>
      </c>
      <c r="J167" s="10" t="s">
        <v>34</v>
      </c>
      <c r="K167" s="10" t="s">
        <v>45</v>
      </c>
      <c r="L167" s="10" t="s">
        <v>99</v>
      </c>
      <c r="M167" s="10" t="s">
        <v>1062</v>
      </c>
      <c r="N167" s="11">
        <v>294.58</v>
      </c>
      <c r="O167" s="12">
        <v>3</v>
      </c>
      <c r="P167" s="13">
        <v>0.2</v>
      </c>
      <c r="Q167" s="19">
        <v>59.21</v>
      </c>
      <c r="R167" s="45" t="str">
        <f t="shared" si="8"/>
        <v>OK</v>
      </c>
      <c r="S167" s="45">
        <f t="shared" si="9"/>
        <v>1307.114</v>
      </c>
      <c r="T167" s="45">
        <f t="shared" si="10"/>
        <v>10</v>
      </c>
      <c r="U167" s="45">
        <f t="shared" si="11"/>
        <v>13071.14</v>
      </c>
    </row>
    <row r="168" spans="1:21" x14ac:dyDescent="0.3">
      <c r="A168" s="16" t="s">
        <v>1987</v>
      </c>
      <c r="B168" s="31">
        <v>44442</v>
      </c>
      <c r="C168" s="31">
        <v>44446</v>
      </c>
      <c r="D168" s="2" t="s">
        <v>73</v>
      </c>
      <c r="E168" s="2" t="s">
        <v>864</v>
      </c>
      <c r="F168" s="4" t="s">
        <v>865</v>
      </c>
      <c r="G168" s="4" t="s">
        <v>21</v>
      </c>
      <c r="H168" s="4" t="s">
        <v>177</v>
      </c>
      <c r="I168" s="4" t="s">
        <v>178</v>
      </c>
      <c r="J168" s="4" t="s">
        <v>24</v>
      </c>
      <c r="K168" s="4" t="s">
        <v>25</v>
      </c>
      <c r="L168" s="4" t="s">
        <v>74</v>
      </c>
      <c r="M168" s="4" t="s">
        <v>1988</v>
      </c>
      <c r="N168" s="5">
        <v>713.49</v>
      </c>
      <c r="O168" s="6">
        <v>3</v>
      </c>
      <c r="P168" s="7">
        <v>0</v>
      </c>
      <c r="Q168" s="18">
        <v>261.60000000000002</v>
      </c>
      <c r="R168" s="45" t="str">
        <f t="shared" si="8"/>
        <v>OK</v>
      </c>
      <c r="S168" s="45">
        <f t="shared" si="9"/>
        <v>1307.114</v>
      </c>
      <c r="T168" s="45">
        <f t="shared" si="10"/>
        <v>10</v>
      </c>
      <c r="U168" s="45">
        <f t="shared" si="11"/>
        <v>13071.14</v>
      </c>
    </row>
    <row r="169" spans="1:21" x14ac:dyDescent="0.3">
      <c r="A169" s="17" t="s">
        <v>1481</v>
      </c>
      <c r="B169" s="32">
        <v>44443</v>
      </c>
      <c r="C169" s="32">
        <v>44448</v>
      </c>
      <c r="D169" s="8" t="s">
        <v>73</v>
      </c>
      <c r="E169" s="8" t="s">
        <v>340</v>
      </c>
      <c r="F169" s="10" t="s">
        <v>341</v>
      </c>
      <c r="G169" s="10" t="s">
        <v>21</v>
      </c>
      <c r="H169" s="10" t="s">
        <v>139</v>
      </c>
      <c r="I169" s="10" t="s">
        <v>140</v>
      </c>
      <c r="J169" s="10" t="s">
        <v>24</v>
      </c>
      <c r="K169" s="10" t="s">
        <v>35</v>
      </c>
      <c r="L169" s="10" t="s">
        <v>110</v>
      </c>
      <c r="M169" s="10" t="s">
        <v>1482</v>
      </c>
      <c r="N169" s="11">
        <v>198.41</v>
      </c>
      <c r="O169" s="12">
        <v>7</v>
      </c>
      <c r="P169" s="13">
        <v>0.2</v>
      </c>
      <c r="Q169" s="19">
        <v>44.93</v>
      </c>
      <c r="R169" s="45" t="str">
        <f t="shared" si="8"/>
        <v>OK</v>
      </c>
      <c r="S169" s="45">
        <f t="shared" si="9"/>
        <v>1307.114</v>
      </c>
      <c r="T169" s="45">
        <f t="shared" si="10"/>
        <v>10</v>
      </c>
      <c r="U169" s="45">
        <f t="shared" si="11"/>
        <v>13071.14</v>
      </c>
    </row>
    <row r="170" spans="1:21" x14ac:dyDescent="0.3">
      <c r="A170" s="17" t="s">
        <v>1157</v>
      </c>
      <c r="B170" s="32">
        <v>44444</v>
      </c>
      <c r="C170" s="32">
        <v>44449</v>
      </c>
      <c r="D170" s="8" t="s">
        <v>29</v>
      </c>
      <c r="E170" s="8" t="s">
        <v>1158</v>
      </c>
      <c r="F170" s="10" t="s">
        <v>1159</v>
      </c>
      <c r="G170" s="10" t="s">
        <v>42</v>
      </c>
      <c r="H170" s="10" t="s">
        <v>346</v>
      </c>
      <c r="I170" s="10" t="s">
        <v>347</v>
      </c>
      <c r="J170" s="10" t="s">
        <v>88</v>
      </c>
      <c r="K170" s="10" t="s">
        <v>35</v>
      </c>
      <c r="L170" s="10" t="s">
        <v>216</v>
      </c>
      <c r="M170" s="10" t="s">
        <v>1160</v>
      </c>
      <c r="N170" s="11">
        <v>126.38</v>
      </c>
      <c r="O170" s="12">
        <v>7</v>
      </c>
      <c r="P170" s="13">
        <v>0.15</v>
      </c>
      <c r="Q170" s="19">
        <v>50.36</v>
      </c>
      <c r="R170" s="45" t="str">
        <f t="shared" si="8"/>
        <v>OK</v>
      </c>
      <c r="S170" s="45">
        <f t="shared" si="9"/>
        <v>1307.114</v>
      </c>
      <c r="T170" s="45">
        <f t="shared" si="10"/>
        <v>10</v>
      </c>
      <c r="U170" s="45">
        <f t="shared" si="11"/>
        <v>13071.14</v>
      </c>
    </row>
    <row r="171" spans="1:21" x14ac:dyDescent="0.3">
      <c r="A171" s="17" t="s">
        <v>2349</v>
      </c>
      <c r="B171" s="32">
        <v>44445</v>
      </c>
      <c r="C171" s="32">
        <v>44449</v>
      </c>
      <c r="D171" s="8" t="s">
        <v>39</v>
      </c>
      <c r="E171" s="8" t="s">
        <v>813</v>
      </c>
      <c r="F171" s="10" t="s">
        <v>814</v>
      </c>
      <c r="G171" s="10" t="s">
        <v>51</v>
      </c>
      <c r="H171" s="10" t="s">
        <v>134</v>
      </c>
      <c r="I171" s="10" t="s">
        <v>87</v>
      </c>
      <c r="J171" s="10" t="s">
        <v>88</v>
      </c>
      <c r="K171" s="10" t="s">
        <v>35</v>
      </c>
      <c r="L171" s="10" t="s">
        <v>110</v>
      </c>
      <c r="M171" s="10" t="s">
        <v>2350</v>
      </c>
      <c r="N171" s="11">
        <v>98.98</v>
      </c>
      <c r="O171" s="12">
        <v>5</v>
      </c>
      <c r="P171" s="13">
        <v>0.15</v>
      </c>
      <c r="Q171" s="19">
        <v>43.88</v>
      </c>
      <c r="R171" s="45" t="str">
        <f t="shared" si="8"/>
        <v>OK</v>
      </c>
      <c r="S171" s="45">
        <f t="shared" si="9"/>
        <v>1307.114</v>
      </c>
      <c r="T171" s="45">
        <f t="shared" si="10"/>
        <v>10</v>
      </c>
      <c r="U171" s="45">
        <f t="shared" si="11"/>
        <v>13071.14</v>
      </c>
    </row>
    <row r="172" spans="1:21" x14ac:dyDescent="0.3">
      <c r="A172" s="16" t="s">
        <v>2366</v>
      </c>
      <c r="B172" s="31">
        <v>44446</v>
      </c>
      <c r="C172" s="31">
        <v>44450</v>
      </c>
      <c r="D172" s="2" t="s">
        <v>73</v>
      </c>
      <c r="E172" s="2" t="s">
        <v>277</v>
      </c>
      <c r="F172" s="4" t="s">
        <v>278</v>
      </c>
      <c r="G172" s="4" t="s">
        <v>21</v>
      </c>
      <c r="H172" s="4" t="s">
        <v>104</v>
      </c>
      <c r="I172" s="4" t="s">
        <v>105</v>
      </c>
      <c r="J172" s="4" t="s">
        <v>88</v>
      </c>
      <c r="K172" s="4" t="s">
        <v>25</v>
      </c>
      <c r="L172" s="4" t="s">
        <v>74</v>
      </c>
      <c r="M172" s="4" t="s">
        <v>2367</v>
      </c>
      <c r="N172" s="5">
        <v>679.32</v>
      </c>
      <c r="O172" s="6">
        <v>5</v>
      </c>
      <c r="P172" s="7">
        <v>0.2</v>
      </c>
      <c r="Q172" s="18">
        <v>108.25</v>
      </c>
      <c r="R172" s="45" t="str">
        <f t="shared" si="8"/>
        <v>OK</v>
      </c>
      <c r="S172" s="45">
        <f t="shared" si="9"/>
        <v>1307.114</v>
      </c>
      <c r="T172" s="45">
        <f t="shared" si="10"/>
        <v>10</v>
      </c>
      <c r="U172" s="45">
        <f t="shared" si="11"/>
        <v>13071.14</v>
      </c>
    </row>
    <row r="173" spans="1:21" x14ac:dyDescent="0.3">
      <c r="A173" s="17" t="s">
        <v>2357</v>
      </c>
      <c r="B173" s="32">
        <v>44450</v>
      </c>
      <c r="C173" s="32">
        <v>44453</v>
      </c>
      <c r="D173" s="8" t="s">
        <v>39</v>
      </c>
      <c r="E173" s="8" t="s">
        <v>954</v>
      </c>
      <c r="F173" s="10" t="s">
        <v>955</v>
      </c>
      <c r="G173" s="10" t="s">
        <v>51</v>
      </c>
      <c r="H173" s="10" t="s">
        <v>386</v>
      </c>
      <c r="I173" s="10" t="s">
        <v>347</v>
      </c>
      <c r="J173" s="10" t="s">
        <v>88</v>
      </c>
      <c r="K173" s="10" t="s">
        <v>45</v>
      </c>
      <c r="L173" s="10" t="s">
        <v>46</v>
      </c>
      <c r="M173" s="10" t="s">
        <v>2358</v>
      </c>
      <c r="N173" s="11">
        <v>183.57</v>
      </c>
      <c r="O173" s="12">
        <v>2</v>
      </c>
      <c r="P173" s="13">
        <v>0.2</v>
      </c>
      <c r="Q173" s="19">
        <v>36.47</v>
      </c>
      <c r="R173" s="45" t="str">
        <f t="shared" si="8"/>
        <v>OK</v>
      </c>
      <c r="S173" s="45">
        <f t="shared" si="9"/>
        <v>1307.114</v>
      </c>
      <c r="T173" s="45">
        <f t="shared" si="10"/>
        <v>10</v>
      </c>
      <c r="U173" s="45">
        <f t="shared" si="11"/>
        <v>13071.14</v>
      </c>
    </row>
    <row r="174" spans="1:21" x14ac:dyDescent="0.3">
      <c r="A174" s="16" t="s">
        <v>112</v>
      </c>
      <c r="B174" s="31">
        <v>44451</v>
      </c>
      <c r="C174" s="31">
        <v>44452</v>
      </c>
      <c r="D174" s="2" t="s">
        <v>18</v>
      </c>
      <c r="E174" s="2" t="s">
        <v>113</v>
      </c>
      <c r="F174" s="4" t="s">
        <v>114</v>
      </c>
      <c r="G174" s="4" t="s">
        <v>21</v>
      </c>
      <c r="H174" s="4" t="s">
        <v>115</v>
      </c>
      <c r="I174" s="4" t="s">
        <v>116</v>
      </c>
      <c r="J174" s="4" t="s">
        <v>54</v>
      </c>
      <c r="K174" s="4" t="s">
        <v>45</v>
      </c>
      <c r="L174" s="4" t="s">
        <v>117</v>
      </c>
      <c r="M174" s="4" t="s">
        <v>118</v>
      </c>
      <c r="N174" s="5">
        <v>5111.7</v>
      </c>
      <c r="O174" s="6">
        <v>10</v>
      </c>
      <c r="P174" s="7">
        <v>0</v>
      </c>
      <c r="Q174" s="18">
        <v>1695.26</v>
      </c>
      <c r="R174" s="45" t="str">
        <f t="shared" si="8"/>
        <v>OK</v>
      </c>
      <c r="S174" s="45">
        <f t="shared" si="9"/>
        <v>1307.114</v>
      </c>
      <c r="T174" s="45">
        <f t="shared" si="10"/>
        <v>10</v>
      </c>
      <c r="U174" s="45">
        <f t="shared" si="11"/>
        <v>13071.14</v>
      </c>
    </row>
    <row r="175" spans="1:21" x14ac:dyDescent="0.3">
      <c r="A175" s="16" t="s">
        <v>2145</v>
      </c>
      <c r="B175" s="31">
        <v>44452</v>
      </c>
      <c r="C175" s="31">
        <v>44455</v>
      </c>
      <c r="D175" s="2" t="s">
        <v>18</v>
      </c>
      <c r="E175" s="2" t="s">
        <v>453</v>
      </c>
      <c r="F175" s="4" t="s">
        <v>454</v>
      </c>
      <c r="G175" s="4" t="s">
        <v>21</v>
      </c>
      <c r="H175" s="4" t="s">
        <v>386</v>
      </c>
      <c r="I175" s="4" t="s">
        <v>347</v>
      </c>
      <c r="J175" s="4" t="s">
        <v>88</v>
      </c>
      <c r="K175" s="4" t="s">
        <v>35</v>
      </c>
      <c r="L175" s="4" t="s">
        <v>36</v>
      </c>
      <c r="M175" s="4" t="s">
        <v>2146</v>
      </c>
      <c r="N175" s="5">
        <v>289.29000000000002</v>
      </c>
      <c r="O175" s="6">
        <v>5</v>
      </c>
      <c r="P175" s="7">
        <v>0.4</v>
      </c>
      <c r="Q175" s="18">
        <v>-14.97</v>
      </c>
      <c r="R175" s="45" t="str">
        <f t="shared" si="8"/>
        <v>OK</v>
      </c>
      <c r="S175" s="45">
        <f t="shared" si="9"/>
        <v>1307.114</v>
      </c>
      <c r="T175" s="45">
        <f t="shared" si="10"/>
        <v>10</v>
      </c>
      <c r="U175" s="45">
        <f t="shared" si="11"/>
        <v>13071.14</v>
      </c>
    </row>
    <row r="176" spans="1:21" x14ac:dyDescent="0.3">
      <c r="A176" s="16" t="s">
        <v>1882</v>
      </c>
      <c r="B176" s="31">
        <v>44453</v>
      </c>
      <c r="C176" s="31">
        <v>44457</v>
      </c>
      <c r="D176" s="2" t="s">
        <v>73</v>
      </c>
      <c r="E176" s="2" t="s">
        <v>1258</v>
      </c>
      <c r="F176" s="4" t="s">
        <v>1259</v>
      </c>
      <c r="G176" s="4" t="s">
        <v>21</v>
      </c>
      <c r="H176" s="4" t="s">
        <v>438</v>
      </c>
      <c r="I176" s="4" t="s">
        <v>157</v>
      </c>
      <c r="J176" s="4" t="s">
        <v>88</v>
      </c>
      <c r="K176" s="4" t="s">
        <v>45</v>
      </c>
      <c r="L176" s="4" t="s">
        <v>99</v>
      </c>
      <c r="M176" s="4" t="s">
        <v>1883</v>
      </c>
      <c r="N176" s="5">
        <v>1403.21</v>
      </c>
      <c r="O176" s="6">
        <v>9</v>
      </c>
      <c r="P176" s="7">
        <v>1.27</v>
      </c>
      <c r="Q176" s="18">
        <v>76.36</v>
      </c>
      <c r="R176" s="45" t="str">
        <f t="shared" si="8"/>
        <v>OK</v>
      </c>
      <c r="S176" s="45">
        <f t="shared" si="9"/>
        <v>1307.114</v>
      </c>
      <c r="T176" s="45">
        <f t="shared" si="10"/>
        <v>10</v>
      </c>
      <c r="U176" s="45">
        <f t="shared" si="11"/>
        <v>13071.14</v>
      </c>
    </row>
    <row r="177" spans="1:21" x14ac:dyDescent="0.3">
      <c r="A177" s="17" t="s">
        <v>1785</v>
      </c>
      <c r="B177" s="32">
        <v>44455</v>
      </c>
      <c r="C177" s="32">
        <v>44457</v>
      </c>
      <c r="D177" s="8" t="s">
        <v>39</v>
      </c>
      <c r="E177" s="8" t="s">
        <v>827</v>
      </c>
      <c r="F177" s="10" t="s">
        <v>828</v>
      </c>
      <c r="G177" s="10" t="s">
        <v>51</v>
      </c>
      <c r="H177" s="10" t="s">
        <v>319</v>
      </c>
      <c r="I177" s="10" t="s">
        <v>194</v>
      </c>
      <c r="J177" s="10" t="s">
        <v>34</v>
      </c>
      <c r="K177" s="10" t="s">
        <v>45</v>
      </c>
      <c r="L177" s="10" t="s">
        <v>99</v>
      </c>
      <c r="M177" s="10" t="s">
        <v>1780</v>
      </c>
      <c r="N177" s="11">
        <v>198.98</v>
      </c>
      <c r="O177" s="12">
        <v>9</v>
      </c>
      <c r="P177" s="13">
        <v>0.15</v>
      </c>
      <c r="Q177" s="19">
        <v>43.92</v>
      </c>
      <c r="R177" s="45" t="str">
        <f t="shared" si="8"/>
        <v>OK</v>
      </c>
      <c r="S177" s="45">
        <f t="shared" si="9"/>
        <v>1307.114</v>
      </c>
      <c r="T177" s="45">
        <f t="shared" si="10"/>
        <v>10</v>
      </c>
      <c r="U177" s="45">
        <f t="shared" si="11"/>
        <v>13071.14</v>
      </c>
    </row>
    <row r="178" spans="1:21" x14ac:dyDescent="0.3">
      <c r="A178" s="17" t="s">
        <v>1765</v>
      </c>
      <c r="B178" s="32">
        <v>44456</v>
      </c>
      <c r="C178" s="32">
        <v>44459</v>
      </c>
      <c r="D178" s="8" t="s">
        <v>39</v>
      </c>
      <c r="E178" s="8" t="s">
        <v>445</v>
      </c>
      <c r="F178" s="10" t="s">
        <v>446</v>
      </c>
      <c r="G178" s="10" t="s">
        <v>51</v>
      </c>
      <c r="H178" s="10" t="s">
        <v>183</v>
      </c>
      <c r="I178" s="10" t="s">
        <v>184</v>
      </c>
      <c r="J178" s="10"/>
      <c r="K178" s="10" t="s">
        <v>45</v>
      </c>
      <c r="L178" s="10" t="s">
        <v>46</v>
      </c>
      <c r="M178" s="10" t="s">
        <v>1766</v>
      </c>
      <c r="N178" s="11">
        <v>1263.32</v>
      </c>
      <c r="O178" s="12">
        <v>4</v>
      </c>
      <c r="P178" s="13">
        <v>0</v>
      </c>
      <c r="Q178" s="19">
        <v>396.13</v>
      </c>
      <c r="R178" s="45" t="str">
        <f t="shared" si="8"/>
        <v>OK</v>
      </c>
      <c r="S178" s="45">
        <f t="shared" si="9"/>
        <v>1307.114</v>
      </c>
      <c r="T178" s="45">
        <f t="shared" si="10"/>
        <v>10</v>
      </c>
      <c r="U178" s="45">
        <f t="shared" si="11"/>
        <v>13071.14</v>
      </c>
    </row>
    <row r="179" spans="1:21" x14ac:dyDescent="0.3">
      <c r="A179" s="17" t="s">
        <v>1963</v>
      </c>
      <c r="B179" s="32">
        <v>44457</v>
      </c>
      <c r="C179" s="32">
        <v>44463</v>
      </c>
      <c r="D179" s="8" t="s">
        <v>29</v>
      </c>
      <c r="E179" s="8" t="s">
        <v>809</v>
      </c>
      <c r="F179" s="10" t="s">
        <v>810</v>
      </c>
      <c r="G179" s="10" t="s">
        <v>42</v>
      </c>
      <c r="H179" s="10" t="s">
        <v>352</v>
      </c>
      <c r="I179" s="10" t="s">
        <v>306</v>
      </c>
      <c r="J179" s="10" t="s">
        <v>34</v>
      </c>
      <c r="K179" s="10" t="s">
        <v>35</v>
      </c>
      <c r="L179" s="10" t="s">
        <v>89</v>
      </c>
      <c r="M179" s="10" t="s">
        <v>1964</v>
      </c>
      <c r="N179" s="11">
        <v>1088.17</v>
      </c>
      <c r="O179" s="12">
        <v>5</v>
      </c>
      <c r="P179" s="13">
        <v>0.15</v>
      </c>
      <c r="Q179" s="19">
        <v>234.65</v>
      </c>
      <c r="R179" s="45" t="str">
        <f t="shared" si="8"/>
        <v>OK</v>
      </c>
      <c r="S179" s="45">
        <f t="shared" si="9"/>
        <v>1307.114</v>
      </c>
      <c r="T179" s="45">
        <f t="shared" si="10"/>
        <v>10</v>
      </c>
      <c r="U179" s="45">
        <f t="shared" si="11"/>
        <v>13071.14</v>
      </c>
    </row>
    <row r="180" spans="1:21" x14ac:dyDescent="0.3">
      <c r="A180" s="17" t="s">
        <v>2440</v>
      </c>
      <c r="B180" s="32">
        <v>44457</v>
      </c>
      <c r="C180" s="32">
        <v>44460</v>
      </c>
      <c r="D180" s="8" t="s">
        <v>18</v>
      </c>
      <c r="E180" s="8" t="s">
        <v>997</v>
      </c>
      <c r="F180" s="10" t="s">
        <v>998</v>
      </c>
      <c r="G180" s="10" t="s">
        <v>21</v>
      </c>
      <c r="H180" s="10" t="s">
        <v>357</v>
      </c>
      <c r="I180" s="10" t="s">
        <v>251</v>
      </c>
      <c r="J180" s="10" t="s">
        <v>88</v>
      </c>
      <c r="K180" s="10" t="s">
        <v>25</v>
      </c>
      <c r="L180" s="10" t="s">
        <v>74</v>
      </c>
      <c r="M180" s="10" t="s">
        <v>2441</v>
      </c>
      <c r="N180" s="11">
        <v>4153.9399999999996</v>
      </c>
      <c r="O180" s="12">
        <v>7</v>
      </c>
      <c r="P180" s="13">
        <v>0</v>
      </c>
      <c r="Q180" s="19">
        <v>1814.88</v>
      </c>
      <c r="R180" s="45" t="str">
        <f t="shared" si="8"/>
        <v>OK</v>
      </c>
      <c r="S180" s="45">
        <f t="shared" si="9"/>
        <v>1307.114</v>
      </c>
      <c r="T180" s="45">
        <f t="shared" si="10"/>
        <v>10</v>
      </c>
      <c r="U180" s="45">
        <f t="shared" si="11"/>
        <v>13071.14</v>
      </c>
    </row>
    <row r="181" spans="1:21" x14ac:dyDescent="0.3">
      <c r="A181" s="17" t="s">
        <v>2415</v>
      </c>
      <c r="B181" s="32">
        <v>44459</v>
      </c>
      <c r="C181" s="32">
        <v>44465</v>
      </c>
      <c r="D181" s="8" t="s">
        <v>29</v>
      </c>
      <c r="E181" s="8" t="s">
        <v>420</v>
      </c>
      <c r="F181" s="10" t="s">
        <v>421</v>
      </c>
      <c r="G181" s="10" t="s">
        <v>51</v>
      </c>
      <c r="H181" s="10" t="s">
        <v>422</v>
      </c>
      <c r="I181" s="10" t="s">
        <v>423</v>
      </c>
      <c r="J181" s="10" t="s">
        <v>88</v>
      </c>
      <c r="K181" s="10" t="s">
        <v>35</v>
      </c>
      <c r="L181" s="10" t="s">
        <v>166</v>
      </c>
      <c r="M181" s="10" t="s">
        <v>2416</v>
      </c>
      <c r="N181" s="11">
        <v>142.22999999999999</v>
      </c>
      <c r="O181" s="12">
        <v>3</v>
      </c>
      <c r="P181" s="13">
        <v>0.5</v>
      </c>
      <c r="Q181" s="19">
        <v>-42.04</v>
      </c>
      <c r="R181" s="45" t="str">
        <f t="shared" si="8"/>
        <v>OK</v>
      </c>
      <c r="S181" s="45">
        <f t="shared" si="9"/>
        <v>1307.114</v>
      </c>
      <c r="T181" s="45">
        <f t="shared" si="10"/>
        <v>10</v>
      </c>
      <c r="U181" s="45">
        <f t="shared" si="11"/>
        <v>13071.14</v>
      </c>
    </row>
    <row r="182" spans="1:21" x14ac:dyDescent="0.3">
      <c r="A182" s="16" t="s">
        <v>440</v>
      </c>
      <c r="B182" s="31">
        <v>44460</v>
      </c>
      <c r="C182" s="31">
        <v>44465</v>
      </c>
      <c r="D182" s="2" t="s">
        <v>73</v>
      </c>
      <c r="E182" s="2" t="s">
        <v>441</v>
      </c>
      <c r="F182" s="4" t="s">
        <v>442</v>
      </c>
      <c r="G182" s="4" t="s">
        <v>21</v>
      </c>
      <c r="H182" s="4" t="s">
        <v>98</v>
      </c>
      <c r="I182" s="4" t="s">
        <v>80</v>
      </c>
      <c r="J182" s="4" t="s">
        <v>54</v>
      </c>
      <c r="K182" s="4" t="s">
        <v>25</v>
      </c>
      <c r="L182" s="4" t="s">
        <v>124</v>
      </c>
      <c r="M182" s="4" t="s">
        <v>443</v>
      </c>
      <c r="N182" s="5">
        <v>2173.96</v>
      </c>
      <c r="O182" s="6">
        <v>8</v>
      </c>
      <c r="P182" s="7">
        <v>0.15</v>
      </c>
      <c r="Q182" s="18">
        <v>410.02</v>
      </c>
      <c r="R182" s="45" t="str">
        <f t="shared" si="8"/>
        <v>OK</v>
      </c>
      <c r="S182" s="45">
        <f t="shared" si="9"/>
        <v>1307.114</v>
      </c>
      <c r="T182" s="45">
        <f t="shared" si="10"/>
        <v>10</v>
      </c>
      <c r="U182" s="45">
        <f t="shared" si="11"/>
        <v>13071.14</v>
      </c>
    </row>
    <row r="183" spans="1:21" x14ac:dyDescent="0.3">
      <c r="A183" s="16" t="s">
        <v>536</v>
      </c>
      <c r="B183" s="31">
        <v>44463</v>
      </c>
      <c r="C183" s="31">
        <v>44468</v>
      </c>
      <c r="D183" s="2" t="s">
        <v>73</v>
      </c>
      <c r="E183" s="2" t="s">
        <v>537</v>
      </c>
      <c r="F183" s="4" t="s">
        <v>538</v>
      </c>
      <c r="G183" s="4" t="s">
        <v>42</v>
      </c>
      <c r="H183" s="4" t="s">
        <v>115</v>
      </c>
      <c r="I183" s="4" t="s">
        <v>116</v>
      </c>
      <c r="J183" s="4" t="s">
        <v>54</v>
      </c>
      <c r="K183" s="4" t="s">
        <v>25</v>
      </c>
      <c r="L183" s="4" t="s">
        <v>68</v>
      </c>
      <c r="M183" s="4" t="s">
        <v>539</v>
      </c>
      <c r="N183" s="5">
        <v>514.52</v>
      </c>
      <c r="O183" s="6">
        <v>7</v>
      </c>
      <c r="P183" s="7">
        <v>0.1</v>
      </c>
      <c r="Q183" s="18">
        <v>166.33</v>
      </c>
      <c r="R183" s="45" t="str">
        <f t="shared" si="8"/>
        <v>OK</v>
      </c>
      <c r="S183" s="45">
        <f t="shared" si="9"/>
        <v>1307.114</v>
      </c>
      <c r="T183" s="45">
        <f t="shared" si="10"/>
        <v>10</v>
      </c>
      <c r="U183" s="45">
        <f t="shared" si="11"/>
        <v>13071.14</v>
      </c>
    </row>
    <row r="184" spans="1:21" x14ac:dyDescent="0.3">
      <c r="A184" s="16" t="s">
        <v>1510</v>
      </c>
      <c r="B184" s="31">
        <v>44463</v>
      </c>
      <c r="C184" s="31">
        <v>44466</v>
      </c>
      <c r="D184" s="2" t="s">
        <v>18</v>
      </c>
      <c r="E184" s="2" t="s">
        <v>697</v>
      </c>
      <c r="F184" s="4" t="s">
        <v>698</v>
      </c>
      <c r="G184" s="4" t="s">
        <v>21</v>
      </c>
      <c r="H184" s="4" t="s">
        <v>319</v>
      </c>
      <c r="I184" s="4" t="s">
        <v>194</v>
      </c>
      <c r="J184" s="4" t="s">
        <v>34</v>
      </c>
      <c r="K184" s="4" t="s">
        <v>25</v>
      </c>
      <c r="L184" s="4" t="s">
        <v>68</v>
      </c>
      <c r="M184" s="4" t="s">
        <v>1511</v>
      </c>
      <c r="N184" s="5">
        <v>289.06</v>
      </c>
      <c r="O184" s="6">
        <v>2</v>
      </c>
      <c r="P184" s="7">
        <v>0</v>
      </c>
      <c r="Q184" s="18">
        <v>99.14</v>
      </c>
      <c r="R184" s="45" t="str">
        <f t="shared" si="8"/>
        <v>OK</v>
      </c>
      <c r="S184" s="45">
        <f t="shared" si="9"/>
        <v>1307.114</v>
      </c>
      <c r="T184" s="45">
        <f t="shared" si="10"/>
        <v>10</v>
      </c>
      <c r="U184" s="45">
        <f t="shared" si="11"/>
        <v>13071.14</v>
      </c>
    </row>
    <row r="185" spans="1:21" x14ac:dyDescent="0.3">
      <c r="A185" s="17" t="s">
        <v>2318</v>
      </c>
      <c r="B185" s="32">
        <v>44463</v>
      </c>
      <c r="C185" s="32">
        <v>44464</v>
      </c>
      <c r="D185" s="8" t="s">
        <v>18</v>
      </c>
      <c r="E185" s="8" t="s">
        <v>588</v>
      </c>
      <c r="F185" s="10" t="s">
        <v>589</v>
      </c>
      <c r="G185" s="10" t="s">
        <v>42</v>
      </c>
      <c r="H185" s="10" t="s">
        <v>397</v>
      </c>
      <c r="I185" s="10" t="s">
        <v>33</v>
      </c>
      <c r="J185" s="10" t="s">
        <v>34</v>
      </c>
      <c r="K185" s="10" t="s">
        <v>45</v>
      </c>
      <c r="L185" s="10" t="s">
        <v>61</v>
      </c>
      <c r="M185" s="10" t="s">
        <v>2319</v>
      </c>
      <c r="N185" s="11">
        <v>1525.5</v>
      </c>
      <c r="O185" s="12">
        <v>2</v>
      </c>
      <c r="P185" s="13">
        <v>0</v>
      </c>
      <c r="Q185" s="19">
        <v>259.41000000000003</v>
      </c>
      <c r="R185" s="45" t="str">
        <f t="shared" si="8"/>
        <v>OK</v>
      </c>
      <c r="S185" s="45">
        <f t="shared" si="9"/>
        <v>1307.114</v>
      </c>
      <c r="T185" s="45">
        <f t="shared" si="10"/>
        <v>10</v>
      </c>
      <c r="U185" s="45">
        <f t="shared" si="11"/>
        <v>13071.14</v>
      </c>
    </row>
    <row r="186" spans="1:21" x14ac:dyDescent="0.3">
      <c r="A186" s="17" t="s">
        <v>792</v>
      </c>
      <c r="B186" s="32">
        <v>44467</v>
      </c>
      <c r="C186" s="32">
        <v>44474</v>
      </c>
      <c r="D186" s="8" t="s">
        <v>29</v>
      </c>
      <c r="E186" s="8" t="s">
        <v>463</v>
      </c>
      <c r="F186" s="10" t="s">
        <v>464</v>
      </c>
      <c r="G186" s="10" t="s">
        <v>51</v>
      </c>
      <c r="H186" s="10" t="s">
        <v>465</v>
      </c>
      <c r="I186" s="10" t="s">
        <v>423</v>
      </c>
      <c r="J186" s="10" t="s">
        <v>88</v>
      </c>
      <c r="K186" s="10" t="s">
        <v>35</v>
      </c>
      <c r="L186" s="10" t="s">
        <v>166</v>
      </c>
      <c r="M186" s="10" t="s">
        <v>793</v>
      </c>
      <c r="N186" s="11">
        <v>305.04000000000002</v>
      </c>
      <c r="O186" s="12">
        <v>5</v>
      </c>
      <c r="P186" s="13">
        <v>0.2</v>
      </c>
      <c r="Q186" s="19">
        <v>27.68</v>
      </c>
      <c r="R186" s="45" t="str">
        <f t="shared" si="8"/>
        <v>OK</v>
      </c>
      <c r="S186" s="45">
        <f t="shared" si="9"/>
        <v>1307.114</v>
      </c>
      <c r="T186" s="45">
        <f t="shared" si="10"/>
        <v>10</v>
      </c>
      <c r="U186" s="45">
        <f t="shared" si="11"/>
        <v>13071.14</v>
      </c>
    </row>
    <row r="187" spans="1:21" x14ac:dyDescent="0.3">
      <c r="A187" s="17" t="s">
        <v>996</v>
      </c>
      <c r="B187" s="32">
        <v>44467</v>
      </c>
      <c r="C187" s="32">
        <v>44469</v>
      </c>
      <c r="D187" s="8" t="s">
        <v>39</v>
      </c>
      <c r="E187" s="8" t="s">
        <v>997</v>
      </c>
      <c r="F187" s="10" t="s">
        <v>998</v>
      </c>
      <c r="G187" s="10" t="s">
        <v>21</v>
      </c>
      <c r="H187" s="10" t="s">
        <v>357</v>
      </c>
      <c r="I187" s="10" t="s">
        <v>251</v>
      </c>
      <c r="J187" s="10" t="s">
        <v>88</v>
      </c>
      <c r="K187" s="10" t="s">
        <v>35</v>
      </c>
      <c r="L187" s="10" t="s">
        <v>36</v>
      </c>
      <c r="M187" s="10" t="s">
        <v>999</v>
      </c>
      <c r="N187" s="11">
        <v>1650.53</v>
      </c>
      <c r="O187" s="12">
        <v>7</v>
      </c>
      <c r="P187" s="13">
        <v>0.05</v>
      </c>
      <c r="Q187" s="19">
        <v>505.04</v>
      </c>
      <c r="R187" s="45" t="str">
        <f t="shared" si="8"/>
        <v>OK</v>
      </c>
      <c r="S187" s="45">
        <f t="shared" si="9"/>
        <v>1307.114</v>
      </c>
      <c r="T187" s="45">
        <f t="shared" si="10"/>
        <v>10</v>
      </c>
      <c r="U187" s="45">
        <f t="shared" si="11"/>
        <v>13071.14</v>
      </c>
    </row>
    <row r="188" spans="1:21" x14ac:dyDescent="0.3">
      <c r="A188" s="16" t="s">
        <v>1123</v>
      </c>
      <c r="B188" s="31">
        <v>44467</v>
      </c>
      <c r="C188" s="31">
        <v>44470</v>
      </c>
      <c r="D188" s="2" t="s">
        <v>18</v>
      </c>
      <c r="E188" s="2" t="s">
        <v>561</v>
      </c>
      <c r="F188" s="4" t="s">
        <v>562</v>
      </c>
      <c r="G188" s="4" t="s">
        <v>42</v>
      </c>
      <c r="H188" s="4" t="s">
        <v>563</v>
      </c>
      <c r="I188" s="4" t="s">
        <v>460</v>
      </c>
      <c r="J188" s="4" t="s">
        <v>54</v>
      </c>
      <c r="K188" s="4" t="s">
        <v>35</v>
      </c>
      <c r="L188" s="4" t="s">
        <v>216</v>
      </c>
      <c r="M188" s="4" t="s">
        <v>1124</v>
      </c>
      <c r="N188" s="5">
        <v>28.14</v>
      </c>
      <c r="O188" s="6">
        <v>1</v>
      </c>
      <c r="P188" s="7">
        <v>0.15</v>
      </c>
      <c r="Q188" s="18">
        <v>7.63</v>
      </c>
      <c r="R188" s="45" t="str">
        <f t="shared" si="8"/>
        <v>OK</v>
      </c>
      <c r="S188" s="45">
        <f t="shared" si="9"/>
        <v>1307.114</v>
      </c>
      <c r="T188" s="45">
        <f t="shared" si="10"/>
        <v>10</v>
      </c>
      <c r="U188" s="45">
        <f t="shared" si="11"/>
        <v>13071.14</v>
      </c>
    </row>
    <row r="189" spans="1:21" x14ac:dyDescent="0.3">
      <c r="A189" s="17" t="s">
        <v>2064</v>
      </c>
      <c r="B189" s="32">
        <v>44468</v>
      </c>
      <c r="C189" s="32">
        <v>44473</v>
      </c>
      <c r="D189" s="8" t="s">
        <v>73</v>
      </c>
      <c r="E189" s="8" t="s">
        <v>360</v>
      </c>
      <c r="F189" s="10" t="s">
        <v>361</v>
      </c>
      <c r="G189" s="10" t="s">
        <v>42</v>
      </c>
      <c r="H189" s="10" t="s">
        <v>346</v>
      </c>
      <c r="I189" s="10" t="s">
        <v>347</v>
      </c>
      <c r="J189" s="10" t="s">
        <v>88</v>
      </c>
      <c r="K189" s="10" t="s">
        <v>25</v>
      </c>
      <c r="L189" s="10" t="s">
        <v>68</v>
      </c>
      <c r="M189" s="10" t="s">
        <v>2065</v>
      </c>
      <c r="N189" s="11">
        <v>136.51</v>
      </c>
      <c r="O189" s="12">
        <v>1</v>
      </c>
      <c r="P189" s="13">
        <v>0.05</v>
      </c>
      <c r="Q189" s="19">
        <v>50.82</v>
      </c>
      <c r="R189" s="45" t="str">
        <f t="shared" si="8"/>
        <v>OK</v>
      </c>
      <c r="S189" s="45">
        <f t="shared" si="9"/>
        <v>1307.114</v>
      </c>
      <c r="T189" s="45">
        <f t="shared" si="10"/>
        <v>10</v>
      </c>
      <c r="U189" s="45">
        <f t="shared" si="11"/>
        <v>13071.14</v>
      </c>
    </row>
    <row r="190" spans="1:21" x14ac:dyDescent="0.3">
      <c r="A190" s="16" t="s">
        <v>1333</v>
      </c>
      <c r="B190" s="31">
        <v>44469</v>
      </c>
      <c r="C190" s="31">
        <v>44472</v>
      </c>
      <c r="D190" s="2" t="s">
        <v>73</v>
      </c>
      <c r="E190" s="2" t="s">
        <v>785</v>
      </c>
      <c r="F190" s="4" t="s">
        <v>786</v>
      </c>
      <c r="G190" s="4" t="s">
        <v>51</v>
      </c>
      <c r="H190" s="4" t="s">
        <v>422</v>
      </c>
      <c r="I190" s="4" t="s">
        <v>423</v>
      </c>
      <c r="J190" s="4" t="s">
        <v>88</v>
      </c>
      <c r="K190" s="4" t="s">
        <v>35</v>
      </c>
      <c r="L190" s="4" t="s">
        <v>110</v>
      </c>
      <c r="M190" s="4" t="s">
        <v>1334</v>
      </c>
      <c r="N190" s="5">
        <v>85.15</v>
      </c>
      <c r="O190" s="6">
        <v>3</v>
      </c>
      <c r="P190" s="7">
        <v>0.2</v>
      </c>
      <c r="Q190" s="18">
        <v>21.95</v>
      </c>
      <c r="R190" s="45" t="str">
        <f t="shared" si="8"/>
        <v>OK</v>
      </c>
      <c r="S190" s="45">
        <f t="shared" si="9"/>
        <v>1307.114</v>
      </c>
      <c r="T190" s="45">
        <f t="shared" si="10"/>
        <v>10</v>
      </c>
      <c r="U190" s="45">
        <f t="shared" si="11"/>
        <v>13071.14</v>
      </c>
    </row>
    <row r="191" spans="1:21" x14ac:dyDescent="0.3">
      <c r="A191" s="16" t="s">
        <v>800</v>
      </c>
      <c r="B191" s="31">
        <v>44470</v>
      </c>
      <c r="C191" s="31">
        <v>44472</v>
      </c>
      <c r="D191" s="2" t="s">
        <v>39</v>
      </c>
      <c r="E191" s="2" t="s">
        <v>376</v>
      </c>
      <c r="F191" s="4" t="s">
        <v>377</v>
      </c>
      <c r="G191" s="4" t="s">
        <v>42</v>
      </c>
      <c r="H191" s="4" t="s">
        <v>122</v>
      </c>
      <c r="I191" s="4" t="s">
        <v>123</v>
      </c>
      <c r="J191" s="4" t="s">
        <v>24</v>
      </c>
      <c r="K191" s="4" t="s">
        <v>25</v>
      </c>
      <c r="L191" s="4" t="s">
        <v>74</v>
      </c>
      <c r="M191" s="4" t="s">
        <v>801</v>
      </c>
      <c r="N191" s="5">
        <v>2689.39</v>
      </c>
      <c r="O191" s="6">
        <v>6</v>
      </c>
      <c r="P191" s="7">
        <v>0.3</v>
      </c>
      <c r="Q191" s="18">
        <v>320.66000000000003</v>
      </c>
      <c r="R191" s="45" t="str">
        <f t="shared" si="8"/>
        <v>OK</v>
      </c>
      <c r="S191" s="45">
        <f t="shared" si="9"/>
        <v>1307.114</v>
      </c>
      <c r="T191" s="45">
        <f t="shared" si="10"/>
        <v>10</v>
      </c>
      <c r="U191" s="45">
        <f t="shared" si="11"/>
        <v>13071.14</v>
      </c>
    </row>
    <row r="192" spans="1:21" x14ac:dyDescent="0.3">
      <c r="A192" s="17" t="s">
        <v>28</v>
      </c>
      <c r="B192" s="32">
        <v>44472</v>
      </c>
      <c r="C192" s="32">
        <v>44479</v>
      </c>
      <c r="D192" s="8" t="s">
        <v>29</v>
      </c>
      <c r="E192" s="8" t="s">
        <v>30</v>
      </c>
      <c r="F192" s="10" t="s">
        <v>31</v>
      </c>
      <c r="G192" s="10" t="s">
        <v>21</v>
      </c>
      <c r="H192" s="10" t="s">
        <v>32</v>
      </c>
      <c r="I192" s="10" t="s">
        <v>33</v>
      </c>
      <c r="J192" s="10" t="s">
        <v>34</v>
      </c>
      <c r="K192" s="10" t="s">
        <v>35</v>
      </c>
      <c r="L192" s="10" t="s">
        <v>36</v>
      </c>
      <c r="M192" s="10" t="s">
        <v>37</v>
      </c>
      <c r="N192" s="11">
        <v>125.41</v>
      </c>
      <c r="O192" s="12">
        <v>3</v>
      </c>
      <c r="P192" s="13">
        <v>0.5</v>
      </c>
      <c r="Q192" s="19">
        <v>-23.78</v>
      </c>
      <c r="R192" s="45" t="str">
        <f t="shared" si="8"/>
        <v>OK</v>
      </c>
      <c r="S192" s="45">
        <f t="shared" si="9"/>
        <v>1307.114</v>
      </c>
      <c r="T192" s="45">
        <f t="shared" si="10"/>
        <v>10</v>
      </c>
      <c r="U192" s="45">
        <f t="shared" si="11"/>
        <v>13071.14</v>
      </c>
    </row>
    <row r="193" spans="1:21" x14ac:dyDescent="0.3">
      <c r="A193" s="16" t="s">
        <v>659</v>
      </c>
      <c r="B193" s="31">
        <v>44473</v>
      </c>
      <c r="C193" s="31">
        <v>44478</v>
      </c>
      <c r="D193" s="2" t="s">
        <v>73</v>
      </c>
      <c r="E193" s="2" t="s">
        <v>289</v>
      </c>
      <c r="F193" s="4" t="s">
        <v>290</v>
      </c>
      <c r="G193" s="4" t="s">
        <v>51</v>
      </c>
      <c r="H193" s="4" t="s">
        <v>115</v>
      </c>
      <c r="I193" s="4" t="s">
        <v>116</v>
      </c>
      <c r="J193" s="4" t="s">
        <v>54</v>
      </c>
      <c r="K193" s="4" t="s">
        <v>35</v>
      </c>
      <c r="L193" s="4" t="s">
        <v>89</v>
      </c>
      <c r="M193" s="4" t="s">
        <v>660</v>
      </c>
      <c r="N193" s="5">
        <v>2372.25</v>
      </c>
      <c r="O193" s="6">
        <v>9</v>
      </c>
      <c r="P193" s="7">
        <v>0.1</v>
      </c>
      <c r="Q193" s="18">
        <v>638.49</v>
      </c>
      <c r="R193" s="45" t="str">
        <f t="shared" si="8"/>
        <v>OK</v>
      </c>
      <c r="S193" s="45">
        <f t="shared" si="9"/>
        <v>1307.114</v>
      </c>
      <c r="T193" s="45">
        <f t="shared" si="10"/>
        <v>10</v>
      </c>
      <c r="U193" s="45">
        <f t="shared" si="11"/>
        <v>13071.14</v>
      </c>
    </row>
    <row r="194" spans="1:21" x14ac:dyDescent="0.3">
      <c r="A194" s="17" t="s">
        <v>2112</v>
      </c>
      <c r="B194" s="32">
        <v>44475</v>
      </c>
      <c r="C194" s="32">
        <v>44480</v>
      </c>
      <c r="D194" s="8" t="s">
        <v>29</v>
      </c>
      <c r="E194" s="8" t="s">
        <v>277</v>
      </c>
      <c r="F194" s="10" t="s">
        <v>278</v>
      </c>
      <c r="G194" s="10" t="s">
        <v>21</v>
      </c>
      <c r="H194" s="10" t="s">
        <v>104</v>
      </c>
      <c r="I194" s="10" t="s">
        <v>105</v>
      </c>
      <c r="J194" s="10" t="s">
        <v>88</v>
      </c>
      <c r="K194" s="10" t="s">
        <v>25</v>
      </c>
      <c r="L194" s="10" t="s">
        <v>68</v>
      </c>
      <c r="M194" s="10" t="s">
        <v>2113</v>
      </c>
      <c r="N194" s="11">
        <v>239.1</v>
      </c>
      <c r="O194" s="12">
        <v>8</v>
      </c>
      <c r="P194" s="13">
        <v>0.2</v>
      </c>
      <c r="Q194" s="19"/>
      <c r="R194" s="45" t="str">
        <f t="shared" ref="R194:R257" si="12">IF(C194&lt;B194,"Error","OK")</f>
        <v>OK</v>
      </c>
      <c r="S194" s="45">
        <f t="shared" ref="S194:S257" si="13">AVERAGEIF(E194:E1192,"CU-1057",N194:N1192)</f>
        <v>1307.114</v>
      </c>
      <c r="T194" s="45">
        <f t="shared" ref="T194:T257" si="14">COUNTIF(E194:E1192,"CU-1057")</f>
        <v>10</v>
      </c>
      <c r="U194" s="45">
        <f t="shared" ref="U194:U257" si="15">SUMIF(E194:E1192,"CU-1057",N194:N1192)</f>
        <v>13071.14</v>
      </c>
    </row>
    <row r="195" spans="1:21" x14ac:dyDescent="0.3">
      <c r="A195" s="16" t="s">
        <v>414</v>
      </c>
      <c r="B195" s="31">
        <v>44476</v>
      </c>
      <c r="C195" s="31">
        <v>44479</v>
      </c>
      <c r="D195" s="2" t="s">
        <v>39</v>
      </c>
      <c r="E195" s="2" t="s">
        <v>415</v>
      </c>
      <c r="F195" s="4" t="s">
        <v>416</v>
      </c>
      <c r="G195" s="4" t="s">
        <v>42</v>
      </c>
      <c r="H195" s="4" t="s">
        <v>417</v>
      </c>
      <c r="I195" s="4" t="s">
        <v>123</v>
      </c>
      <c r="J195" s="4" t="s">
        <v>24</v>
      </c>
      <c r="K195" s="4" t="s">
        <v>35</v>
      </c>
      <c r="L195" s="4" t="s">
        <v>295</v>
      </c>
      <c r="M195" s="4" t="s">
        <v>418</v>
      </c>
      <c r="N195" s="5">
        <v>122.45</v>
      </c>
      <c r="O195" s="6">
        <v>5</v>
      </c>
      <c r="P195" s="7">
        <v>0</v>
      </c>
      <c r="Q195" s="18">
        <v>71.02</v>
      </c>
      <c r="R195" s="45" t="str">
        <f t="shared" si="12"/>
        <v>OK</v>
      </c>
      <c r="S195" s="45">
        <f t="shared" si="13"/>
        <v>1307.114</v>
      </c>
      <c r="T195" s="45">
        <f t="shared" si="14"/>
        <v>10</v>
      </c>
      <c r="U195" s="45">
        <f t="shared" si="15"/>
        <v>13071.14</v>
      </c>
    </row>
    <row r="196" spans="1:21" x14ac:dyDescent="0.3">
      <c r="A196" s="16" t="s">
        <v>509</v>
      </c>
      <c r="B196" s="31">
        <v>44477</v>
      </c>
      <c r="C196" s="31">
        <v>44480</v>
      </c>
      <c r="D196" s="2" t="s">
        <v>73</v>
      </c>
      <c r="E196" s="2" t="s">
        <v>384</v>
      </c>
      <c r="F196" s="4" t="s">
        <v>385</v>
      </c>
      <c r="G196" s="4" t="s">
        <v>51</v>
      </c>
      <c r="H196" s="4" t="s">
        <v>386</v>
      </c>
      <c r="I196" s="4" t="s">
        <v>347</v>
      </c>
      <c r="J196" s="4" t="s">
        <v>88</v>
      </c>
      <c r="K196" s="4" t="s">
        <v>25</v>
      </c>
      <c r="L196" s="4" t="s">
        <v>26</v>
      </c>
      <c r="M196" s="4" t="s">
        <v>510</v>
      </c>
      <c r="N196" s="5">
        <v>5776.15</v>
      </c>
      <c r="O196" s="6">
        <v>9</v>
      </c>
      <c r="P196" s="7">
        <v>0.3</v>
      </c>
      <c r="Q196" s="18">
        <v>-1102.75</v>
      </c>
      <c r="R196" s="45" t="str">
        <f t="shared" si="12"/>
        <v>OK</v>
      </c>
      <c r="S196" s="45">
        <f t="shared" si="13"/>
        <v>1307.114</v>
      </c>
      <c r="T196" s="45">
        <f t="shared" si="14"/>
        <v>10</v>
      </c>
      <c r="U196" s="45">
        <f t="shared" si="15"/>
        <v>13071.14</v>
      </c>
    </row>
    <row r="197" spans="1:21" x14ac:dyDescent="0.3">
      <c r="A197" s="17" t="s">
        <v>363</v>
      </c>
      <c r="B197" s="32">
        <v>44478</v>
      </c>
      <c r="C197" s="32">
        <v>44484</v>
      </c>
      <c r="D197" s="8" t="s">
        <v>29</v>
      </c>
      <c r="E197" s="8" t="s">
        <v>364</v>
      </c>
      <c r="F197" s="10" t="s">
        <v>365</v>
      </c>
      <c r="G197" s="10" t="s">
        <v>42</v>
      </c>
      <c r="H197" s="10" t="s">
        <v>193</v>
      </c>
      <c r="I197" s="10" t="s">
        <v>194</v>
      </c>
      <c r="J197" s="10" t="s">
        <v>34</v>
      </c>
      <c r="K197" s="10" t="s">
        <v>45</v>
      </c>
      <c r="L197" s="10" t="s">
        <v>46</v>
      </c>
      <c r="M197" s="10" t="s">
        <v>366</v>
      </c>
      <c r="N197" s="11">
        <v>526.05999999999995</v>
      </c>
      <c r="O197" s="12">
        <v>2</v>
      </c>
      <c r="P197" s="13">
        <v>0.15</v>
      </c>
      <c r="Q197" s="19">
        <v>94.92</v>
      </c>
      <c r="R197" s="45" t="str">
        <f t="shared" si="12"/>
        <v>OK</v>
      </c>
      <c r="S197" s="45">
        <f t="shared" si="13"/>
        <v>1307.114</v>
      </c>
      <c r="T197" s="45">
        <f t="shared" si="14"/>
        <v>10</v>
      </c>
      <c r="U197" s="45">
        <f t="shared" si="15"/>
        <v>13071.14</v>
      </c>
    </row>
    <row r="198" spans="1:21" x14ac:dyDescent="0.3">
      <c r="A198" s="16" t="s">
        <v>2142</v>
      </c>
      <c r="B198" s="31">
        <v>44478</v>
      </c>
      <c r="C198" s="31">
        <v>44483</v>
      </c>
      <c r="D198" s="2" t="s">
        <v>29</v>
      </c>
      <c r="E198" s="2" t="s">
        <v>1219</v>
      </c>
      <c r="F198" s="4" t="s">
        <v>1220</v>
      </c>
      <c r="G198" s="4" t="s">
        <v>21</v>
      </c>
      <c r="H198" s="4" t="s">
        <v>438</v>
      </c>
      <c r="I198" s="4" t="s">
        <v>157</v>
      </c>
      <c r="J198" s="4" t="s">
        <v>88</v>
      </c>
      <c r="K198" s="4" t="s">
        <v>25</v>
      </c>
      <c r="L198" s="4" t="s">
        <v>68</v>
      </c>
      <c r="M198" s="4" t="s">
        <v>1419</v>
      </c>
      <c r="N198" s="5">
        <v>206.31</v>
      </c>
      <c r="O198" s="6">
        <v>3</v>
      </c>
      <c r="P198" s="7">
        <v>0</v>
      </c>
      <c r="Q198" s="18">
        <v>98.61</v>
      </c>
      <c r="R198" s="45" t="str">
        <f t="shared" si="12"/>
        <v>OK</v>
      </c>
      <c r="S198" s="45">
        <f t="shared" si="13"/>
        <v>1307.114</v>
      </c>
      <c r="T198" s="45">
        <f t="shared" si="14"/>
        <v>10</v>
      </c>
      <c r="U198" s="45">
        <f t="shared" si="15"/>
        <v>13071.14</v>
      </c>
    </row>
    <row r="199" spans="1:21" x14ac:dyDescent="0.3">
      <c r="A199" s="17" t="s">
        <v>830</v>
      </c>
      <c r="B199" s="32">
        <v>44480</v>
      </c>
      <c r="C199" s="32">
        <v>44482</v>
      </c>
      <c r="D199" s="8" t="s">
        <v>18</v>
      </c>
      <c r="E199" s="8" t="s">
        <v>707</v>
      </c>
      <c r="F199" s="10" t="s">
        <v>708</v>
      </c>
      <c r="G199" s="10" t="s">
        <v>51</v>
      </c>
      <c r="H199" s="10" t="s">
        <v>386</v>
      </c>
      <c r="I199" s="10" t="s">
        <v>347</v>
      </c>
      <c r="J199" s="10" t="s">
        <v>88</v>
      </c>
      <c r="K199" s="10" t="s">
        <v>35</v>
      </c>
      <c r="L199" s="10" t="s">
        <v>110</v>
      </c>
      <c r="M199" s="10" t="s">
        <v>831</v>
      </c>
      <c r="N199" s="11">
        <v>126.76</v>
      </c>
      <c r="O199" s="12">
        <v>8</v>
      </c>
      <c r="P199" s="13">
        <v>0.5</v>
      </c>
      <c r="Q199" s="19">
        <v>2.2200000000000002</v>
      </c>
      <c r="R199" s="45" t="str">
        <f t="shared" si="12"/>
        <v>OK</v>
      </c>
      <c r="S199" s="45">
        <f t="shared" si="13"/>
        <v>1307.114</v>
      </c>
      <c r="T199" s="45">
        <f t="shared" si="14"/>
        <v>10</v>
      </c>
      <c r="U199" s="45">
        <f t="shared" si="15"/>
        <v>13071.14</v>
      </c>
    </row>
    <row r="200" spans="1:21" x14ac:dyDescent="0.3">
      <c r="A200" s="17" t="s">
        <v>1096</v>
      </c>
      <c r="B200" s="32">
        <v>44483</v>
      </c>
      <c r="C200" s="32">
        <v>44487</v>
      </c>
      <c r="D200" s="8" t="s">
        <v>39</v>
      </c>
      <c r="E200" s="8" t="s">
        <v>1097</v>
      </c>
      <c r="F200" s="10" t="s">
        <v>1098</v>
      </c>
      <c r="G200" s="10" t="s">
        <v>42</v>
      </c>
      <c r="H200" s="10" t="s">
        <v>417</v>
      </c>
      <c r="I200" s="10" t="s">
        <v>123</v>
      </c>
      <c r="J200" s="10" t="s">
        <v>24</v>
      </c>
      <c r="K200" s="10" t="s">
        <v>25</v>
      </c>
      <c r="L200" s="10" t="s">
        <v>124</v>
      </c>
      <c r="M200" s="10" t="s">
        <v>1099</v>
      </c>
      <c r="N200" s="11">
        <v>13616.24</v>
      </c>
      <c r="O200" s="12">
        <v>10</v>
      </c>
      <c r="P200" s="13">
        <v>0.15</v>
      </c>
      <c r="Q200" s="19">
        <v>1705.77</v>
      </c>
      <c r="R200" s="45" t="str">
        <f t="shared" si="12"/>
        <v>OK</v>
      </c>
      <c r="S200" s="45">
        <f t="shared" si="13"/>
        <v>1307.114</v>
      </c>
      <c r="T200" s="45">
        <f t="shared" si="14"/>
        <v>10</v>
      </c>
      <c r="U200" s="45">
        <f t="shared" si="15"/>
        <v>13071.14</v>
      </c>
    </row>
    <row r="201" spans="1:21" x14ac:dyDescent="0.3">
      <c r="A201" s="17" t="s">
        <v>2079</v>
      </c>
      <c r="B201" s="32">
        <v>44483</v>
      </c>
      <c r="C201" s="32">
        <v>44490</v>
      </c>
      <c r="D201" s="8" t="s">
        <v>29</v>
      </c>
      <c r="E201" s="8" t="s">
        <v>191</v>
      </c>
      <c r="F201" s="10" t="s">
        <v>192</v>
      </c>
      <c r="G201" s="10" t="s">
        <v>21</v>
      </c>
      <c r="H201" s="10" t="s">
        <v>193</v>
      </c>
      <c r="I201" s="10" t="s">
        <v>194</v>
      </c>
      <c r="J201" s="10" t="s">
        <v>34</v>
      </c>
      <c r="K201" s="10" t="s">
        <v>25</v>
      </c>
      <c r="L201" s="10" t="s">
        <v>124</v>
      </c>
      <c r="M201" s="10" t="s">
        <v>2080</v>
      </c>
      <c r="N201" s="11">
        <v>10066.43</v>
      </c>
      <c r="O201" s="12">
        <v>7</v>
      </c>
      <c r="P201" s="13">
        <v>0.4</v>
      </c>
      <c r="Q201" s="19">
        <v>-2064.91</v>
      </c>
      <c r="R201" s="45" t="str">
        <f t="shared" si="12"/>
        <v>OK</v>
      </c>
      <c r="S201" s="45">
        <f t="shared" si="13"/>
        <v>1307.114</v>
      </c>
      <c r="T201" s="45">
        <f t="shared" si="14"/>
        <v>10</v>
      </c>
      <c r="U201" s="45">
        <f t="shared" si="15"/>
        <v>13071.14</v>
      </c>
    </row>
    <row r="202" spans="1:21" x14ac:dyDescent="0.3">
      <c r="A202" s="17" t="s">
        <v>1630</v>
      </c>
      <c r="B202" s="32">
        <v>44490</v>
      </c>
      <c r="C202" s="32">
        <v>44495</v>
      </c>
      <c r="D202" s="8" t="s">
        <v>29</v>
      </c>
      <c r="E202" s="8" t="s">
        <v>504</v>
      </c>
      <c r="F202" s="10" t="s">
        <v>505</v>
      </c>
      <c r="G202" s="10" t="s">
        <v>42</v>
      </c>
      <c r="H202" s="10" t="s">
        <v>150</v>
      </c>
      <c r="I202" s="10" t="s">
        <v>151</v>
      </c>
      <c r="J202" s="10" t="s">
        <v>34</v>
      </c>
      <c r="K202" s="10" t="s">
        <v>25</v>
      </c>
      <c r="L202" s="10" t="s">
        <v>68</v>
      </c>
      <c r="M202" s="10" t="s">
        <v>1631</v>
      </c>
      <c r="N202" s="11">
        <v>373.77</v>
      </c>
      <c r="O202" s="12">
        <v>5</v>
      </c>
      <c r="P202" s="13">
        <v>0.5</v>
      </c>
      <c r="Q202" s="19">
        <v>-38.29</v>
      </c>
      <c r="R202" s="45" t="str">
        <f t="shared" si="12"/>
        <v>OK</v>
      </c>
      <c r="S202" s="45">
        <f t="shared" si="13"/>
        <v>1307.114</v>
      </c>
      <c r="T202" s="45">
        <f t="shared" si="14"/>
        <v>10</v>
      </c>
      <c r="U202" s="45">
        <f t="shared" si="15"/>
        <v>13071.14</v>
      </c>
    </row>
    <row r="203" spans="1:21" x14ac:dyDescent="0.3">
      <c r="A203" s="16" t="s">
        <v>1373</v>
      </c>
      <c r="B203" s="31">
        <v>44491</v>
      </c>
      <c r="C203" s="31">
        <v>44495</v>
      </c>
      <c r="D203" s="2" t="s">
        <v>73</v>
      </c>
      <c r="E203" s="2" t="s">
        <v>1136</v>
      </c>
      <c r="F203" s="4" t="s">
        <v>1137</v>
      </c>
      <c r="G203" s="4" t="s">
        <v>51</v>
      </c>
      <c r="H203" s="4" t="s">
        <v>386</v>
      </c>
      <c r="I203" s="4" t="s">
        <v>347</v>
      </c>
      <c r="J203" s="4" t="s">
        <v>88</v>
      </c>
      <c r="K203" s="4" t="s">
        <v>35</v>
      </c>
      <c r="L203" s="4" t="s">
        <v>229</v>
      </c>
      <c r="M203" s="4" t="s">
        <v>1374</v>
      </c>
      <c r="N203" s="5">
        <v>3.28</v>
      </c>
      <c r="O203" s="6">
        <v>2</v>
      </c>
      <c r="P203" s="7">
        <v>0.4</v>
      </c>
      <c r="Q203" s="18">
        <v>0.73</v>
      </c>
      <c r="R203" s="45" t="str">
        <f t="shared" si="12"/>
        <v>OK</v>
      </c>
      <c r="S203" s="45">
        <f t="shared" si="13"/>
        <v>1307.114</v>
      </c>
      <c r="T203" s="45">
        <f t="shared" si="14"/>
        <v>10</v>
      </c>
      <c r="U203" s="45">
        <f t="shared" si="15"/>
        <v>13071.14</v>
      </c>
    </row>
    <row r="204" spans="1:21" x14ac:dyDescent="0.3">
      <c r="A204" s="17" t="s">
        <v>268</v>
      </c>
      <c r="B204" s="32">
        <v>44492</v>
      </c>
      <c r="C204" s="32">
        <v>44493</v>
      </c>
      <c r="D204" s="8" t="s">
        <v>18</v>
      </c>
      <c r="E204" s="8" t="s">
        <v>77</v>
      </c>
      <c r="F204" s="10" t="s">
        <v>78</v>
      </c>
      <c r="G204" s="10" t="s">
        <v>21</v>
      </c>
      <c r="H204" s="10" t="s">
        <v>79</v>
      </c>
      <c r="I204" s="10" t="s">
        <v>80</v>
      </c>
      <c r="J204" s="10" t="s">
        <v>54</v>
      </c>
      <c r="K204" s="10" t="s">
        <v>45</v>
      </c>
      <c r="L204" s="10" t="s">
        <v>46</v>
      </c>
      <c r="M204" s="10" t="s">
        <v>269</v>
      </c>
      <c r="N204" s="11">
        <v>4417.08</v>
      </c>
      <c r="O204" s="12">
        <v>6</v>
      </c>
      <c r="P204" s="13">
        <v>0</v>
      </c>
      <c r="Q204" s="19">
        <v>1691.07</v>
      </c>
      <c r="R204" s="45" t="str">
        <f t="shared" si="12"/>
        <v>OK</v>
      </c>
      <c r="S204" s="45">
        <f t="shared" si="13"/>
        <v>1307.114</v>
      </c>
      <c r="T204" s="45">
        <f t="shared" si="14"/>
        <v>10</v>
      </c>
      <c r="U204" s="45">
        <f t="shared" si="15"/>
        <v>13071.14</v>
      </c>
    </row>
    <row r="205" spans="1:21" x14ac:dyDescent="0.3">
      <c r="A205" s="17" t="s">
        <v>631</v>
      </c>
      <c r="B205" s="32">
        <v>44492</v>
      </c>
      <c r="C205" s="32">
        <v>44497</v>
      </c>
      <c r="D205" s="8" t="s">
        <v>73</v>
      </c>
      <c r="E205" s="8" t="s">
        <v>258</v>
      </c>
      <c r="F205" s="10" t="s">
        <v>259</v>
      </c>
      <c r="G205" s="10" t="s">
        <v>51</v>
      </c>
      <c r="H205" s="10" t="s">
        <v>260</v>
      </c>
      <c r="I205" s="10" t="s">
        <v>151</v>
      </c>
      <c r="J205" s="10" t="s">
        <v>34</v>
      </c>
      <c r="K205" s="10" t="s">
        <v>45</v>
      </c>
      <c r="L205" s="10" t="s">
        <v>61</v>
      </c>
      <c r="M205" s="10" t="s">
        <v>632</v>
      </c>
      <c r="N205" s="11">
        <v>1434.82</v>
      </c>
      <c r="O205" s="12">
        <v>6</v>
      </c>
      <c r="P205" s="13">
        <v>0.4</v>
      </c>
      <c r="Q205" s="19">
        <v>-885.35</v>
      </c>
      <c r="R205" s="45" t="str">
        <f t="shared" si="12"/>
        <v>OK</v>
      </c>
      <c r="S205" s="45">
        <f t="shared" si="13"/>
        <v>1307.114</v>
      </c>
      <c r="T205" s="45">
        <f t="shared" si="14"/>
        <v>10</v>
      </c>
      <c r="U205" s="45">
        <f t="shared" si="15"/>
        <v>13071.14</v>
      </c>
    </row>
    <row r="206" spans="1:21" x14ac:dyDescent="0.3">
      <c r="A206" s="17" t="s">
        <v>2183</v>
      </c>
      <c r="B206" s="32">
        <v>44492</v>
      </c>
      <c r="C206" s="32">
        <v>44496</v>
      </c>
      <c r="D206" s="8" t="s">
        <v>39</v>
      </c>
      <c r="E206" s="8" t="s">
        <v>1982</v>
      </c>
      <c r="F206" s="10" t="s">
        <v>1983</v>
      </c>
      <c r="G206" s="10" t="s">
        <v>21</v>
      </c>
      <c r="H206" s="10" t="s">
        <v>22</v>
      </c>
      <c r="I206" s="10" t="s">
        <v>23</v>
      </c>
      <c r="J206" s="10" t="s">
        <v>24</v>
      </c>
      <c r="K206" s="10" t="s">
        <v>45</v>
      </c>
      <c r="L206" s="10" t="s">
        <v>117</v>
      </c>
      <c r="M206" s="10" t="s">
        <v>2184</v>
      </c>
      <c r="N206" s="11">
        <v>3731.75</v>
      </c>
      <c r="O206" s="12">
        <v>9</v>
      </c>
      <c r="P206" s="13">
        <v>0.1</v>
      </c>
      <c r="Q206" s="19">
        <v>441.09</v>
      </c>
      <c r="R206" s="45" t="str">
        <f t="shared" si="12"/>
        <v>OK</v>
      </c>
      <c r="S206" s="45">
        <f t="shared" si="13"/>
        <v>1307.114</v>
      </c>
      <c r="T206" s="45">
        <f t="shared" si="14"/>
        <v>10</v>
      </c>
      <c r="U206" s="45">
        <f t="shared" si="15"/>
        <v>13071.14</v>
      </c>
    </row>
    <row r="207" spans="1:21" x14ac:dyDescent="0.3">
      <c r="A207" s="16" t="s">
        <v>1684</v>
      </c>
      <c r="B207" s="31">
        <v>44495</v>
      </c>
      <c r="C207" s="31">
        <v>44500</v>
      </c>
      <c r="D207" s="2" t="s">
        <v>29</v>
      </c>
      <c r="E207" s="2" t="s">
        <v>628</v>
      </c>
      <c r="F207" s="4" t="s">
        <v>629</v>
      </c>
      <c r="G207" s="4" t="s">
        <v>42</v>
      </c>
      <c r="H207" s="4" t="s">
        <v>32</v>
      </c>
      <c r="I207" s="4" t="s">
        <v>33</v>
      </c>
      <c r="J207" s="4" t="s">
        <v>34</v>
      </c>
      <c r="K207" s="4" t="s">
        <v>25</v>
      </c>
      <c r="L207" s="4" t="s">
        <v>74</v>
      </c>
      <c r="M207" s="4" t="s">
        <v>1685</v>
      </c>
      <c r="N207" s="5">
        <v>722.34</v>
      </c>
      <c r="O207" s="6">
        <v>5</v>
      </c>
      <c r="P207" s="7">
        <v>0.1</v>
      </c>
      <c r="Q207" s="18">
        <v>254.47</v>
      </c>
      <c r="R207" s="45" t="str">
        <f t="shared" si="12"/>
        <v>OK</v>
      </c>
      <c r="S207" s="45">
        <f t="shared" si="13"/>
        <v>1307.114</v>
      </c>
      <c r="T207" s="45">
        <f t="shared" si="14"/>
        <v>10</v>
      </c>
      <c r="U207" s="45">
        <f t="shared" si="15"/>
        <v>13071.14</v>
      </c>
    </row>
    <row r="208" spans="1:21" x14ac:dyDescent="0.3">
      <c r="A208" s="16" t="s">
        <v>1759</v>
      </c>
      <c r="B208" s="31">
        <v>44496</v>
      </c>
      <c r="C208" s="31">
        <v>44502</v>
      </c>
      <c r="D208" s="2" t="s">
        <v>29</v>
      </c>
      <c r="E208" s="2" t="s">
        <v>797</v>
      </c>
      <c r="F208" s="4" t="s">
        <v>798</v>
      </c>
      <c r="G208" s="4" t="s">
        <v>51</v>
      </c>
      <c r="H208" s="4" t="s">
        <v>59</v>
      </c>
      <c r="I208" s="4" t="s">
        <v>60</v>
      </c>
      <c r="J208" s="4" t="s">
        <v>54</v>
      </c>
      <c r="K208" s="4" t="s">
        <v>35</v>
      </c>
      <c r="L208" s="4" t="s">
        <v>89</v>
      </c>
      <c r="M208" s="4" t="s">
        <v>1760</v>
      </c>
      <c r="N208" s="5">
        <v>2395.36</v>
      </c>
      <c r="O208" s="6">
        <v>8</v>
      </c>
      <c r="P208" s="7">
        <v>0</v>
      </c>
      <c r="Q208" s="18">
        <v>903.43</v>
      </c>
      <c r="R208" s="45" t="str">
        <f t="shared" si="12"/>
        <v>OK</v>
      </c>
      <c r="S208" s="45">
        <f t="shared" si="13"/>
        <v>1307.114</v>
      </c>
      <c r="T208" s="45">
        <f t="shared" si="14"/>
        <v>10</v>
      </c>
      <c r="U208" s="45">
        <f t="shared" si="15"/>
        <v>13071.14</v>
      </c>
    </row>
    <row r="209" spans="1:21" x14ac:dyDescent="0.3">
      <c r="A209" s="17" t="s">
        <v>744</v>
      </c>
      <c r="B209" s="32">
        <v>44498</v>
      </c>
      <c r="C209" s="32">
        <v>44499</v>
      </c>
      <c r="D209" s="8" t="s">
        <v>18</v>
      </c>
      <c r="E209" s="8" t="s">
        <v>745</v>
      </c>
      <c r="F209" s="10" t="s">
        <v>746</v>
      </c>
      <c r="G209" s="10" t="s">
        <v>51</v>
      </c>
      <c r="H209" s="10" t="s">
        <v>465</v>
      </c>
      <c r="I209" s="10" t="s">
        <v>423</v>
      </c>
      <c r="J209" s="10" t="s">
        <v>88</v>
      </c>
      <c r="K209" s="10" t="s">
        <v>35</v>
      </c>
      <c r="L209" s="10" t="s">
        <v>295</v>
      </c>
      <c r="M209" s="10" t="s">
        <v>747</v>
      </c>
      <c r="N209" s="11">
        <v>43.27</v>
      </c>
      <c r="O209" s="12">
        <v>5</v>
      </c>
      <c r="P209" s="13">
        <v>0.5</v>
      </c>
      <c r="Q209" s="19">
        <v>-2.06</v>
      </c>
      <c r="R209" s="45" t="str">
        <f t="shared" si="12"/>
        <v>OK</v>
      </c>
      <c r="S209" s="45">
        <f t="shared" si="13"/>
        <v>1307.114</v>
      </c>
      <c r="T209" s="45">
        <f t="shared" si="14"/>
        <v>10</v>
      </c>
      <c r="U209" s="45">
        <f t="shared" si="15"/>
        <v>13071.14</v>
      </c>
    </row>
    <row r="210" spans="1:21" x14ac:dyDescent="0.3">
      <c r="A210" s="17" t="s">
        <v>1888</v>
      </c>
      <c r="B210" s="32">
        <v>44498</v>
      </c>
      <c r="C210" s="32">
        <v>44502</v>
      </c>
      <c r="D210" s="8" t="s">
        <v>39</v>
      </c>
      <c r="E210" s="8" t="s">
        <v>547</v>
      </c>
      <c r="F210" s="10" t="s">
        <v>548</v>
      </c>
      <c r="G210" s="10" t="s">
        <v>51</v>
      </c>
      <c r="H210" s="10" t="s">
        <v>156</v>
      </c>
      <c r="I210" s="10" t="s">
        <v>157</v>
      </c>
      <c r="J210" s="10" t="s">
        <v>88</v>
      </c>
      <c r="K210" s="10" t="s">
        <v>45</v>
      </c>
      <c r="L210" s="10" t="s">
        <v>46</v>
      </c>
      <c r="M210" s="10" t="s">
        <v>1889</v>
      </c>
      <c r="N210" s="11">
        <v>699.92</v>
      </c>
      <c r="O210" s="12">
        <v>1</v>
      </c>
      <c r="P210" s="13">
        <v>0.05</v>
      </c>
      <c r="Q210" s="19">
        <v>229.62</v>
      </c>
      <c r="R210" s="45" t="str">
        <f t="shared" si="12"/>
        <v>OK</v>
      </c>
      <c r="S210" s="45">
        <f t="shared" si="13"/>
        <v>1307.114</v>
      </c>
      <c r="T210" s="45">
        <f t="shared" si="14"/>
        <v>10</v>
      </c>
      <c r="U210" s="45">
        <f t="shared" si="15"/>
        <v>13071.14</v>
      </c>
    </row>
    <row r="211" spans="1:21" x14ac:dyDescent="0.3">
      <c r="A211" s="17" t="s">
        <v>1912</v>
      </c>
      <c r="B211" s="32">
        <v>44501</v>
      </c>
      <c r="C211" s="32">
        <v>44505</v>
      </c>
      <c r="D211" s="8" t="s">
        <v>73</v>
      </c>
      <c r="E211" s="8" t="s">
        <v>954</v>
      </c>
      <c r="F211" s="10" t="s">
        <v>955</v>
      </c>
      <c r="G211" s="10" t="s">
        <v>51</v>
      </c>
      <c r="H211" s="10" t="s">
        <v>386</v>
      </c>
      <c r="I211" s="10" t="s">
        <v>347</v>
      </c>
      <c r="J211" s="10" t="s">
        <v>88</v>
      </c>
      <c r="K211" s="10" t="s">
        <v>35</v>
      </c>
      <c r="L211" s="10" t="s">
        <v>229</v>
      </c>
      <c r="M211" s="10" t="s">
        <v>1913</v>
      </c>
      <c r="N211" s="11">
        <v>32.799999999999997</v>
      </c>
      <c r="O211" s="12">
        <v>2</v>
      </c>
      <c r="P211" s="13">
        <v>0</v>
      </c>
      <c r="Q211" s="19">
        <v>13.85</v>
      </c>
      <c r="R211" s="45" t="str">
        <f t="shared" si="12"/>
        <v>OK</v>
      </c>
      <c r="S211" s="45">
        <f t="shared" si="13"/>
        <v>1307.114</v>
      </c>
      <c r="T211" s="45">
        <f t="shared" si="14"/>
        <v>10</v>
      </c>
      <c r="U211" s="45">
        <f t="shared" si="15"/>
        <v>13071.14</v>
      </c>
    </row>
    <row r="212" spans="1:21" x14ac:dyDescent="0.3">
      <c r="A212" s="17" t="s">
        <v>1761</v>
      </c>
      <c r="B212" s="32">
        <v>44503</v>
      </c>
      <c r="C212" s="32">
        <v>44504</v>
      </c>
      <c r="D212" s="8" t="s">
        <v>18</v>
      </c>
      <c r="E212" s="8" t="s">
        <v>265</v>
      </c>
      <c r="F212" s="10" t="s">
        <v>266</v>
      </c>
      <c r="G212" s="10" t="s">
        <v>21</v>
      </c>
      <c r="H212" s="10" t="s">
        <v>171</v>
      </c>
      <c r="I212" s="10" t="s">
        <v>172</v>
      </c>
      <c r="J212" s="10" t="s">
        <v>24</v>
      </c>
      <c r="K212" s="10" t="s">
        <v>25</v>
      </c>
      <c r="L212" s="10" t="s">
        <v>74</v>
      </c>
      <c r="M212" s="10" t="s">
        <v>1762</v>
      </c>
      <c r="N212" s="11">
        <v>2757.44</v>
      </c>
      <c r="O212" s="12">
        <v>4</v>
      </c>
      <c r="P212" s="13">
        <v>0</v>
      </c>
      <c r="Q212" s="19">
        <v>915.45</v>
      </c>
      <c r="R212" s="45" t="str">
        <f t="shared" si="12"/>
        <v>OK</v>
      </c>
      <c r="S212" s="45">
        <f t="shared" si="13"/>
        <v>1307.114</v>
      </c>
      <c r="T212" s="45">
        <f t="shared" si="14"/>
        <v>10</v>
      </c>
      <c r="U212" s="45">
        <f t="shared" si="15"/>
        <v>13071.14</v>
      </c>
    </row>
    <row r="213" spans="1:21" x14ac:dyDescent="0.3">
      <c r="A213" s="17" t="s">
        <v>1269</v>
      </c>
      <c r="B213" s="32">
        <v>44504</v>
      </c>
      <c r="C213" s="32">
        <v>44507</v>
      </c>
      <c r="D213" s="8" t="s">
        <v>73</v>
      </c>
      <c r="E213" s="8" t="s">
        <v>1270</v>
      </c>
      <c r="F213" s="10" t="s">
        <v>1271</v>
      </c>
      <c r="G213" s="10" t="s">
        <v>51</v>
      </c>
      <c r="H213" s="10" t="s">
        <v>412</v>
      </c>
      <c r="I213" s="10" t="s">
        <v>178</v>
      </c>
      <c r="J213" s="10" t="s">
        <v>24</v>
      </c>
      <c r="K213" s="10" t="s">
        <v>45</v>
      </c>
      <c r="L213" s="10" t="s">
        <v>46</v>
      </c>
      <c r="M213" s="10" t="s">
        <v>1272</v>
      </c>
      <c r="N213" s="11">
        <v>1741.34</v>
      </c>
      <c r="O213" s="12">
        <v>8</v>
      </c>
      <c r="P213" s="13">
        <v>0.15</v>
      </c>
      <c r="Q213" s="19">
        <v>448.08</v>
      </c>
      <c r="R213" s="45" t="str">
        <f t="shared" si="12"/>
        <v>OK</v>
      </c>
      <c r="S213" s="45">
        <f t="shared" si="13"/>
        <v>1307.114</v>
      </c>
      <c r="T213" s="45">
        <f t="shared" si="14"/>
        <v>10</v>
      </c>
      <c r="U213" s="45">
        <f t="shared" si="15"/>
        <v>13071.14</v>
      </c>
    </row>
    <row r="214" spans="1:21" x14ac:dyDescent="0.3">
      <c r="A214" s="16" t="s">
        <v>2189</v>
      </c>
      <c r="B214" s="31">
        <v>44504</v>
      </c>
      <c r="C214" s="31">
        <v>44507</v>
      </c>
      <c r="D214" s="2" t="s">
        <v>18</v>
      </c>
      <c r="E214" s="2" t="s">
        <v>57</v>
      </c>
      <c r="F214" s="4" t="s">
        <v>58</v>
      </c>
      <c r="G214" s="4" t="s">
        <v>42</v>
      </c>
      <c r="H214" s="4" t="s">
        <v>59</v>
      </c>
      <c r="I214" s="4" t="s">
        <v>60</v>
      </c>
      <c r="J214" s="4" t="s">
        <v>54</v>
      </c>
      <c r="K214" s="4" t="s">
        <v>25</v>
      </c>
      <c r="L214" s="4" t="s">
        <v>26</v>
      </c>
      <c r="M214" s="4" t="s">
        <v>2190</v>
      </c>
      <c r="N214" s="5">
        <v>6611.12</v>
      </c>
      <c r="O214" s="6">
        <v>7</v>
      </c>
      <c r="P214" s="7">
        <v>0.5</v>
      </c>
      <c r="Q214" s="18">
        <v>-2977.85</v>
      </c>
      <c r="R214" s="45" t="str">
        <f t="shared" si="12"/>
        <v>OK</v>
      </c>
      <c r="S214" s="45">
        <f t="shared" si="13"/>
        <v>1307.114</v>
      </c>
      <c r="T214" s="45">
        <f t="shared" si="14"/>
        <v>10</v>
      </c>
      <c r="U214" s="45">
        <f t="shared" si="15"/>
        <v>13071.14</v>
      </c>
    </row>
    <row r="215" spans="1:21" x14ac:dyDescent="0.3">
      <c r="A215" s="17" t="s">
        <v>1289</v>
      </c>
      <c r="B215" s="32">
        <v>44505</v>
      </c>
      <c r="C215" s="32">
        <v>44508</v>
      </c>
      <c r="D215" s="8" t="s">
        <v>73</v>
      </c>
      <c r="E215" s="8" t="s">
        <v>468</v>
      </c>
      <c r="F215" s="10" t="s">
        <v>469</v>
      </c>
      <c r="G215" s="10" t="s">
        <v>51</v>
      </c>
      <c r="H215" s="10" t="s">
        <v>372</v>
      </c>
      <c r="I215" s="10" t="s">
        <v>373</v>
      </c>
      <c r="J215" s="10" t="s">
        <v>34</v>
      </c>
      <c r="K215" s="10" t="s">
        <v>25</v>
      </c>
      <c r="L215" s="10" t="s">
        <v>74</v>
      </c>
      <c r="M215" s="10" t="s">
        <v>1290</v>
      </c>
      <c r="N215" s="11">
        <v>3065.86</v>
      </c>
      <c r="O215" s="12">
        <v>7</v>
      </c>
      <c r="P215" s="13">
        <v>0</v>
      </c>
      <c r="Q215" s="19">
        <v>983.11</v>
      </c>
      <c r="R215" s="45" t="str">
        <f t="shared" si="12"/>
        <v>OK</v>
      </c>
      <c r="S215" s="45">
        <f t="shared" si="13"/>
        <v>1307.114</v>
      </c>
      <c r="T215" s="45">
        <f t="shared" si="14"/>
        <v>10</v>
      </c>
      <c r="U215" s="45">
        <f t="shared" si="15"/>
        <v>13071.14</v>
      </c>
    </row>
    <row r="216" spans="1:21" x14ac:dyDescent="0.3">
      <c r="A216" s="16" t="s">
        <v>752</v>
      </c>
      <c r="B216" s="31">
        <v>44506</v>
      </c>
      <c r="C216" s="31">
        <v>44507</v>
      </c>
      <c r="D216" s="2" t="s">
        <v>18</v>
      </c>
      <c r="E216" s="2" t="s">
        <v>753</v>
      </c>
      <c r="F216" s="4" t="s">
        <v>754</v>
      </c>
      <c r="G216" s="4" t="s">
        <v>42</v>
      </c>
      <c r="H216" s="4" t="s">
        <v>22</v>
      </c>
      <c r="I216" s="4" t="s">
        <v>23</v>
      </c>
      <c r="J216" s="4" t="s">
        <v>24</v>
      </c>
      <c r="K216" s="4" t="s">
        <v>35</v>
      </c>
      <c r="L216" s="4" t="s">
        <v>295</v>
      </c>
      <c r="M216" s="4" t="s">
        <v>755</v>
      </c>
      <c r="N216" s="5">
        <v>302.19</v>
      </c>
      <c r="O216" s="6">
        <v>6</v>
      </c>
      <c r="P216" s="7">
        <v>0.3</v>
      </c>
      <c r="Q216" s="18">
        <v>68.13</v>
      </c>
      <c r="R216" s="45" t="str">
        <f t="shared" si="12"/>
        <v>OK</v>
      </c>
      <c r="S216" s="45">
        <f t="shared" si="13"/>
        <v>1307.114</v>
      </c>
      <c r="T216" s="45">
        <f t="shared" si="14"/>
        <v>10</v>
      </c>
      <c r="U216" s="45">
        <f t="shared" si="15"/>
        <v>13071.14</v>
      </c>
    </row>
    <row r="217" spans="1:21" x14ac:dyDescent="0.3">
      <c r="A217" s="17" t="s">
        <v>1595</v>
      </c>
      <c r="B217" s="32">
        <v>44506</v>
      </c>
      <c r="C217" s="32">
        <v>44508</v>
      </c>
      <c r="D217" s="8" t="s">
        <v>18</v>
      </c>
      <c r="E217" s="8" t="s">
        <v>512</v>
      </c>
      <c r="F217" s="10" t="s">
        <v>513</v>
      </c>
      <c r="G217" s="10" t="s">
        <v>21</v>
      </c>
      <c r="H217" s="10" t="s">
        <v>104</v>
      </c>
      <c r="I217" s="10" t="s">
        <v>105</v>
      </c>
      <c r="J217" s="10" t="s">
        <v>88</v>
      </c>
      <c r="K217" s="10" t="s">
        <v>35</v>
      </c>
      <c r="L217" s="10" t="s">
        <v>36</v>
      </c>
      <c r="M217" s="10" t="s">
        <v>1596</v>
      </c>
      <c r="N217" s="11">
        <v>1931.1</v>
      </c>
      <c r="O217" s="12">
        <v>10</v>
      </c>
      <c r="P217" s="13">
        <v>0</v>
      </c>
      <c r="Q217" s="19">
        <v>684.34</v>
      </c>
      <c r="R217" s="45" t="str">
        <f t="shared" si="12"/>
        <v>OK</v>
      </c>
      <c r="S217" s="45">
        <f t="shared" si="13"/>
        <v>1307.114</v>
      </c>
      <c r="T217" s="45">
        <f t="shared" si="14"/>
        <v>10</v>
      </c>
      <c r="U217" s="45">
        <f t="shared" si="15"/>
        <v>13071.14</v>
      </c>
    </row>
    <row r="218" spans="1:21" x14ac:dyDescent="0.3">
      <c r="A218" s="17" t="s">
        <v>714</v>
      </c>
      <c r="B218" s="32">
        <v>44511</v>
      </c>
      <c r="C218" s="32">
        <v>44516</v>
      </c>
      <c r="D218" s="8" t="s">
        <v>29</v>
      </c>
      <c r="E218" s="8" t="s">
        <v>40</v>
      </c>
      <c r="F218" s="10" t="s">
        <v>41</v>
      </c>
      <c r="G218" s="10" t="s">
        <v>42</v>
      </c>
      <c r="H218" s="10" t="s">
        <v>43</v>
      </c>
      <c r="I218" s="10" t="s">
        <v>44</v>
      </c>
      <c r="J218" s="10" t="s">
        <v>24</v>
      </c>
      <c r="K218" s="10" t="s">
        <v>25</v>
      </c>
      <c r="L218" s="10" t="s">
        <v>68</v>
      </c>
      <c r="M218" s="10" t="s">
        <v>715</v>
      </c>
      <c r="N218" s="11">
        <v>848.9</v>
      </c>
      <c r="O218" s="12">
        <v>10</v>
      </c>
      <c r="P218" s="13">
        <v>0</v>
      </c>
      <c r="Q218" s="19">
        <v>293.79000000000002</v>
      </c>
      <c r="R218" s="45" t="str">
        <f t="shared" si="12"/>
        <v>OK</v>
      </c>
      <c r="S218" s="45">
        <f t="shared" si="13"/>
        <v>1307.114</v>
      </c>
      <c r="T218" s="45">
        <f t="shared" si="14"/>
        <v>10</v>
      </c>
      <c r="U218" s="45">
        <f t="shared" si="15"/>
        <v>13071.14</v>
      </c>
    </row>
    <row r="219" spans="1:21" x14ac:dyDescent="0.3">
      <c r="A219" s="17" t="s">
        <v>1145</v>
      </c>
      <c r="B219" s="32">
        <v>44512</v>
      </c>
      <c r="C219" s="32">
        <v>44516</v>
      </c>
      <c r="D219" s="8" t="s">
        <v>73</v>
      </c>
      <c r="E219" s="8" t="s">
        <v>543</v>
      </c>
      <c r="F219" s="10" t="s">
        <v>544</v>
      </c>
      <c r="G219" s="10" t="s">
        <v>42</v>
      </c>
      <c r="H219" s="10" t="s">
        <v>346</v>
      </c>
      <c r="I219" s="10" t="s">
        <v>347</v>
      </c>
      <c r="J219" s="10" t="s">
        <v>88</v>
      </c>
      <c r="K219" s="10" t="s">
        <v>45</v>
      </c>
      <c r="L219" s="10" t="s">
        <v>46</v>
      </c>
      <c r="M219" s="10" t="s">
        <v>1146</v>
      </c>
      <c r="N219" s="11">
        <v>279.66000000000003</v>
      </c>
      <c r="O219" s="12">
        <v>1</v>
      </c>
      <c r="P219" s="13">
        <v>0.3</v>
      </c>
      <c r="Q219" s="19">
        <v>-5.91</v>
      </c>
      <c r="R219" s="45" t="str">
        <f t="shared" si="12"/>
        <v>OK</v>
      </c>
      <c r="S219" s="45">
        <f t="shared" si="13"/>
        <v>1307.114</v>
      </c>
      <c r="T219" s="45">
        <f t="shared" si="14"/>
        <v>10</v>
      </c>
      <c r="U219" s="45">
        <f t="shared" si="15"/>
        <v>13071.14</v>
      </c>
    </row>
    <row r="220" spans="1:21" x14ac:dyDescent="0.3">
      <c r="A220" s="16" t="s">
        <v>1341</v>
      </c>
      <c r="B220" s="31">
        <v>44514</v>
      </c>
      <c r="C220" s="31">
        <v>44516</v>
      </c>
      <c r="D220" s="2" t="s">
        <v>39</v>
      </c>
      <c r="E220" s="2" t="s">
        <v>303</v>
      </c>
      <c r="F220" s="4" t="s">
        <v>304</v>
      </c>
      <c r="G220" s="4" t="s">
        <v>42</v>
      </c>
      <c r="H220" s="4" t="s">
        <v>305</v>
      </c>
      <c r="I220" s="4" t="s">
        <v>306</v>
      </c>
      <c r="J220" s="4" t="s">
        <v>34</v>
      </c>
      <c r="K220" s="4" t="s">
        <v>45</v>
      </c>
      <c r="L220" s="4" t="s">
        <v>46</v>
      </c>
      <c r="M220" s="4" t="s">
        <v>1342</v>
      </c>
      <c r="N220" s="5">
        <v>5442.92</v>
      </c>
      <c r="O220" s="6">
        <v>10</v>
      </c>
      <c r="P220" s="7">
        <v>0.3</v>
      </c>
      <c r="Q220" s="18">
        <v>154.38</v>
      </c>
      <c r="R220" s="45" t="str">
        <f t="shared" si="12"/>
        <v>OK</v>
      </c>
      <c r="S220" s="45">
        <f t="shared" si="13"/>
        <v>1307.114</v>
      </c>
      <c r="T220" s="45">
        <f t="shared" si="14"/>
        <v>10</v>
      </c>
      <c r="U220" s="45">
        <f t="shared" si="15"/>
        <v>13071.14</v>
      </c>
    </row>
    <row r="221" spans="1:21" x14ac:dyDescent="0.3">
      <c r="A221" s="16" t="s">
        <v>160</v>
      </c>
      <c r="B221" s="31">
        <v>44516</v>
      </c>
      <c r="C221" s="31">
        <v>44521</v>
      </c>
      <c r="D221" s="2" t="s">
        <v>29</v>
      </c>
      <c r="E221" s="2" t="s">
        <v>92</v>
      </c>
      <c r="F221" s="4" t="s">
        <v>93</v>
      </c>
      <c r="G221" s="4" t="s">
        <v>42</v>
      </c>
      <c r="H221" s="4" t="s">
        <v>43</v>
      </c>
      <c r="I221" s="4" t="s">
        <v>44</v>
      </c>
      <c r="J221" s="4" t="s">
        <v>24</v>
      </c>
      <c r="K221" s="4" t="s">
        <v>45</v>
      </c>
      <c r="L221" s="4" t="s">
        <v>61</v>
      </c>
      <c r="M221" s="4" t="s">
        <v>161</v>
      </c>
      <c r="N221" s="5">
        <v>516.41999999999996</v>
      </c>
      <c r="O221" s="6">
        <v>4</v>
      </c>
      <c r="P221" s="7">
        <v>0.05</v>
      </c>
      <c r="Q221" s="18">
        <v>11.06</v>
      </c>
      <c r="R221" s="45" t="str">
        <f t="shared" si="12"/>
        <v>OK</v>
      </c>
      <c r="S221" s="45">
        <f t="shared" si="13"/>
        <v>1307.114</v>
      </c>
      <c r="T221" s="45">
        <f t="shared" si="14"/>
        <v>10</v>
      </c>
      <c r="U221" s="45">
        <f t="shared" si="15"/>
        <v>13071.14</v>
      </c>
    </row>
    <row r="222" spans="1:21" x14ac:dyDescent="0.3">
      <c r="A222" s="17" t="s">
        <v>354</v>
      </c>
      <c r="B222" s="32">
        <v>44518</v>
      </c>
      <c r="C222" s="32">
        <v>44520</v>
      </c>
      <c r="D222" s="8" t="s">
        <v>39</v>
      </c>
      <c r="E222" s="8" t="s">
        <v>355</v>
      </c>
      <c r="F222" s="10" t="s">
        <v>356</v>
      </c>
      <c r="G222" s="10" t="s">
        <v>21</v>
      </c>
      <c r="H222" s="10" t="s">
        <v>357</v>
      </c>
      <c r="I222" s="10" t="s">
        <v>251</v>
      </c>
      <c r="J222" s="10" t="s">
        <v>88</v>
      </c>
      <c r="K222" s="10" t="s">
        <v>25</v>
      </c>
      <c r="L222" s="10" t="s">
        <v>68</v>
      </c>
      <c r="M222" s="10" t="s">
        <v>358</v>
      </c>
      <c r="N222" s="11">
        <v>794.92</v>
      </c>
      <c r="O222" s="12">
        <v>8</v>
      </c>
      <c r="P222" s="13">
        <v>0.3</v>
      </c>
      <c r="Q222" s="19">
        <v>198.48</v>
      </c>
      <c r="R222" s="45" t="str">
        <f t="shared" si="12"/>
        <v>OK</v>
      </c>
      <c r="S222" s="45">
        <f t="shared" si="13"/>
        <v>1307.114</v>
      </c>
      <c r="T222" s="45">
        <f t="shared" si="14"/>
        <v>10</v>
      </c>
      <c r="U222" s="45">
        <f t="shared" si="15"/>
        <v>13071.14</v>
      </c>
    </row>
    <row r="223" spans="1:21" x14ac:dyDescent="0.3">
      <c r="A223" s="16" t="s">
        <v>1696</v>
      </c>
      <c r="B223" s="31">
        <v>44519</v>
      </c>
      <c r="C223" s="31">
        <v>44523</v>
      </c>
      <c r="D223" s="2" t="s">
        <v>39</v>
      </c>
      <c r="E223" s="2" t="s">
        <v>997</v>
      </c>
      <c r="F223" s="4" t="s">
        <v>998</v>
      </c>
      <c r="G223" s="4" t="s">
        <v>21</v>
      </c>
      <c r="H223" s="4" t="s">
        <v>357</v>
      </c>
      <c r="I223" s="4" t="s">
        <v>251</v>
      </c>
      <c r="J223" s="4" t="s">
        <v>88</v>
      </c>
      <c r="K223" s="4" t="s">
        <v>45</v>
      </c>
      <c r="L223" s="4" t="s">
        <v>117</v>
      </c>
      <c r="M223" s="4" t="s">
        <v>564</v>
      </c>
      <c r="N223" s="5">
        <v>438.9</v>
      </c>
      <c r="O223" s="6">
        <v>5</v>
      </c>
      <c r="P223" s="7">
        <v>0.05</v>
      </c>
      <c r="Q223" s="18">
        <v>132.11000000000001</v>
      </c>
      <c r="R223" s="45" t="str">
        <f t="shared" si="12"/>
        <v>OK</v>
      </c>
      <c r="S223" s="45">
        <f t="shared" si="13"/>
        <v>1307.114</v>
      </c>
      <c r="T223" s="45">
        <f t="shared" si="14"/>
        <v>10</v>
      </c>
      <c r="U223" s="45">
        <f t="shared" si="15"/>
        <v>13071.14</v>
      </c>
    </row>
    <row r="224" spans="1:21" x14ac:dyDescent="0.3">
      <c r="A224" s="17" t="s">
        <v>1792</v>
      </c>
      <c r="B224" s="32">
        <v>44520</v>
      </c>
      <c r="C224" s="32">
        <v>44525</v>
      </c>
      <c r="D224" s="8" t="s">
        <v>73</v>
      </c>
      <c r="E224" s="8" t="s">
        <v>1270</v>
      </c>
      <c r="F224" s="10" t="s">
        <v>1271</v>
      </c>
      <c r="G224" s="10" t="s">
        <v>51</v>
      </c>
      <c r="H224" s="10" t="s">
        <v>412</v>
      </c>
      <c r="I224" s="10" t="s">
        <v>178</v>
      </c>
      <c r="J224" s="10" t="s">
        <v>24</v>
      </c>
      <c r="K224" s="10" t="s">
        <v>35</v>
      </c>
      <c r="L224" s="10" t="s">
        <v>81</v>
      </c>
      <c r="M224" s="10" t="s">
        <v>1793</v>
      </c>
      <c r="N224" s="11">
        <v>58.77</v>
      </c>
      <c r="O224" s="12">
        <v>6</v>
      </c>
      <c r="P224" s="13">
        <v>0.5</v>
      </c>
      <c r="Q224" s="19">
        <v>7.86</v>
      </c>
      <c r="R224" s="45" t="str">
        <f t="shared" si="12"/>
        <v>OK</v>
      </c>
      <c r="S224" s="45">
        <f t="shared" si="13"/>
        <v>1307.114</v>
      </c>
      <c r="T224" s="45">
        <f t="shared" si="14"/>
        <v>10</v>
      </c>
      <c r="U224" s="45">
        <f t="shared" si="15"/>
        <v>13071.14</v>
      </c>
    </row>
    <row r="225" spans="1:21" x14ac:dyDescent="0.3">
      <c r="A225" s="17" t="s">
        <v>1937</v>
      </c>
      <c r="B225" s="32">
        <v>44521</v>
      </c>
      <c r="C225" s="32">
        <v>44526</v>
      </c>
      <c r="D225" s="8" t="s">
        <v>73</v>
      </c>
      <c r="E225" s="8" t="s">
        <v>1938</v>
      </c>
      <c r="F225" s="10" t="s">
        <v>1939</v>
      </c>
      <c r="G225" s="10" t="s">
        <v>51</v>
      </c>
      <c r="H225" s="10" t="s">
        <v>1091</v>
      </c>
      <c r="I225" s="10" t="s">
        <v>23</v>
      </c>
      <c r="J225" s="10" t="s">
        <v>24</v>
      </c>
      <c r="K225" s="10" t="s">
        <v>25</v>
      </c>
      <c r="L225" s="10" t="s">
        <v>68</v>
      </c>
      <c r="M225" s="10" t="s">
        <v>1940</v>
      </c>
      <c r="N225" s="11">
        <v>1079.24</v>
      </c>
      <c r="O225" s="12">
        <v>6</v>
      </c>
      <c r="P225" s="13">
        <v>0.1</v>
      </c>
      <c r="Q225" s="19">
        <v>387.17</v>
      </c>
      <c r="R225" s="45" t="str">
        <f t="shared" si="12"/>
        <v>OK</v>
      </c>
      <c r="S225" s="45">
        <f t="shared" si="13"/>
        <v>1307.114</v>
      </c>
      <c r="T225" s="45">
        <f t="shared" si="14"/>
        <v>10</v>
      </c>
      <c r="U225" s="45">
        <f t="shared" si="15"/>
        <v>13071.14</v>
      </c>
    </row>
    <row r="226" spans="1:21" x14ac:dyDescent="0.3">
      <c r="A226" s="17" t="s">
        <v>343</v>
      </c>
      <c r="B226" s="32">
        <v>44522</v>
      </c>
      <c r="C226" s="32">
        <v>44525</v>
      </c>
      <c r="D226" s="8" t="s">
        <v>73</v>
      </c>
      <c r="E226" s="8" t="s">
        <v>344</v>
      </c>
      <c r="F226" s="10" t="s">
        <v>345</v>
      </c>
      <c r="G226" s="10" t="s">
        <v>51</v>
      </c>
      <c r="H226" s="10" t="s">
        <v>346</v>
      </c>
      <c r="I226" s="10" t="s">
        <v>347</v>
      </c>
      <c r="J226" s="10" t="s">
        <v>88</v>
      </c>
      <c r="K226" s="10" t="s">
        <v>25</v>
      </c>
      <c r="L226" s="10" t="s">
        <v>26</v>
      </c>
      <c r="M226" s="10" t="s">
        <v>348</v>
      </c>
      <c r="N226" s="11">
        <v>8619.17</v>
      </c>
      <c r="O226" s="12">
        <v>7</v>
      </c>
      <c r="P226" s="13">
        <v>0</v>
      </c>
      <c r="Q226" s="19">
        <v>2351.41</v>
      </c>
      <c r="R226" s="45" t="str">
        <f t="shared" si="12"/>
        <v>OK</v>
      </c>
      <c r="S226" s="45">
        <f t="shared" si="13"/>
        <v>1307.114</v>
      </c>
      <c r="T226" s="45">
        <f t="shared" si="14"/>
        <v>10</v>
      </c>
      <c r="U226" s="45">
        <f t="shared" si="15"/>
        <v>13071.14</v>
      </c>
    </row>
    <row r="227" spans="1:21" x14ac:dyDescent="0.3">
      <c r="A227" s="16" t="s">
        <v>2003</v>
      </c>
      <c r="B227" s="31">
        <v>44522</v>
      </c>
      <c r="C227" s="31">
        <v>44528</v>
      </c>
      <c r="D227" s="2" t="s">
        <v>29</v>
      </c>
      <c r="E227" s="2" t="s">
        <v>96</v>
      </c>
      <c r="F227" s="4" t="s">
        <v>97</v>
      </c>
      <c r="G227" s="4" t="s">
        <v>21</v>
      </c>
      <c r="H227" s="4" t="s">
        <v>98</v>
      </c>
      <c r="I227" s="4" t="s">
        <v>80</v>
      </c>
      <c r="J227" s="4" t="s">
        <v>54</v>
      </c>
      <c r="K227" s="4" t="s">
        <v>35</v>
      </c>
      <c r="L227" s="4" t="s">
        <v>89</v>
      </c>
      <c r="M227" s="4" t="s">
        <v>2004</v>
      </c>
      <c r="N227" s="5">
        <v>1388.76</v>
      </c>
      <c r="O227" s="6">
        <v>6</v>
      </c>
      <c r="P227" s="7">
        <v>0</v>
      </c>
      <c r="Q227" s="18">
        <v>482.67</v>
      </c>
      <c r="R227" s="45" t="str">
        <f t="shared" si="12"/>
        <v>OK</v>
      </c>
      <c r="S227" s="45">
        <f t="shared" si="13"/>
        <v>1307.114</v>
      </c>
      <c r="T227" s="45">
        <f t="shared" si="14"/>
        <v>10</v>
      </c>
      <c r="U227" s="45">
        <f t="shared" si="15"/>
        <v>13071.14</v>
      </c>
    </row>
    <row r="228" spans="1:21" x14ac:dyDescent="0.3">
      <c r="A228" s="16" t="s">
        <v>1059</v>
      </c>
      <c r="B228" s="31">
        <v>44524</v>
      </c>
      <c r="C228" s="31">
        <v>44528</v>
      </c>
      <c r="D228" s="2" t="s">
        <v>39</v>
      </c>
      <c r="E228" s="2" t="s">
        <v>858</v>
      </c>
      <c r="F228" s="4" t="s">
        <v>859</v>
      </c>
      <c r="G228" s="4" t="s">
        <v>51</v>
      </c>
      <c r="H228" s="4" t="s">
        <v>145</v>
      </c>
      <c r="I228" s="4" t="s">
        <v>140</v>
      </c>
      <c r="J228" s="4" t="s">
        <v>24</v>
      </c>
      <c r="K228" s="4" t="s">
        <v>45</v>
      </c>
      <c r="L228" s="4" t="s">
        <v>99</v>
      </c>
      <c r="M228" s="4" t="s">
        <v>1060</v>
      </c>
      <c r="N228" s="5">
        <v>1516.96</v>
      </c>
      <c r="O228" s="6">
        <v>10</v>
      </c>
      <c r="P228" s="7">
        <v>0.2</v>
      </c>
      <c r="Q228" s="18">
        <v>303.92</v>
      </c>
      <c r="R228" s="45" t="str">
        <f t="shared" si="12"/>
        <v>OK</v>
      </c>
      <c r="S228" s="45">
        <f t="shared" si="13"/>
        <v>1307.114</v>
      </c>
      <c r="T228" s="45">
        <f t="shared" si="14"/>
        <v>10</v>
      </c>
      <c r="U228" s="45">
        <f t="shared" si="15"/>
        <v>13071.14</v>
      </c>
    </row>
    <row r="229" spans="1:21" x14ac:dyDescent="0.3">
      <c r="A229" s="16" t="s">
        <v>1616</v>
      </c>
      <c r="B229" s="31">
        <v>44524</v>
      </c>
      <c r="C229" s="31">
        <v>44529</v>
      </c>
      <c r="D229" s="2" t="s">
        <v>29</v>
      </c>
      <c r="E229" s="2" t="s">
        <v>512</v>
      </c>
      <c r="F229" s="4" t="s">
        <v>513</v>
      </c>
      <c r="G229" s="4" t="s">
        <v>21</v>
      </c>
      <c r="H229" s="4" t="s">
        <v>104</v>
      </c>
      <c r="I229" s="4" t="s">
        <v>105</v>
      </c>
      <c r="J229" s="4" t="s">
        <v>88</v>
      </c>
      <c r="K229" s="4" t="s">
        <v>45</v>
      </c>
      <c r="L229" s="4" t="s">
        <v>117</v>
      </c>
      <c r="M229" s="4" t="s">
        <v>1617</v>
      </c>
      <c r="N229" s="5">
        <v>235.14</v>
      </c>
      <c r="O229" s="6">
        <v>3</v>
      </c>
      <c r="P229" s="7">
        <v>0.3</v>
      </c>
      <c r="Q229" s="18">
        <v>-6.58</v>
      </c>
      <c r="R229" s="45" t="str">
        <f t="shared" si="12"/>
        <v>OK</v>
      </c>
      <c r="S229" s="45">
        <f t="shared" si="13"/>
        <v>1307.114</v>
      </c>
      <c r="T229" s="45">
        <f t="shared" si="14"/>
        <v>10</v>
      </c>
      <c r="U229" s="45">
        <f t="shared" si="15"/>
        <v>13071.14</v>
      </c>
    </row>
    <row r="230" spans="1:21" x14ac:dyDescent="0.3">
      <c r="A230" s="16" t="s">
        <v>487</v>
      </c>
      <c r="B230" s="31">
        <v>44525</v>
      </c>
      <c r="C230" s="31">
        <v>44528</v>
      </c>
      <c r="D230" s="2" t="s">
        <v>18</v>
      </c>
      <c r="E230" s="2" t="s">
        <v>426</v>
      </c>
      <c r="F230" s="4" t="s">
        <v>427</v>
      </c>
      <c r="G230" s="4" t="s">
        <v>42</v>
      </c>
      <c r="H230" s="4" t="s">
        <v>412</v>
      </c>
      <c r="I230" s="4" t="s">
        <v>178</v>
      </c>
      <c r="J230" s="4" t="s">
        <v>24</v>
      </c>
      <c r="K230" s="4" t="s">
        <v>35</v>
      </c>
      <c r="L230" s="4" t="s">
        <v>229</v>
      </c>
      <c r="M230" s="4" t="s">
        <v>488</v>
      </c>
      <c r="N230" s="5">
        <v>9.76</v>
      </c>
      <c r="O230" s="6">
        <v>4</v>
      </c>
      <c r="P230" s="7">
        <v>0.1</v>
      </c>
      <c r="Q230" s="18">
        <v>4.63</v>
      </c>
      <c r="R230" s="45" t="str">
        <f t="shared" si="12"/>
        <v>OK</v>
      </c>
      <c r="S230" s="45">
        <f t="shared" si="13"/>
        <v>1307.114</v>
      </c>
      <c r="T230" s="45">
        <f t="shared" si="14"/>
        <v>10</v>
      </c>
      <c r="U230" s="45">
        <f t="shared" si="15"/>
        <v>13071.14</v>
      </c>
    </row>
    <row r="231" spans="1:21" x14ac:dyDescent="0.3">
      <c r="A231" s="16" t="s">
        <v>1538</v>
      </c>
      <c r="B231" s="31">
        <v>44525</v>
      </c>
      <c r="C231" s="31">
        <v>44530</v>
      </c>
      <c r="D231" s="2" t="s">
        <v>73</v>
      </c>
      <c r="E231" s="2" t="s">
        <v>1539</v>
      </c>
      <c r="F231" s="4" t="s">
        <v>1540</v>
      </c>
      <c r="G231" s="4" t="s">
        <v>42</v>
      </c>
      <c r="H231" s="4" t="s">
        <v>324</v>
      </c>
      <c r="I231" s="4" t="s">
        <v>116</v>
      </c>
      <c r="J231" s="4" t="s">
        <v>54</v>
      </c>
      <c r="K231" s="4" t="s">
        <v>45</v>
      </c>
      <c r="L231" s="4" t="s">
        <v>117</v>
      </c>
      <c r="M231" s="4" t="s">
        <v>1541</v>
      </c>
      <c r="N231" s="5">
        <v>1288.05</v>
      </c>
      <c r="O231" s="6">
        <v>5</v>
      </c>
      <c r="P231" s="7">
        <v>0.5</v>
      </c>
      <c r="Q231" s="18">
        <v>-504.02</v>
      </c>
      <c r="R231" s="45" t="str">
        <f t="shared" si="12"/>
        <v>OK</v>
      </c>
      <c r="S231" s="45">
        <f t="shared" si="13"/>
        <v>1307.114</v>
      </c>
      <c r="T231" s="45">
        <f t="shared" si="14"/>
        <v>10</v>
      </c>
      <c r="U231" s="45">
        <f t="shared" si="15"/>
        <v>13071.14</v>
      </c>
    </row>
    <row r="232" spans="1:21" x14ac:dyDescent="0.3">
      <c r="A232" s="17" t="s">
        <v>1839</v>
      </c>
      <c r="B232" s="32">
        <v>44526</v>
      </c>
      <c r="C232" s="32">
        <v>44530</v>
      </c>
      <c r="D232" s="8" t="s">
        <v>39</v>
      </c>
      <c r="E232" s="8" t="s">
        <v>1284</v>
      </c>
      <c r="F232" s="10" t="s">
        <v>1285</v>
      </c>
      <c r="G232" s="10" t="s">
        <v>21</v>
      </c>
      <c r="H232" s="10" t="s">
        <v>150</v>
      </c>
      <c r="I232" s="10" t="s">
        <v>151</v>
      </c>
      <c r="J232" s="10" t="s">
        <v>34</v>
      </c>
      <c r="K232" s="10" t="s">
        <v>45</v>
      </c>
      <c r="L232" s="10" t="s">
        <v>46</v>
      </c>
      <c r="M232" s="10" t="s">
        <v>1840</v>
      </c>
      <c r="N232" s="11">
        <v>354.23</v>
      </c>
      <c r="O232" s="12">
        <v>1</v>
      </c>
      <c r="P232" s="13">
        <v>0</v>
      </c>
      <c r="Q232" s="19">
        <v>140.99</v>
      </c>
      <c r="R232" s="45" t="str">
        <f t="shared" si="12"/>
        <v>OK</v>
      </c>
      <c r="S232" s="45">
        <f t="shared" si="13"/>
        <v>1307.114</v>
      </c>
      <c r="T232" s="45">
        <f t="shared" si="14"/>
        <v>10</v>
      </c>
      <c r="U232" s="45">
        <f t="shared" si="15"/>
        <v>13071.14</v>
      </c>
    </row>
    <row r="233" spans="1:21" x14ac:dyDescent="0.3">
      <c r="A233" s="16" t="s">
        <v>1299</v>
      </c>
      <c r="B233" s="31">
        <v>44528</v>
      </c>
      <c r="C233" s="31">
        <v>44532</v>
      </c>
      <c r="D233" s="2" t="s">
        <v>73</v>
      </c>
      <c r="E233" s="2" t="s">
        <v>1300</v>
      </c>
      <c r="F233" s="4" t="s">
        <v>1301</v>
      </c>
      <c r="G233" s="4" t="s">
        <v>51</v>
      </c>
      <c r="H233" s="4" t="s">
        <v>319</v>
      </c>
      <c r="I233" s="4" t="s">
        <v>194</v>
      </c>
      <c r="J233" s="4" t="s">
        <v>34</v>
      </c>
      <c r="K233" s="4" t="s">
        <v>25</v>
      </c>
      <c r="L233" s="4" t="s">
        <v>74</v>
      </c>
      <c r="M233" s="4" t="s">
        <v>1302</v>
      </c>
      <c r="N233" s="5">
        <v>3230.01</v>
      </c>
      <c r="O233" s="6">
        <v>6</v>
      </c>
      <c r="P233" s="7">
        <v>0.3</v>
      </c>
      <c r="Q233" s="18">
        <v>147.84</v>
      </c>
      <c r="R233" s="45" t="str">
        <f t="shared" si="12"/>
        <v>OK</v>
      </c>
      <c r="S233" s="45">
        <f t="shared" si="13"/>
        <v>1307.114</v>
      </c>
      <c r="T233" s="45">
        <f t="shared" si="14"/>
        <v>10</v>
      </c>
      <c r="U233" s="45">
        <f t="shared" si="15"/>
        <v>13071.14</v>
      </c>
    </row>
    <row r="234" spans="1:21" x14ac:dyDescent="0.3">
      <c r="A234" s="17" t="s">
        <v>1615</v>
      </c>
      <c r="B234" s="32">
        <v>44530</v>
      </c>
      <c r="C234" s="32">
        <v>44535</v>
      </c>
      <c r="D234" s="8" t="s">
        <v>29</v>
      </c>
      <c r="E234" s="8" t="s">
        <v>741</v>
      </c>
      <c r="F234" s="10" t="s">
        <v>742</v>
      </c>
      <c r="G234" s="10" t="s">
        <v>51</v>
      </c>
      <c r="H234" s="10" t="s">
        <v>260</v>
      </c>
      <c r="I234" s="10" t="s">
        <v>151</v>
      </c>
      <c r="J234" s="10" t="s">
        <v>34</v>
      </c>
      <c r="K234" s="10" t="s">
        <v>45</v>
      </c>
      <c r="L234" s="10" t="s">
        <v>46</v>
      </c>
      <c r="M234" s="10" t="s">
        <v>1429</v>
      </c>
      <c r="N234" s="11">
        <v>2046.9</v>
      </c>
      <c r="O234" s="12">
        <v>6</v>
      </c>
      <c r="P234" s="13">
        <v>0</v>
      </c>
      <c r="Q234" s="19">
        <v>801.72</v>
      </c>
      <c r="R234" s="45" t="str">
        <f t="shared" si="12"/>
        <v>OK</v>
      </c>
      <c r="S234" s="45">
        <f t="shared" si="13"/>
        <v>1307.114</v>
      </c>
      <c r="T234" s="45">
        <f t="shared" si="14"/>
        <v>10</v>
      </c>
      <c r="U234" s="45">
        <f t="shared" si="15"/>
        <v>13071.14</v>
      </c>
    </row>
    <row r="235" spans="1:21" x14ac:dyDescent="0.3">
      <c r="A235" s="16" t="s">
        <v>462</v>
      </c>
      <c r="B235" s="31">
        <v>44531</v>
      </c>
      <c r="C235" s="31">
        <v>44533</v>
      </c>
      <c r="D235" s="2" t="s">
        <v>18</v>
      </c>
      <c r="E235" s="2" t="s">
        <v>463</v>
      </c>
      <c r="F235" s="4" t="s">
        <v>464</v>
      </c>
      <c r="G235" s="4" t="s">
        <v>51</v>
      </c>
      <c r="H235" s="4" t="s">
        <v>465</v>
      </c>
      <c r="I235" s="4" t="s">
        <v>423</v>
      </c>
      <c r="J235" s="4" t="s">
        <v>88</v>
      </c>
      <c r="K235" s="4" t="s">
        <v>25</v>
      </c>
      <c r="L235" s="4" t="s">
        <v>26</v>
      </c>
      <c r="M235" s="4" t="s">
        <v>466</v>
      </c>
      <c r="N235" s="5">
        <v>3591.79</v>
      </c>
      <c r="O235" s="6">
        <v>9</v>
      </c>
      <c r="P235" s="7">
        <v>0.2</v>
      </c>
      <c r="Q235" s="18">
        <v>75.599999999999994</v>
      </c>
      <c r="R235" s="45" t="str">
        <f t="shared" si="12"/>
        <v>OK</v>
      </c>
      <c r="S235" s="45">
        <f t="shared" si="13"/>
        <v>1307.114</v>
      </c>
      <c r="T235" s="45">
        <f t="shared" si="14"/>
        <v>10</v>
      </c>
      <c r="U235" s="45">
        <f t="shared" si="15"/>
        <v>13071.14</v>
      </c>
    </row>
    <row r="236" spans="1:21" x14ac:dyDescent="0.3">
      <c r="A236" s="17" t="s">
        <v>910</v>
      </c>
      <c r="B236" s="32">
        <v>44531</v>
      </c>
      <c r="C236" s="32">
        <v>44533</v>
      </c>
      <c r="D236" s="8" t="s">
        <v>18</v>
      </c>
      <c r="E236" s="8" t="s">
        <v>874</v>
      </c>
      <c r="F236" s="10" t="s">
        <v>875</v>
      </c>
      <c r="G236" s="10" t="s">
        <v>51</v>
      </c>
      <c r="H236" s="10" t="s">
        <v>59</v>
      </c>
      <c r="I236" s="10" t="s">
        <v>60</v>
      </c>
      <c r="J236" s="10" t="s">
        <v>54</v>
      </c>
      <c r="K236" s="10" t="s">
        <v>25</v>
      </c>
      <c r="L236" s="10" t="s">
        <v>74</v>
      </c>
      <c r="M236" s="10" t="s">
        <v>911</v>
      </c>
      <c r="N236" s="11">
        <v>392.67</v>
      </c>
      <c r="O236" s="12">
        <v>5</v>
      </c>
      <c r="P236" s="13">
        <v>0.1</v>
      </c>
      <c r="Q236" s="19">
        <v>130.41999999999999</v>
      </c>
      <c r="R236" s="45" t="str">
        <f t="shared" si="12"/>
        <v>OK</v>
      </c>
      <c r="S236" s="45">
        <f t="shared" si="13"/>
        <v>1307.114</v>
      </c>
      <c r="T236" s="45">
        <f t="shared" si="14"/>
        <v>10</v>
      </c>
      <c r="U236" s="45">
        <f t="shared" si="15"/>
        <v>13071.14</v>
      </c>
    </row>
    <row r="237" spans="1:21" x14ac:dyDescent="0.3">
      <c r="A237" s="16" t="s">
        <v>1816</v>
      </c>
      <c r="B237" s="31">
        <v>44532</v>
      </c>
      <c r="C237" s="31">
        <v>44535</v>
      </c>
      <c r="D237" s="2" t="s">
        <v>73</v>
      </c>
      <c r="E237" s="2" t="s">
        <v>768</v>
      </c>
      <c r="F237" s="4" t="s">
        <v>769</v>
      </c>
      <c r="G237" s="4" t="s">
        <v>51</v>
      </c>
      <c r="H237" s="4" t="s">
        <v>183</v>
      </c>
      <c r="I237" s="4" t="s">
        <v>184</v>
      </c>
      <c r="J237" s="4" t="s">
        <v>54</v>
      </c>
      <c r="K237" s="4" t="s">
        <v>25</v>
      </c>
      <c r="L237" s="4" t="s">
        <v>26</v>
      </c>
      <c r="M237" s="4" t="s">
        <v>1817</v>
      </c>
      <c r="N237" s="5">
        <v>2402.7600000000002</v>
      </c>
      <c r="O237" s="6">
        <v>7</v>
      </c>
      <c r="P237" s="7">
        <v>0.3</v>
      </c>
      <c r="Q237" s="18">
        <v>-328.89</v>
      </c>
      <c r="R237" s="45" t="str">
        <f t="shared" si="12"/>
        <v>OK</v>
      </c>
      <c r="S237" s="45">
        <f t="shared" si="13"/>
        <v>1307.114</v>
      </c>
      <c r="T237" s="45">
        <f t="shared" si="14"/>
        <v>10</v>
      </c>
      <c r="U237" s="45">
        <f t="shared" si="15"/>
        <v>13071.14</v>
      </c>
    </row>
    <row r="238" spans="1:21" x14ac:dyDescent="0.3">
      <c r="A238" s="17" t="s">
        <v>1200</v>
      </c>
      <c r="B238" s="32">
        <v>44533</v>
      </c>
      <c r="C238" s="32">
        <v>44534</v>
      </c>
      <c r="D238" s="8" t="s">
        <v>18</v>
      </c>
      <c r="E238" s="8" t="s">
        <v>1201</v>
      </c>
      <c r="F238" s="10" t="s">
        <v>1202</v>
      </c>
      <c r="G238" s="10" t="s">
        <v>51</v>
      </c>
      <c r="H238" s="10" t="s">
        <v>530</v>
      </c>
      <c r="I238" s="10" t="s">
        <v>373</v>
      </c>
      <c r="J238" s="10" t="s">
        <v>34</v>
      </c>
      <c r="K238" s="10" t="s">
        <v>45</v>
      </c>
      <c r="L238" s="10" t="s">
        <v>46</v>
      </c>
      <c r="M238" s="10" t="s">
        <v>1203</v>
      </c>
      <c r="N238" s="11">
        <v>676.99</v>
      </c>
      <c r="O238" s="12">
        <v>6</v>
      </c>
      <c r="P238" s="13">
        <v>0.2</v>
      </c>
      <c r="Q238" s="19">
        <v>61.68</v>
      </c>
      <c r="R238" s="45" t="str">
        <f t="shared" si="12"/>
        <v>OK</v>
      </c>
      <c r="S238" s="45">
        <f t="shared" si="13"/>
        <v>1307.114</v>
      </c>
      <c r="T238" s="45">
        <f t="shared" si="14"/>
        <v>10</v>
      </c>
      <c r="U238" s="45">
        <f t="shared" si="15"/>
        <v>13071.14</v>
      </c>
    </row>
    <row r="239" spans="1:21" x14ac:dyDescent="0.3">
      <c r="A239" s="16" t="s">
        <v>1560</v>
      </c>
      <c r="B239" s="31">
        <v>44538</v>
      </c>
      <c r="C239" s="31">
        <v>44543</v>
      </c>
      <c r="D239" s="2" t="s">
        <v>29</v>
      </c>
      <c r="E239" s="2" t="s">
        <v>566</v>
      </c>
      <c r="F239" s="4" t="s">
        <v>567</v>
      </c>
      <c r="G239" s="4" t="s">
        <v>21</v>
      </c>
      <c r="H239" s="4" t="s">
        <v>156</v>
      </c>
      <c r="I239" s="4" t="s">
        <v>157</v>
      </c>
      <c r="J239" s="4" t="s">
        <v>88</v>
      </c>
      <c r="K239" s="4" t="s">
        <v>35</v>
      </c>
      <c r="L239" s="4" t="s">
        <v>229</v>
      </c>
      <c r="M239" s="4" t="s">
        <v>1561</v>
      </c>
      <c r="N239" s="5">
        <v>108.03</v>
      </c>
      <c r="O239" s="6">
        <v>8</v>
      </c>
      <c r="P239" s="7">
        <v>0.2</v>
      </c>
      <c r="Q239" s="18">
        <v>34.590000000000003</v>
      </c>
      <c r="R239" s="45" t="str">
        <f t="shared" si="12"/>
        <v>OK</v>
      </c>
      <c r="S239" s="45">
        <f t="shared" si="13"/>
        <v>1307.114</v>
      </c>
      <c r="T239" s="45">
        <f t="shared" si="14"/>
        <v>10</v>
      </c>
      <c r="U239" s="45">
        <f t="shared" si="15"/>
        <v>13071.14</v>
      </c>
    </row>
    <row r="240" spans="1:21" x14ac:dyDescent="0.3">
      <c r="A240" s="17" t="s">
        <v>1896</v>
      </c>
      <c r="B240" s="32">
        <v>44539</v>
      </c>
      <c r="C240" s="32">
        <v>44543</v>
      </c>
      <c r="D240" s="8" t="s">
        <v>39</v>
      </c>
      <c r="E240" s="8" t="s">
        <v>197</v>
      </c>
      <c r="F240" s="10" t="s">
        <v>198</v>
      </c>
      <c r="G240" s="10" t="s">
        <v>21</v>
      </c>
      <c r="H240" s="10" t="s">
        <v>129</v>
      </c>
      <c r="I240" s="10" t="s">
        <v>33</v>
      </c>
      <c r="J240" s="10" t="s">
        <v>34</v>
      </c>
      <c r="K240" s="10" t="s">
        <v>25</v>
      </c>
      <c r="L240" s="10" t="s">
        <v>124</v>
      </c>
      <c r="M240" s="10" t="s">
        <v>1897</v>
      </c>
      <c r="N240" s="11">
        <v>12483.55</v>
      </c>
      <c r="O240" s="12">
        <v>4</v>
      </c>
      <c r="P240" s="13">
        <v>0.2</v>
      </c>
      <c r="Q240" s="19">
        <v>1218.3599999999999</v>
      </c>
      <c r="R240" s="45" t="str">
        <f t="shared" si="12"/>
        <v>OK</v>
      </c>
      <c r="S240" s="45">
        <f t="shared" si="13"/>
        <v>1307.114</v>
      </c>
      <c r="T240" s="45">
        <f t="shared" si="14"/>
        <v>10</v>
      </c>
      <c r="U240" s="45">
        <f t="shared" si="15"/>
        <v>13071.14</v>
      </c>
    </row>
    <row r="241" spans="1:21" x14ac:dyDescent="0.3">
      <c r="A241" s="17" t="s">
        <v>2444</v>
      </c>
      <c r="B241" s="32">
        <v>44542</v>
      </c>
      <c r="C241" s="32">
        <v>44539</v>
      </c>
      <c r="D241" s="8" t="s">
        <v>29</v>
      </c>
      <c r="E241" s="8" t="s">
        <v>500</v>
      </c>
      <c r="F241" s="10" t="s">
        <v>501</v>
      </c>
      <c r="G241" s="10" t="s">
        <v>21</v>
      </c>
      <c r="H241" s="10" t="s">
        <v>104</v>
      </c>
      <c r="I241" s="10" t="s">
        <v>105</v>
      </c>
      <c r="J241" s="10" t="s">
        <v>88</v>
      </c>
      <c r="K241" s="10" t="s">
        <v>25</v>
      </c>
      <c r="L241" s="10" t="s">
        <v>124</v>
      </c>
      <c r="M241" s="10" t="s">
        <v>2445</v>
      </c>
      <c r="N241" s="11">
        <v>27780.51</v>
      </c>
      <c r="O241" s="12">
        <v>8</v>
      </c>
      <c r="P241" s="13">
        <v>0.05</v>
      </c>
      <c r="Q241" s="19">
        <v>6963.1</v>
      </c>
      <c r="R241" s="45" t="str">
        <f t="shared" si="12"/>
        <v>Error</v>
      </c>
      <c r="S241" s="45">
        <f t="shared" si="13"/>
        <v>1307.114</v>
      </c>
      <c r="T241" s="45">
        <f t="shared" si="14"/>
        <v>10</v>
      </c>
      <c r="U241" s="45">
        <f t="shared" si="15"/>
        <v>13071.14</v>
      </c>
    </row>
    <row r="242" spans="1:21" x14ac:dyDescent="0.3">
      <c r="A242" s="17" t="s">
        <v>1046</v>
      </c>
      <c r="B242" s="32">
        <v>44548</v>
      </c>
      <c r="C242" s="32">
        <v>44551</v>
      </c>
      <c r="D242" s="8" t="s">
        <v>18</v>
      </c>
      <c r="E242" s="8" t="s">
        <v>1047</v>
      </c>
      <c r="F242" s="10" t="s">
        <v>1048</v>
      </c>
      <c r="G242" s="10" t="s">
        <v>42</v>
      </c>
      <c r="H242" s="10" t="s">
        <v>79</v>
      </c>
      <c r="I242" s="10" t="s">
        <v>80</v>
      </c>
      <c r="J242" s="10" t="s">
        <v>54</v>
      </c>
      <c r="K242" s="10" t="s">
        <v>25</v>
      </c>
      <c r="L242" s="10" t="s">
        <v>74</v>
      </c>
      <c r="M242" s="10" t="s">
        <v>1049</v>
      </c>
      <c r="N242" s="11">
        <v>1770.51</v>
      </c>
      <c r="O242" s="12">
        <v>7</v>
      </c>
      <c r="P242" s="13">
        <v>0</v>
      </c>
      <c r="Q242" s="19">
        <v>540.73</v>
      </c>
      <c r="R242" s="45" t="str">
        <f t="shared" si="12"/>
        <v>OK</v>
      </c>
      <c r="S242" s="45">
        <f t="shared" si="13"/>
        <v>1307.114</v>
      </c>
      <c r="T242" s="45">
        <f t="shared" si="14"/>
        <v>10</v>
      </c>
      <c r="U242" s="45">
        <f t="shared" si="15"/>
        <v>13071.14</v>
      </c>
    </row>
    <row r="243" spans="1:21" x14ac:dyDescent="0.3">
      <c r="A243" s="16" t="s">
        <v>1790</v>
      </c>
      <c r="B243" s="31">
        <v>44553</v>
      </c>
      <c r="C243" s="31">
        <v>44555</v>
      </c>
      <c r="D243" s="2" t="s">
        <v>18</v>
      </c>
      <c r="E243" s="2" t="s">
        <v>102</v>
      </c>
      <c r="F243" s="4" t="s">
        <v>103</v>
      </c>
      <c r="G243" s="4" t="s">
        <v>42</v>
      </c>
      <c r="H243" s="4" t="s">
        <v>104</v>
      </c>
      <c r="I243" s="4" t="s">
        <v>105</v>
      </c>
      <c r="J243" s="4" t="s">
        <v>88</v>
      </c>
      <c r="K243" s="4" t="s">
        <v>25</v>
      </c>
      <c r="L243" s="4" t="s">
        <v>74</v>
      </c>
      <c r="M243" s="4" t="s">
        <v>1791</v>
      </c>
      <c r="N243" s="5">
        <v>1061.04</v>
      </c>
      <c r="O243" s="6">
        <v>4</v>
      </c>
      <c r="P243" s="7">
        <v>0.05</v>
      </c>
      <c r="Q243" s="18">
        <v>439.08</v>
      </c>
      <c r="R243" s="45" t="str">
        <f t="shared" si="12"/>
        <v>OK</v>
      </c>
      <c r="S243" s="45">
        <f t="shared" si="13"/>
        <v>1307.114</v>
      </c>
      <c r="T243" s="45">
        <f t="shared" si="14"/>
        <v>10</v>
      </c>
      <c r="U243" s="45">
        <f t="shared" si="15"/>
        <v>13071.14</v>
      </c>
    </row>
    <row r="244" spans="1:21" x14ac:dyDescent="0.3">
      <c r="A244" s="16" t="s">
        <v>1420</v>
      </c>
      <c r="B244" s="31">
        <v>44554</v>
      </c>
      <c r="C244" s="31">
        <v>44559</v>
      </c>
      <c r="D244" s="2" t="s">
        <v>73</v>
      </c>
      <c r="E244" s="2" t="s">
        <v>441</v>
      </c>
      <c r="F244" s="4" t="s">
        <v>442</v>
      </c>
      <c r="G244" s="4" t="s">
        <v>21</v>
      </c>
      <c r="H244" s="4" t="s">
        <v>98</v>
      </c>
      <c r="I244" s="4" t="s">
        <v>80</v>
      </c>
      <c r="J244" s="4" t="s">
        <v>54</v>
      </c>
      <c r="K244" s="4" t="s">
        <v>35</v>
      </c>
      <c r="L244" s="4" t="s">
        <v>229</v>
      </c>
      <c r="M244" s="4" t="s">
        <v>1421</v>
      </c>
      <c r="N244" s="5">
        <v>47.44</v>
      </c>
      <c r="O244" s="6">
        <v>8</v>
      </c>
      <c r="P244" s="7">
        <v>0</v>
      </c>
      <c r="Q244" s="18">
        <v>24.84</v>
      </c>
      <c r="R244" s="45" t="str">
        <f t="shared" si="12"/>
        <v>OK</v>
      </c>
      <c r="S244" s="45">
        <f t="shared" si="13"/>
        <v>1307.114</v>
      </c>
      <c r="T244" s="45">
        <f t="shared" si="14"/>
        <v>10</v>
      </c>
      <c r="U244" s="45">
        <f t="shared" si="15"/>
        <v>13071.14</v>
      </c>
    </row>
    <row r="245" spans="1:21" x14ac:dyDescent="0.3">
      <c r="A245" s="17" t="s">
        <v>196</v>
      </c>
      <c r="B245" s="32">
        <v>44555</v>
      </c>
      <c r="C245" s="32">
        <v>44562</v>
      </c>
      <c r="D245" s="8" t="s">
        <v>29</v>
      </c>
      <c r="E245" s="8" t="s">
        <v>197</v>
      </c>
      <c r="F245" s="10" t="s">
        <v>198</v>
      </c>
      <c r="G245" s="10" t="s">
        <v>21</v>
      </c>
      <c r="H245" s="10" t="s">
        <v>129</v>
      </c>
      <c r="I245" s="10" t="s">
        <v>33</v>
      </c>
      <c r="J245" s="10" t="s">
        <v>34</v>
      </c>
      <c r="K245" s="10" t="s">
        <v>45</v>
      </c>
      <c r="L245" s="10" t="s">
        <v>61</v>
      </c>
      <c r="M245" s="10" t="s">
        <v>199</v>
      </c>
      <c r="N245" s="11">
        <v>3924.7</v>
      </c>
      <c r="O245" s="12">
        <v>10</v>
      </c>
      <c r="P245" s="13">
        <v>0</v>
      </c>
      <c r="Q245" s="19">
        <v>476.88</v>
      </c>
      <c r="R245" s="45" t="str">
        <f t="shared" si="12"/>
        <v>OK</v>
      </c>
      <c r="S245" s="45">
        <f t="shared" si="13"/>
        <v>1307.114</v>
      </c>
      <c r="T245" s="45">
        <f t="shared" si="14"/>
        <v>10</v>
      </c>
      <c r="U245" s="45">
        <f t="shared" si="15"/>
        <v>13071.14</v>
      </c>
    </row>
    <row r="246" spans="1:21" x14ac:dyDescent="0.3">
      <c r="A246" s="17" t="s">
        <v>845</v>
      </c>
      <c r="B246" s="32">
        <v>44555</v>
      </c>
      <c r="C246" s="32">
        <v>44561</v>
      </c>
      <c r="D246" s="8" t="s">
        <v>29</v>
      </c>
      <c r="E246" s="8" t="s">
        <v>265</v>
      </c>
      <c r="F246" s="10" t="s">
        <v>266</v>
      </c>
      <c r="G246" s="10" t="s">
        <v>21</v>
      </c>
      <c r="H246" s="10" t="s">
        <v>171</v>
      </c>
      <c r="I246" s="10" t="s">
        <v>172</v>
      </c>
      <c r="J246" s="10" t="s">
        <v>24</v>
      </c>
      <c r="K246" s="10" t="s">
        <v>35</v>
      </c>
      <c r="L246" s="10" t="s">
        <v>89</v>
      </c>
      <c r="M246" s="10" t="s">
        <v>846</v>
      </c>
      <c r="N246" s="11">
        <v>1194.1500000000001</v>
      </c>
      <c r="O246" s="12">
        <v>5</v>
      </c>
      <c r="P246" s="13">
        <v>0.05</v>
      </c>
      <c r="Q246" s="19">
        <v>372.05</v>
      </c>
      <c r="R246" s="45" t="str">
        <f t="shared" si="12"/>
        <v>OK</v>
      </c>
      <c r="S246" s="45">
        <f t="shared" si="13"/>
        <v>1307.114</v>
      </c>
      <c r="T246" s="45">
        <f t="shared" si="14"/>
        <v>10</v>
      </c>
      <c r="U246" s="45">
        <f t="shared" si="15"/>
        <v>13071.14</v>
      </c>
    </row>
    <row r="247" spans="1:21" x14ac:dyDescent="0.3">
      <c r="A247" s="17" t="s">
        <v>1587</v>
      </c>
      <c r="B247" s="32">
        <v>44555</v>
      </c>
      <c r="C247" s="32">
        <v>44556</v>
      </c>
      <c r="D247" s="8" t="s">
        <v>18</v>
      </c>
      <c r="E247" s="8" t="s">
        <v>19</v>
      </c>
      <c r="F247" s="10" t="s">
        <v>20</v>
      </c>
      <c r="G247" s="10" t="s">
        <v>21</v>
      </c>
      <c r="H247" s="10" t="s">
        <v>22</v>
      </c>
      <c r="I247" s="10" t="s">
        <v>23</v>
      </c>
      <c r="J247" s="10" t="s">
        <v>24</v>
      </c>
      <c r="K247" s="10" t="s">
        <v>25</v>
      </c>
      <c r="L247" s="10" t="s">
        <v>74</v>
      </c>
      <c r="M247" s="10" t="s">
        <v>1588</v>
      </c>
      <c r="N247" s="11">
        <v>1188.08</v>
      </c>
      <c r="O247" s="12">
        <v>5</v>
      </c>
      <c r="P247" s="13">
        <v>0.2</v>
      </c>
      <c r="Q247" s="19">
        <v>240.46</v>
      </c>
      <c r="R247" s="45" t="str">
        <f t="shared" si="12"/>
        <v>OK</v>
      </c>
      <c r="S247" s="45">
        <f t="shared" si="13"/>
        <v>1307.114</v>
      </c>
      <c r="T247" s="45">
        <f t="shared" si="14"/>
        <v>10</v>
      </c>
      <c r="U247" s="45">
        <f t="shared" si="15"/>
        <v>13071.14</v>
      </c>
    </row>
    <row r="248" spans="1:21" x14ac:dyDescent="0.3">
      <c r="A248" s="16" t="s">
        <v>2264</v>
      </c>
      <c r="B248" s="31">
        <v>44555</v>
      </c>
      <c r="C248" s="31">
        <v>44558</v>
      </c>
      <c r="D248" s="2" t="s">
        <v>18</v>
      </c>
      <c r="E248" s="2" t="s">
        <v>175</v>
      </c>
      <c r="F248" s="4" t="s">
        <v>176</v>
      </c>
      <c r="G248" s="4" t="s">
        <v>51</v>
      </c>
      <c r="H248" s="4" t="s">
        <v>177</v>
      </c>
      <c r="I248" s="4" t="s">
        <v>178</v>
      </c>
      <c r="J248" s="4" t="s">
        <v>24</v>
      </c>
      <c r="K248" s="4" t="s">
        <v>25</v>
      </c>
      <c r="L248" s="4" t="s">
        <v>124</v>
      </c>
      <c r="M248" s="4" t="s">
        <v>2265</v>
      </c>
      <c r="N248" s="5">
        <v>6939.13</v>
      </c>
      <c r="O248" s="6">
        <v>7</v>
      </c>
      <c r="P248" s="7">
        <v>0.5</v>
      </c>
      <c r="Q248" s="18">
        <v>-2369.64</v>
      </c>
      <c r="R248" s="45" t="str">
        <f t="shared" si="12"/>
        <v>OK</v>
      </c>
      <c r="S248" s="45">
        <f t="shared" si="13"/>
        <v>1307.114</v>
      </c>
      <c r="T248" s="45">
        <f t="shared" si="14"/>
        <v>10</v>
      </c>
      <c r="U248" s="45">
        <f t="shared" si="15"/>
        <v>13071.14</v>
      </c>
    </row>
    <row r="249" spans="1:21" x14ac:dyDescent="0.3">
      <c r="A249" s="17" t="s">
        <v>1611</v>
      </c>
      <c r="B249" s="32">
        <v>44556</v>
      </c>
      <c r="C249" s="32">
        <v>44559</v>
      </c>
      <c r="D249" s="8" t="s">
        <v>73</v>
      </c>
      <c r="E249" s="8" t="s">
        <v>40</v>
      </c>
      <c r="F249" s="10" t="s">
        <v>41</v>
      </c>
      <c r="G249" s="10" t="s">
        <v>42</v>
      </c>
      <c r="H249" s="10" t="s">
        <v>43</v>
      </c>
      <c r="I249" s="10" t="s">
        <v>44</v>
      </c>
      <c r="J249" s="10" t="s">
        <v>24</v>
      </c>
      <c r="K249" s="10" t="s">
        <v>35</v>
      </c>
      <c r="L249" s="10" t="s">
        <v>158</v>
      </c>
      <c r="M249" s="10" t="s">
        <v>1612</v>
      </c>
      <c r="N249" s="11">
        <v>168.41</v>
      </c>
      <c r="O249" s="12">
        <v>3</v>
      </c>
      <c r="P249" s="13">
        <v>0.4</v>
      </c>
      <c r="Q249" s="19">
        <v>4.03</v>
      </c>
      <c r="R249" s="45" t="str">
        <f t="shared" si="12"/>
        <v>OK</v>
      </c>
      <c r="S249" s="45">
        <f t="shared" si="13"/>
        <v>681.33444444444444</v>
      </c>
      <c r="T249" s="45">
        <f t="shared" si="14"/>
        <v>9</v>
      </c>
      <c r="U249" s="45">
        <f t="shared" si="15"/>
        <v>6132.01</v>
      </c>
    </row>
    <row r="250" spans="1:21" x14ac:dyDescent="0.3">
      <c r="A250" s="16" t="s">
        <v>1312</v>
      </c>
      <c r="B250" s="31">
        <v>44557</v>
      </c>
      <c r="C250" s="31">
        <v>44564</v>
      </c>
      <c r="D250" s="2" t="s">
        <v>29</v>
      </c>
      <c r="E250" s="2" t="s">
        <v>1070</v>
      </c>
      <c r="F250" s="4" t="s">
        <v>1071</v>
      </c>
      <c r="G250" s="4" t="s">
        <v>51</v>
      </c>
      <c r="H250" s="4" t="s">
        <v>177</v>
      </c>
      <c r="I250" s="4" t="s">
        <v>178</v>
      </c>
      <c r="J250" s="4" t="s">
        <v>24</v>
      </c>
      <c r="K250" s="4" t="s">
        <v>45</v>
      </c>
      <c r="L250" s="4" t="s">
        <v>99</v>
      </c>
      <c r="M250" s="4" t="s">
        <v>1313</v>
      </c>
      <c r="N250" s="5">
        <v>161.63999999999999</v>
      </c>
      <c r="O250" s="6">
        <v>5</v>
      </c>
      <c r="P250" s="7">
        <v>0.1</v>
      </c>
      <c r="Q250" s="18">
        <v>34.950000000000003</v>
      </c>
      <c r="R250" s="45" t="str">
        <f t="shared" si="12"/>
        <v>OK</v>
      </c>
      <c r="S250" s="45">
        <f t="shared" si="13"/>
        <v>681.33444444444444</v>
      </c>
      <c r="T250" s="45">
        <f t="shared" si="14"/>
        <v>9</v>
      </c>
      <c r="U250" s="45">
        <f t="shared" si="15"/>
        <v>6132.01</v>
      </c>
    </row>
    <row r="251" spans="1:21" x14ac:dyDescent="0.3">
      <c r="A251" s="17" t="s">
        <v>2075</v>
      </c>
      <c r="B251" s="32">
        <v>44557</v>
      </c>
      <c r="C251" s="32">
        <v>44563</v>
      </c>
      <c r="D251" s="8" t="s">
        <v>29</v>
      </c>
      <c r="E251" s="8" t="s">
        <v>457</v>
      </c>
      <c r="F251" s="10" t="s">
        <v>458</v>
      </c>
      <c r="G251" s="10" t="s">
        <v>51</v>
      </c>
      <c r="H251" s="10" t="s">
        <v>459</v>
      </c>
      <c r="I251" s="10" t="s">
        <v>460</v>
      </c>
      <c r="J251" s="10" t="s">
        <v>54</v>
      </c>
      <c r="K251" s="10" t="s">
        <v>45</v>
      </c>
      <c r="L251" s="10" t="s">
        <v>117</v>
      </c>
      <c r="M251" s="10" t="s">
        <v>2076</v>
      </c>
      <c r="N251" s="11">
        <v>344.33</v>
      </c>
      <c r="O251" s="12">
        <v>1</v>
      </c>
      <c r="P251" s="13">
        <v>0</v>
      </c>
      <c r="Q251" s="19">
        <v>100.94</v>
      </c>
      <c r="R251" s="45" t="str">
        <f t="shared" si="12"/>
        <v>OK</v>
      </c>
      <c r="S251" s="45">
        <f t="shared" si="13"/>
        <v>681.33444444444444</v>
      </c>
      <c r="T251" s="45">
        <f t="shared" si="14"/>
        <v>9</v>
      </c>
      <c r="U251" s="45">
        <f t="shared" si="15"/>
        <v>6132.01</v>
      </c>
    </row>
    <row r="252" spans="1:21" x14ac:dyDescent="0.3">
      <c r="A252" s="17" t="s">
        <v>921</v>
      </c>
      <c r="B252" s="32">
        <v>44560</v>
      </c>
      <c r="C252" s="32">
        <v>44563</v>
      </c>
      <c r="D252" s="8" t="s">
        <v>18</v>
      </c>
      <c r="E252" s="8" t="s">
        <v>380</v>
      </c>
      <c r="F252" s="10" t="s">
        <v>381</v>
      </c>
      <c r="G252" s="10" t="s">
        <v>51</v>
      </c>
      <c r="H252" s="10" t="s">
        <v>156</v>
      </c>
      <c r="I252" s="10" t="s">
        <v>157</v>
      </c>
      <c r="J252" s="10" t="s">
        <v>88</v>
      </c>
      <c r="K252" s="10" t="s">
        <v>35</v>
      </c>
      <c r="L252" s="10" t="s">
        <v>158</v>
      </c>
      <c r="M252" s="10" t="s">
        <v>922</v>
      </c>
      <c r="N252" s="11">
        <v>88.06</v>
      </c>
      <c r="O252" s="12">
        <v>1</v>
      </c>
      <c r="P252" s="13">
        <v>0.1</v>
      </c>
      <c r="Q252" s="19">
        <v>32.68</v>
      </c>
      <c r="R252" s="45" t="str">
        <f t="shared" si="12"/>
        <v>OK</v>
      </c>
      <c r="S252" s="45">
        <f t="shared" si="13"/>
        <v>681.33444444444444</v>
      </c>
      <c r="T252" s="45">
        <f t="shared" si="14"/>
        <v>9</v>
      </c>
      <c r="U252" s="45">
        <f t="shared" si="15"/>
        <v>6132.01</v>
      </c>
    </row>
    <row r="253" spans="1:21" x14ac:dyDescent="0.3">
      <c r="A253" s="17" t="s">
        <v>2399</v>
      </c>
      <c r="B253" s="32">
        <v>44560</v>
      </c>
      <c r="C253" s="32">
        <v>44562</v>
      </c>
      <c r="D253" s="8" t="s">
        <v>18</v>
      </c>
      <c r="E253" s="8" t="s">
        <v>127</v>
      </c>
      <c r="F253" s="10" t="s">
        <v>128</v>
      </c>
      <c r="G253" s="10" t="s">
        <v>21</v>
      </c>
      <c r="H253" s="10" t="s">
        <v>129</v>
      </c>
      <c r="I253" s="10" t="s">
        <v>33</v>
      </c>
      <c r="J253" s="10" t="s">
        <v>34</v>
      </c>
      <c r="K253" s="10" t="s">
        <v>25</v>
      </c>
      <c r="L253" s="10" t="s">
        <v>124</v>
      </c>
      <c r="M253" s="10" t="s">
        <v>2400</v>
      </c>
      <c r="N253" s="11">
        <v>13410.29</v>
      </c>
      <c r="O253" s="12">
        <v>10</v>
      </c>
      <c r="P253" s="13">
        <v>0.05</v>
      </c>
      <c r="Q253" s="19">
        <v>2870.62</v>
      </c>
      <c r="R253" s="45" t="str">
        <f t="shared" si="12"/>
        <v>OK</v>
      </c>
      <c r="S253" s="45">
        <f t="shared" si="13"/>
        <v>681.33444444444444</v>
      </c>
      <c r="T253" s="45">
        <f t="shared" si="14"/>
        <v>9</v>
      </c>
      <c r="U253" s="45">
        <f t="shared" si="15"/>
        <v>6132.01</v>
      </c>
    </row>
    <row r="254" spans="1:21" x14ac:dyDescent="0.3">
      <c r="A254" s="16" t="s">
        <v>2084</v>
      </c>
      <c r="B254" s="31">
        <v>44561</v>
      </c>
      <c r="C254" s="31">
        <v>44564</v>
      </c>
      <c r="D254" s="2" t="s">
        <v>18</v>
      </c>
      <c r="E254" s="2" t="s">
        <v>670</v>
      </c>
      <c r="F254" s="4" t="s">
        <v>671</v>
      </c>
      <c r="G254" s="4" t="s">
        <v>21</v>
      </c>
      <c r="H254" s="4" t="s">
        <v>465</v>
      </c>
      <c r="I254" s="4" t="s">
        <v>423</v>
      </c>
      <c r="J254" s="4" t="s">
        <v>88</v>
      </c>
      <c r="K254" s="4" t="s">
        <v>45</v>
      </c>
      <c r="L254" s="4" t="s">
        <v>99</v>
      </c>
      <c r="M254" s="4" t="s">
        <v>2085</v>
      </c>
      <c r="N254" s="5">
        <v>64.98</v>
      </c>
      <c r="O254" s="6">
        <v>2</v>
      </c>
      <c r="P254" s="7">
        <v>0</v>
      </c>
      <c r="Q254" s="18">
        <v>19.71</v>
      </c>
      <c r="R254" s="45" t="str">
        <f t="shared" si="12"/>
        <v>OK</v>
      </c>
      <c r="S254" s="45">
        <f t="shared" si="13"/>
        <v>681.33444444444444</v>
      </c>
      <c r="T254" s="45">
        <f t="shared" si="14"/>
        <v>9</v>
      </c>
      <c r="U254" s="45">
        <f t="shared" si="15"/>
        <v>6132.01</v>
      </c>
    </row>
    <row r="255" spans="1:21" x14ac:dyDescent="0.3">
      <c r="A255" s="17" t="s">
        <v>292</v>
      </c>
      <c r="B255" s="32">
        <v>44566</v>
      </c>
      <c r="C255" s="32">
        <v>44567</v>
      </c>
      <c r="D255" s="8" t="s">
        <v>18</v>
      </c>
      <c r="E255" s="8" t="s">
        <v>293</v>
      </c>
      <c r="F255" s="10" t="s">
        <v>294</v>
      </c>
      <c r="G255" s="10" t="s">
        <v>21</v>
      </c>
      <c r="H255" s="10" t="s">
        <v>193</v>
      </c>
      <c r="I255" s="10" t="s">
        <v>194</v>
      </c>
      <c r="J255" s="10" t="s">
        <v>34</v>
      </c>
      <c r="K255" s="10" t="s">
        <v>35</v>
      </c>
      <c r="L255" s="10" t="s">
        <v>295</v>
      </c>
      <c r="M255" s="10" t="s">
        <v>296</v>
      </c>
      <c r="N255" s="11">
        <v>393.36</v>
      </c>
      <c r="O255" s="12">
        <v>8</v>
      </c>
      <c r="P255" s="13">
        <v>0</v>
      </c>
      <c r="Q255" s="19">
        <v>206.75</v>
      </c>
      <c r="R255" s="45" t="str">
        <f t="shared" si="12"/>
        <v>OK</v>
      </c>
      <c r="S255" s="45">
        <f t="shared" si="13"/>
        <v>681.33444444444444</v>
      </c>
      <c r="T255" s="45">
        <f t="shared" si="14"/>
        <v>9</v>
      </c>
      <c r="U255" s="45">
        <f t="shared" si="15"/>
        <v>6132.01</v>
      </c>
    </row>
    <row r="256" spans="1:21" x14ac:dyDescent="0.3">
      <c r="A256" s="16" t="s">
        <v>1119</v>
      </c>
      <c r="B256" s="31">
        <v>44568</v>
      </c>
      <c r="C256" s="31">
        <v>44570</v>
      </c>
      <c r="D256" s="2" t="s">
        <v>18</v>
      </c>
      <c r="E256" s="2" t="s">
        <v>610</v>
      </c>
      <c r="F256" s="4" t="s">
        <v>611</v>
      </c>
      <c r="G256" s="4" t="s">
        <v>51</v>
      </c>
      <c r="H256" s="4" t="s">
        <v>346</v>
      </c>
      <c r="I256" s="4" t="s">
        <v>347</v>
      </c>
      <c r="J256" s="4" t="s">
        <v>88</v>
      </c>
      <c r="K256" s="4" t="s">
        <v>45</v>
      </c>
      <c r="L256" s="4" t="s">
        <v>61</v>
      </c>
      <c r="M256" s="4" t="s">
        <v>1120</v>
      </c>
      <c r="N256" s="5">
        <v>3315.92</v>
      </c>
      <c r="O256" s="6">
        <v>8</v>
      </c>
      <c r="P256" s="7">
        <v>0.5</v>
      </c>
      <c r="Q256" s="18">
        <v>-2842.03</v>
      </c>
      <c r="R256" s="45" t="str">
        <f t="shared" si="12"/>
        <v>OK</v>
      </c>
      <c r="S256" s="45">
        <f t="shared" si="13"/>
        <v>681.33444444444444</v>
      </c>
      <c r="T256" s="45">
        <f t="shared" si="14"/>
        <v>9</v>
      </c>
      <c r="U256" s="45">
        <f t="shared" si="15"/>
        <v>6132.01</v>
      </c>
    </row>
    <row r="257" spans="1:21" x14ac:dyDescent="0.3">
      <c r="A257" s="17" t="s">
        <v>1179</v>
      </c>
      <c r="B257" s="32">
        <v>44568</v>
      </c>
      <c r="C257" s="32">
        <v>44575</v>
      </c>
      <c r="D257" s="8" t="s">
        <v>29</v>
      </c>
      <c r="E257" s="8" t="s">
        <v>227</v>
      </c>
      <c r="F257" s="10" t="s">
        <v>228</v>
      </c>
      <c r="G257" s="10" t="s">
        <v>51</v>
      </c>
      <c r="H257" s="10" t="s">
        <v>98</v>
      </c>
      <c r="I257" s="10" t="s">
        <v>80</v>
      </c>
      <c r="J257" s="10" t="s">
        <v>54</v>
      </c>
      <c r="K257" s="10" t="s">
        <v>35</v>
      </c>
      <c r="L257" s="10" t="s">
        <v>295</v>
      </c>
      <c r="M257" s="10" t="s">
        <v>1180</v>
      </c>
      <c r="N257" s="11">
        <v>27.95</v>
      </c>
      <c r="O257" s="12">
        <v>1</v>
      </c>
      <c r="P257" s="13">
        <v>0.5</v>
      </c>
      <c r="Q257" s="19">
        <v>-4.12</v>
      </c>
      <c r="R257" s="45" t="str">
        <f t="shared" si="12"/>
        <v>OK</v>
      </c>
      <c r="S257" s="45">
        <f t="shared" si="13"/>
        <v>681.33444444444444</v>
      </c>
      <c r="T257" s="45">
        <f t="shared" si="14"/>
        <v>9</v>
      </c>
      <c r="U257" s="45">
        <f t="shared" si="15"/>
        <v>6132.01</v>
      </c>
    </row>
    <row r="258" spans="1:21" x14ac:dyDescent="0.3">
      <c r="A258" s="17" t="s">
        <v>107</v>
      </c>
      <c r="B258" s="32">
        <v>44573</v>
      </c>
      <c r="C258" s="32">
        <v>44578</v>
      </c>
      <c r="D258" s="8" t="s">
        <v>29</v>
      </c>
      <c r="E258" s="8" t="s">
        <v>108</v>
      </c>
      <c r="F258" s="10" t="s">
        <v>109</v>
      </c>
      <c r="G258" s="10" t="s">
        <v>21</v>
      </c>
      <c r="H258" s="10" t="s">
        <v>22</v>
      </c>
      <c r="I258" s="10" t="s">
        <v>23</v>
      </c>
      <c r="J258" s="10" t="s">
        <v>24</v>
      </c>
      <c r="K258" s="10" t="s">
        <v>35</v>
      </c>
      <c r="L258" s="10" t="s">
        <v>110</v>
      </c>
      <c r="M258" s="10" t="s">
        <v>111</v>
      </c>
      <c r="N258" s="11">
        <v>191.65</v>
      </c>
      <c r="O258" s="12">
        <v>9</v>
      </c>
      <c r="P258" s="13">
        <v>0.3</v>
      </c>
      <c r="Q258" s="19">
        <v>44.84</v>
      </c>
      <c r="R258" s="45" t="str">
        <f t="shared" ref="R258:R321" si="16">IF(C258&lt;B258,"Error","OK")</f>
        <v>OK</v>
      </c>
      <c r="S258" s="45">
        <f t="shared" ref="S258:S321" si="17">AVERAGEIF(E258:E1256,"CU-1057",N258:N1256)</f>
        <v>681.33444444444444</v>
      </c>
      <c r="T258" s="45">
        <f t="shared" ref="T258:T321" si="18">COUNTIF(E258:E1256,"CU-1057")</f>
        <v>9</v>
      </c>
      <c r="U258" s="45">
        <f t="shared" ref="U258:U321" si="19">SUMIF(E258:E1256,"CU-1057",N258:N1256)</f>
        <v>6132.01</v>
      </c>
    </row>
    <row r="259" spans="1:21" x14ac:dyDescent="0.3">
      <c r="A259" s="17" t="s">
        <v>517</v>
      </c>
      <c r="B259" s="32">
        <v>44573</v>
      </c>
      <c r="C259" s="32">
        <v>44580</v>
      </c>
      <c r="D259" s="8" t="s">
        <v>29</v>
      </c>
      <c r="E259" s="8" t="s">
        <v>389</v>
      </c>
      <c r="F259" s="10" t="s">
        <v>390</v>
      </c>
      <c r="G259" s="10" t="s">
        <v>51</v>
      </c>
      <c r="H259" s="10" t="s">
        <v>59</v>
      </c>
      <c r="I259" s="10" t="s">
        <v>60</v>
      </c>
      <c r="J259" s="10" t="s">
        <v>54</v>
      </c>
      <c r="K259" s="10" t="s">
        <v>25</v>
      </c>
      <c r="L259" s="10" t="s">
        <v>26</v>
      </c>
      <c r="M259" s="10" t="s">
        <v>518</v>
      </c>
      <c r="N259" s="11">
        <v>1025.3900000000001</v>
      </c>
      <c r="O259" s="12">
        <v>6</v>
      </c>
      <c r="P259" s="13">
        <v>0.4</v>
      </c>
      <c r="Q259" s="19">
        <v>-265.22000000000003</v>
      </c>
      <c r="R259" s="45" t="str">
        <f t="shared" si="16"/>
        <v>OK</v>
      </c>
      <c r="S259" s="45">
        <f t="shared" si="17"/>
        <v>681.33444444444444</v>
      </c>
      <c r="T259" s="45">
        <f t="shared" si="18"/>
        <v>9</v>
      </c>
      <c r="U259" s="45">
        <f t="shared" si="19"/>
        <v>6132.01</v>
      </c>
    </row>
    <row r="260" spans="1:21" x14ac:dyDescent="0.3">
      <c r="A260" s="16" t="s">
        <v>1036</v>
      </c>
      <c r="B260" s="31">
        <v>44573</v>
      </c>
      <c r="C260" s="31">
        <v>44576</v>
      </c>
      <c r="D260" s="2" t="s">
        <v>18</v>
      </c>
      <c r="E260" s="2" t="s">
        <v>1033</v>
      </c>
      <c r="F260" s="4" t="s">
        <v>1034</v>
      </c>
      <c r="G260" s="4" t="s">
        <v>42</v>
      </c>
      <c r="H260" s="4" t="s">
        <v>86</v>
      </c>
      <c r="I260" s="4" t="s">
        <v>87</v>
      </c>
      <c r="J260" s="4" t="s">
        <v>88</v>
      </c>
      <c r="K260" s="4" t="s">
        <v>25</v>
      </c>
      <c r="L260" s="4" t="s">
        <v>26</v>
      </c>
      <c r="M260" s="4" t="s">
        <v>1037</v>
      </c>
      <c r="N260" s="5">
        <v>988.53</v>
      </c>
      <c r="O260" s="6">
        <v>1</v>
      </c>
      <c r="P260" s="7">
        <v>0</v>
      </c>
      <c r="Q260" s="18">
        <v>175.35</v>
      </c>
      <c r="R260" s="45" t="str">
        <f t="shared" si="16"/>
        <v>OK</v>
      </c>
      <c r="S260" s="45">
        <f t="shared" si="17"/>
        <v>681.33444444444444</v>
      </c>
      <c r="T260" s="45">
        <f t="shared" si="18"/>
        <v>9</v>
      </c>
      <c r="U260" s="45">
        <f t="shared" si="19"/>
        <v>6132.01</v>
      </c>
    </row>
    <row r="261" spans="1:21" x14ac:dyDescent="0.3">
      <c r="A261" s="17" t="s">
        <v>1308</v>
      </c>
      <c r="B261" s="32">
        <v>44574</v>
      </c>
      <c r="C261" s="32">
        <v>44580</v>
      </c>
      <c r="D261" s="8" t="s">
        <v>29</v>
      </c>
      <c r="E261" s="8" t="s">
        <v>1309</v>
      </c>
      <c r="F261" s="10" t="s">
        <v>1310</v>
      </c>
      <c r="G261" s="10" t="s">
        <v>51</v>
      </c>
      <c r="H261" s="10" t="s">
        <v>98</v>
      </c>
      <c r="I261" s="10" t="s">
        <v>80</v>
      </c>
      <c r="J261" s="10" t="s">
        <v>54</v>
      </c>
      <c r="K261" s="10" t="s">
        <v>25</v>
      </c>
      <c r="L261" s="10" t="s">
        <v>124</v>
      </c>
      <c r="M261" s="10" t="s">
        <v>1311</v>
      </c>
      <c r="N261" s="11">
        <v>5684.98</v>
      </c>
      <c r="O261" s="12">
        <v>6</v>
      </c>
      <c r="P261" s="13">
        <v>0.2</v>
      </c>
      <c r="Q261" s="19">
        <v>690.37</v>
      </c>
      <c r="R261" s="45" t="str">
        <f t="shared" si="16"/>
        <v>OK</v>
      </c>
      <c r="S261" s="45">
        <f t="shared" si="17"/>
        <v>681.33444444444444</v>
      </c>
      <c r="T261" s="45">
        <f t="shared" si="18"/>
        <v>9</v>
      </c>
      <c r="U261" s="45">
        <f t="shared" si="19"/>
        <v>6132.01</v>
      </c>
    </row>
    <row r="262" spans="1:21" x14ac:dyDescent="0.3">
      <c r="A262" s="17" t="s">
        <v>812</v>
      </c>
      <c r="B262" s="32">
        <v>44582</v>
      </c>
      <c r="C262" s="32">
        <v>44589</v>
      </c>
      <c r="D262" s="8" t="s">
        <v>29</v>
      </c>
      <c r="E262" s="8" t="s">
        <v>813</v>
      </c>
      <c r="F262" s="10" t="s">
        <v>814</v>
      </c>
      <c r="G262" s="10" t="s">
        <v>51</v>
      </c>
      <c r="H262" s="10" t="s">
        <v>134</v>
      </c>
      <c r="I262" s="10" t="s">
        <v>87</v>
      </c>
      <c r="J262" s="10" t="s">
        <v>88</v>
      </c>
      <c r="K262" s="10" t="s">
        <v>45</v>
      </c>
      <c r="L262" s="10" t="s">
        <v>99</v>
      </c>
      <c r="M262" s="10" t="s">
        <v>815</v>
      </c>
      <c r="N262" s="11">
        <v>45.32</v>
      </c>
      <c r="O262" s="12">
        <v>2</v>
      </c>
      <c r="P262" s="13">
        <v>0.15</v>
      </c>
      <c r="Q262" s="19">
        <v>7.01</v>
      </c>
      <c r="R262" s="45" t="str">
        <f t="shared" si="16"/>
        <v>OK</v>
      </c>
      <c r="S262" s="45">
        <f t="shared" si="17"/>
        <v>681.33444444444444</v>
      </c>
      <c r="T262" s="45">
        <f t="shared" si="18"/>
        <v>9</v>
      </c>
      <c r="U262" s="45">
        <f t="shared" si="19"/>
        <v>6132.01</v>
      </c>
    </row>
    <row r="263" spans="1:21" x14ac:dyDescent="0.3">
      <c r="A263" s="16" t="s">
        <v>1890</v>
      </c>
      <c r="B263" s="31">
        <v>44583</v>
      </c>
      <c r="C263" s="31">
        <v>44586</v>
      </c>
      <c r="D263" s="2" t="s">
        <v>73</v>
      </c>
      <c r="E263" s="2" t="s">
        <v>236</v>
      </c>
      <c r="F263" s="4" t="s">
        <v>237</v>
      </c>
      <c r="G263" s="4" t="s">
        <v>51</v>
      </c>
      <c r="H263" s="4" t="s">
        <v>22</v>
      </c>
      <c r="I263" s="4" t="s">
        <v>23</v>
      </c>
      <c r="J263" s="4" t="s">
        <v>24</v>
      </c>
      <c r="K263" s="4" t="s">
        <v>35</v>
      </c>
      <c r="L263" s="4" t="s">
        <v>81</v>
      </c>
      <c r="M263" s="4" t="s">
        <v>1891</v>
      </c>
      <c r="N263" s="5">
        <v>18.32</v>
      </c>
      <c r="O263" s="6">
        <v>2</v>
      </c>
      <c r="P263" s="7">
        <v>0.4</v>
      </c>
      <c r="Q263" s="18">
        <v>2.5099999999999998</v>
      </c>
      <c r="R263" s="45" t="str">
        <f t="shared" si="16"/>
        <v>OK</v>
      </c>
      <c r="S263" s="45">
        <f t="shared" si="17"/>
        <v>681.33444444444444</v>
      </c>
      <c r="T263" s="45">
        <f t="shared" si="18"/>
        <v>9</v>
      </c>
      <c r="U263" s="45">
        <f t="shared" si="19"/>
        <v>6132.01</v>
      </c>
    </row>
    <row r="264" spans="1:21" x14ac:dyDescent="0.3">
      <c r="A264" s="16" t="s">
        <v>1377</v>
      </c>
      <c r="B264" s="31">
        <v>44584</v>
      </c>
      <c r="C264" s="31">
        <v>44585</v>
      </c>
      <c r="D264" s="2" t="s">
        <v>18</v>
      </c>
      <c r="E264" s="2" t="s">
        <v>108</v>
      </c>
      <c r="F264" s="4" t="s">
        <v>109</v>
      </c>
      <c r="G264" s="4" t="s">
        <v>21</v>
      </c>
      <c r="H264" s="4" t="s">
        <v>22</v>
      </c>
      <c r="I264" s="4" t="s">
        <v>23</v>
      </c>
      <c r="J264" s="4" t="s">
        <v>24</v>
      </c>
      <c r="K264" s="4" t="s">
        <v>35</v>
      </c>
      <c r="L264" s="4" t="s">
        <v>216</v>
      </c>
      <c r="M264" s="4" t="s">
        <v>1378</v>
      </c>
      <c r="N264" s="5">
        <v>32.479999999999997</v>
      </c>
      <c r="O264" s="6">
        <v>7</v>
      </c>
      <c r="P264" s="7">
        <v>0.2</v>
      </c>
      <c r="Q264" s="18">
        <v>12.14</v>
      </c>
      <c r="R264" s="45" t="str">
        <f t="shared" si="16"/>
        <v>OK</v>
      </c>
      <c r="S264" s="45">
        <f t="shared" si="17"/>
        <v>681.33444444444444</v>
      </c>
      <c r="T264" s="45">
        <f t="shared" si="18"/>
        <v>9</v>
      </c>
      <c r="U264" s="45">
        <f t="shared" si="19"/>
        <v>6132.01</v>
      </c>
    </row>
    <row r="265" spans="1:21" x14ac:dyDescent="0.3">
      <c r="A265" s="16" t="s">
        <v>912</v>
      </c>
      <c r="B265" s="31">
        <v>44585</v>
      </c>
      <c r="C265" s="31">
        <v>44590</v>
      </c>
      <c r="D265" s="2" t="s">
        <v>29</v>
      </c>
      <c r="E265" s="2" t="s">
        <v>169</v>
      </c>
      <c r="F265" s="4" t="s">
        <v>170</v>
      </c>
      <c r="G265" s="4" t="s">
        <v>21</v>
      </c>
      <c r="H265" s="4" t="s">
        <v>171</v>
      </c>
      <c r="I265" s="4" t="s">
        <v>172</v>
      </c>
      <c r="J265" s="4" t="s">
        <v>24</v>
      </c>
      <c r="K265" s="4" t="s">
        <v>25</v>
      </c>
      <c r="L265" s="4" t="s">
        <v>74</v>
      </c>
      <c r="M265" s="4" t="s">
        <v>913</v>
      </c>
      <c r="N265" s="5">
        <v>179.32</v>
      </c>
      <c r="O265" s="6">
        <v>3</v>
      </c>
      <c r="P265" s="7">
        <v>0.3</v>
      </c>
      <c r="Q265" s="18">
        <v>32.97</v>
      </c>
      <c r="R265" s="45" t="str">
        <f t="shared" si="16"/>
        <v>OK</v>
      </c>
      <c r="S265" s="45">
        <f t="shared" si="17"/>
        <v>681.33444444444444</v>
      </c>
      <c r="T265" s="45">
        <f t="shared" si="18"/>
        <v>9</v>
      </c>
      <c r="U265" s="45">
        <f t="shared" si="19"/>
        <v>6132.01</v>
      </c>
    </row>
    <row r="266" spans="1:21" x14ac:dyDescent="0.3">
      <c r="A266" s="16" t="s">
        <v>2401</v>
      </c>
      <c r="B266" s="31">
        <v>44587</v>
      </c>
      <c r="C266" s="31">
        <v>44593</v>
      </c>
      <c r="D266" s="2" t="s">
        <v>29</v>
      </c>
      <c r="E266" s="2" t="s">
        <v>432</v>
      </c>
      <c r="F266" s="4" t="s">
        <v>433</v>
      </c>
      <c r="G266" s="4" t="s">
        <v>51</v>
      </c>
      <c r="H266" s="4" t="s">
        <v>171</v>
      </c>
      <c r="I266" s="4" t="s">
        <v>172</v>
      </c>
      <c r="J266" s="4" t="s">
        <v>24</v>
      </c>
      <c r="K266" s="4" t="s">
        <v>45</v>
      </c>
      <c r="L266" s="4" t="s">
        <v>99</v>
      </c>
      <c r="M266" s="4" t="s">
        <v>2402</v>
      </c>
      <c r="N266" s="5">
        <v>903.52</v>
      </c>
      <c r="O266" s="6">
        <v>8</v>
      </c>
      <c r="P266" s="7">
        <v>0.15</v>
      </c>
      <c r="Q266" s="18">
        <v>250.02</v>
      </c>
      <c r="R266" s="45" t="str">
        <f t="shared" si="16"/>
        <v>OK</v>
      </c>
      <c r="S266" s="45">
        <f t="shared" si="17"/>
        <v>681.33444444444444</v>
      </c>
      <c r="T266" s="45">
        <f t="shared" si="18"/>
        <v>9</v>
      </c>
      <c r="U266" s="45">
        <f t="shared" si="19"/>
        <v>6132.01</v>
      </c>
    </row>
    <row r="267" spans="1:21" x14ac:dyDescent="0.3">
      <c r="A267" s="16" t="s">
        <v>1453</v>
      </c>
      <c r="B267" s="31">
        <v>44588</v>
      </c>
      <c r="C267" s="31">
        <v>44592</v>
      </c>
      <c r="D267" s="2" t="s">
        <v>39</v>
      </c>
      <c r="E267" s="2" t="s">
        <v>240</v>
      </c>
      <c r="F267" s="4" t="s">
        <v>241</v>
      </c>
      <c r="G267" s="4" t="s">
        <v>42</v>
      </c>
      <c r="H267" s="4" t="s">
        <v>115</v>
      </c>
      <c r="I267" s="4" t="s">
        <v>116</v>
      </c>
      <c r="J267" s="4" t="s">
        <v>54</v>
      </c>
      <c r="K267" s="4" t="s">
        <v>45</v>
      </c>
      <c r="L267" s="4" t="s">
        <v>46</v>
      </c>
      <c r="M267" s="4" t="s">
        <v>1454</v>
      </c>
      <c r="N267" s="5">
        <v>5289.08</v>
      </c>
      <c r="O267" s="6">
        <v>7</v>
      </c>
      <c r="P267" s="7">
        <v>0.05</v>
      </c>
      <c r="Q267" s="18">
        <v>1964.03</v>
      </c>
      <c r="R267" s="45" t="str">
        <f t="shared" si="16"/>
        <v>OK</v>
      </c>
      <c r="S267" s="45">
        <f t="shared" si="17"/>
        <v>681.33444444444444</v>
      </c>
      <c r="T267" s="45">
        <f t="shared" si="18"/>
        <v>9</v>
      </c>
      <c r="U267" s="45">
        <f t="shared" si="19"/>
        <v>6132.01</v>
      </c>
    </row>
    <row r="268" spans="1:21" x14ac:dyDescent="0.3">
      <c r="A268" s="16" t="s">
        <v>1022</v>
      </c>
      <c r="B268" s="31">
        <v>44589</v>
      </c>
      <c r="C268" s="31">
        <v>44592</v>
      </c>
      <c r="D268" s="2" t="s">
        <v>39</v>
      </c>
      <c r="E268" s="2" t="s">
        <v>614</v>
      </c>
      <c r="F268" s="4" t="s">
        <v>615</v>
      </c>
      <c r="G268" s="4" t="s">
        <v>21</v>
      </c>
      <c r="H268" s="4" t="s">
        <v>139</v>
      </c>
      <c r="I268" s="4" t="s">
        <v>140</v>
      </c>
      <c r="J268" s="4" t="s">
        <v>24</v>
      </c>
      <c r="K268" s="4" t="s">
        <v>35</v>
      </c>
      <c r="L268" s="4" t="s">
        <v>81</v>
      </c>
      <c r="M268" s="4" t="s">
        <v>1023</v>
      </c>
      <c r="N268" s="5">
        <v>7.2</v>
      </c>
      <c r="O268" s="6">
        <v>1</v>
      </c>
      <c r="P268" s="7">
        <v>0</v>
      </c>
      <c r="Q268" s="18">
        <v>3.24</v>
      </c>
      <c r="R268" s="45" t="str">
        <f t="shared" si="16"/>
        <v>OK</v>
      </c>
      <c r="S268" s="45">
        <f t="shared" si="17"/>
        <v>681.33444444444444</v>
      </c>
      <c r="T268" s="45">
        <f t="shared" si="18"/>
        <v>9</v>
      </c>
      <c r="U268" s="45">
        <f t="shared" si="19"/>
        <v>6132.01</v>
      </c>
    </row>
    <row r="269" spans="1:21" x14ac:dyDescent="0.3">
      <c r="A269" s="17" t="s">
        <v>1403</v>
      </c>
      <c r="B269" s="32">
        <v>44590</v>
      </c>
      <c r="C269" s="32">
        <v>44592</v>
      </c>
      <c r="D269" s="8" t="s">
        <v>18</v>
      </c>
      <c r="E269" s="8" t="s">
        <v>789</v>
      </c>
      <c r="F269" s="10" t="s">
        <v>790</v>
      </c>
      <c r="G269" s="10" t="s">
        <v>51</v>
      </c>
      <c r="H269" s="10" t="s">
        <v>530</v>
      </c>
      <c r="I269" s="10" t="s">
        <v>373</v>
      </c>
      <c r="J269" s="10" t="s">
        <v>34</v>
      </c>
      <c r="K269" s="10" t="s">
        <v>25</v>
      </c>
      <c r="L269" s="10" t="s">
        <v>26</v>
      </c>
      <c r="M269" s="10" t="s">
        <v>1404</v>
      </c>
      <c r="N269" s="11">
        <v>6855.8</v>
      </c>
      <c r="O269" s="12">
        <v>7</v>
      </c>
      <c r="P269" s="13">
        <v>0</v>
      </c>
      <c r="Q269" s="19">
        <v>1742.65</v>
      </c>
      <c r="R269" s="45" t="str">
        <f t="shared" si="16"/>
        <v>OK</v>
      </c>
      <c r="S269" s="45">
        <f t="shared" si="17"/>
        <v>681.33444444444444</v>
      </c>
      <c r="T269" s="45">
        <f t="shared" si="18"/>
        <v>9</v>
      </c>
      <c r="U269" s="45">
        <f t="shared" si="19"/>
        <v>6132.01</v>
      </c>
    </row>
    <row r="270" spans="1:21" x14ac:dyDescent="0.3">
      <c r="A270" s="17" t="s">
        <v>369</v>
      </c>
      <c r="B270" s="32">
        <v>44591</v>
      </c>
      <c r="C270" s="32">
        <v>44594</v>
      </c>
      <c r="D270" s="8" t="s">
        <v>39</v>
      </c>
      <c r="E270" s="8" t="s">
        <v>370</v>
      </c>
      <c r="F270" s="10" t="s">
        <v>371</v>
      </c>
      <c r="G270" s="10" t="s">
        <v>51</v>
      </c>
      <c r="H270" s="10" t="s">
        <v>372</v>
      </c>
      <c r="I270" s="10" t="s">
        <v>373</v>
      </c>
      <c r="J270" s="10" t="s">
        <v>34</v>
      </c>
      <c r="K270" s="10" t="s">
        <v>45</v>
      </c>
      <c r="L270" s="10" t="s">
        <v>99</v>
      </c>
      <c r="M270" s="10" t="s">
        <v>374</v>
      </c>
      <c r="N270" s="11">
        <v>67.78</v>
      </c>
      <c r="O270" s="12">
        <v>5</v>
      </c>
      <c r="P270" s="13">
        <v>0.05</v>
      </c>
      <c r="Q270" s="19">
        <v>21.31</v>
      </c>
      <c r="R270" s="45" t="str">
        <f t="shared" si="16"/>
        <v>OK</v>
      </c>
      <c r="S270" s="45">
        <f t="shared" si="17"/>
        <v>681.33444444444444</v>
      </c>
      <c r="T270" s="45">
        <f t="shared" si="18"/>
        <v>9</v>
      </c>
      <c r="U270" s="45">
        <f t="shared" si="19"/>
        <v>6132.01</v>
      </c>
    </row>
    <row r="271" spans="1:21" x14ac:dyDescent="0.3">
      <c r="A271" s="17" t="s">
        <v>1477</v>
      </c>
      <c r="B271" s="32">
        <v>44591</v>
      </c>
      <c r="C271" s="32">
        <v>44597</v>
      </c>
      <c r="D271" s="8" t="s">
        <v>29</v>
      </c>
      <c r="E271" s="8" t="s">
        <v>350</v>
      </c>
      <c r="F271" s="10" t="s">
        <v>351</v>
      </c>
      <c r="G271" s="10" t="s">
        <v>42</v>
      </c>
      <c r="H271" s="10" t="s">
        <v>352</v>
      </c>
      <c r="I271" s="10" t="s">
        <v>306</v>
      </c>
      <c r="J271" s="10" t="s">
        <v>34</v>
      </c>
      <c r="K271" s="10" t="s">
        <v>25</v>
      </c>
      <c r="L271" s="10" t="s">
        <v>74</v>
      </c>
      <c r="M271" s="10" t="s">
        <v>1478</v>
      </c>
      <c r="N271" s="11">
        <v>1286.51</v>
      </c>
      <c r="O271" s="12">
        <v>3</v>
      </c>
      <c r="P271" s="13">
        <v>0.4</v>
      </c>
      <c r="Q271" s="19">
        <v>-31.92</v>
      </c>
      <c r="R271" s="45" t="str">
        <f t="shared" si="16"/>
        <v>OK</v>
      </c>
      <c r="S271" s="45">
        <f t="shared" si="17"/>
        <v>681.33444444444444</v>
      </c>
      <c r="T271" s="45">
        <f t="shared" si="18"/>
        <v>9</v>
      </c>
      <c r="U271" s="45">
        <f t="shared" si="19"/>
        <v>6132.01</v>
      </c>
    </row>
    <row r="272" spans="1:21" x14ac:dyDescent="0.3">
      <c r="A272" s="17" t="s">
        <v>2274</v>
      </c>
      <c r="B272" s="32">
        <v>44592</v>
      </c>
      <c r="C272" s="32">
        <v>44597</v>
      </c>
      <c r="D272" s="8" t="s">
        <v>73</v>
      </c>
      <c r="E272" s="8" t="s">
        <v>2013</v>
      </c>
      <c r="F272" s="10" t="s">
        <v>2014</v>
      </c>
      <c r="G272" s="10" t="s">
        <v>42</v>
      </c>
      <c r="H272" s="10" t="s">
        <v>177</v>
      </c>
      <c r="I272" s="10" t="s">
        <v>178</v>
      </c>
      <c r="J272" s="10" t="s">
        <v>24</v>
      </c>
      <c r="K272" s="10" t="s">
        <v>25</v>
      </c>
      <c r="L272" s="10" t="s">
        <v>68</v>
      </c>
      <c r="M272" s="10" t="s">
        <v>2275</v>
      </c>
      <c r="N272" s="11">
        <v>70.150000000000006</v>
      </c>
      <c r="O272" s="12">
        <v>4</v>
      </c>
      <c r="P272" s="13">
        <v>0.4</v>
      </c>
      <c r="Q272" s="19">
        <v>2.14</v>
      </c>
      <c r="R272" s="45" t="str">
        <f t="shared" si="16"/>
        <v>OK</v>
      </c>
      <c r="S272" s="45">
        <f t="shared" si="17"/>
        <v>681.33444444444444</v>
      </c>
      <c r="T272" s="45">
        <f t="shared" si="18"/>
        <v>9</v>
      </c>
      <c r="U272" s="45">
        <f t="shared" si="19"/>
        <v>6132.01</v>
      </c>
    </row>
    <row r="273" spans="1:21" x14ac:dyDescent="0.3">
      <c r="A273" s="17" t="s">
        <v>1542</v>
      </c>
      <c r="B273" s="32">
        <v>44597</v>
      </c>
      <c r="C273" s="32">
        <v>44603</v>
      </c>
      <c r="D273" s="8" t="s">
        <v>29</v>
      </c>
      <c r="E273" s="8" t="s">
        <v>817</v>
      </c>
      <c r="F273" s="10" t="s">
        <v>818</v>
      </c>
      <c r="G273" s="10" t="s">
        <v>42</v>
      </c>
      <c r="H273" s="10" t="s">
        <v>98</v>
      </c>
      <c r="I273" s="10" t="s">
        <v>80</v>
      </c>
      <c r="J273" s="10" t="s">
        <v>54</v>
      </c>
      <c r="K273" s="10" t="s">
        <v>45</v>
      </c>
      <c r="L273" s="10" t="s">
        <v>61</v>
      </c>
      <c r="M273" s="10" t="s">
        <v>1543</v>
      </c>
      <c r="N273" s="11">
        <v>3283.8</v>
      </c>
      <c r="O273" s="12">
        <v>5</v>
      </c>
      <c r="P273" s="13">
        <v>0</v>
      </c>
      <c r="Q273" s="19">
        <v>480.87</v>
      </c>
      <c r="R273" s="45" t="str">
        <f t="shared" si="16"/>
        <v>OK</v>
      </c>
      <c r="S273" s="45">
        <f t="shared" si="17"/>
        <v>681.33444444444444</v>
      </c>
      <c r="T273" s="45">
        <f t="shared" si="18"/>
        <v>9</v>
      </c>
      <c r="U273" s="45">
        <f t="shared" si="19"/>
        <v>6132.01</v>
      </c>
    </row>
    <row r="274" spans="1:21" x14ac:dyDescent="0.3">
      <c r="A274" s="16" t="s">
        <v>2472</v>
      </c>
      <c r="B274" s="31">
        <v>44600</v>
      </c>
      <c r="C274" s="31">
        <v>44601</v>
      </c>
      <c r="D274" s="2" t="s">
        <v>18</v>
      </c>
      <c r="E274" s="2" t="s">
        <v>553</v>
      </c>
      <c r="F274" s="4" t="s">
        <v>554</v>
      </c>
      <c r="G274" s="4" t="s">
        <v>42</v>
      </c>
      <c r="H274" s="4" t="s">
        <v>177</v>
      </c>
      <c r="I274" s="4" t="s">
        <v>178</v>
      </c>
      <c r="J274" s="4" t="s">
        <v>24</v>
      </c>
      <c r="K274" s="4" t="s">
        <v>35</v>
      </c>
      <c r="L274" s="4" t="s">
        <v>216</v>
      </c>
      <c r="M274" s="4" t="s">
        <v>2473</v>
      </c>
      <c r="N274" s="5">
        <v>323.19</v>
      </c>
      <c r="O274" s="6">
        <v>9</v>
      </c>
      <c r="P274" s="7">
        <v>0</v>
      </c>
      <c r="Q274" s="18">
        <v>152.38</v>
      </c>
      <c r="R274" s="45" t="str">
        <f t="shared" si="16"/>
        <v>OK</v>
      </c>
      <c r="S274" s="45">
        <f t="shared" si="17"/>
        <v>681.33444444444444</v>
      </c>
      <c r="T274" s="45">
        <f t="shared" si="18"/>
        <v>9</v>
      </c>
      <c r="U274" s="45">
        <f t="shared" si="19"/>
        <v>6132.01</v>
      </c>
    </row>
    <row r="275" spans="1:21" x14ac:dyDescent="0.3">
      <c r="A275" s="16" t="s">
        <v>1397</v>
      </c>
      <c r="B275" s="31">
        <v>44601</v>
      </c>
      <c r="C275" s="31">
        <v>44602</v>
      </c>
      <c r="D275" s="2" t="s">
        <v>18</v>
      </c>
      <c r="E275" s="2" t="s">
        <v>420</v>
      </c>
      <c r="F275" s="4" t="s">
        <v>421</v>
      </c>
      <c r="G275" s="4" t="s">
        <v>51</v>
      </c>
      <c r="H275" s="4" t="s">
        <v>422</v>
      </c>
      <c r="I275" s="4" t="s">
        <v>423</v>
      </c>
      <c r="J275" s="4" t="s">
        <v>88</v>
      </c>
      <c r="K275" s="4" t="s">
        <v>25</v>
      </c>
      <c r="L275" s="4" t="s">
        <v>26</v>
      </c>
      <c r="M275" s="4" t="s">
        <v>1398</v>
      </c>
      <c r="N275" s="5">
        <v>3694.48</v>
      </c>
      <c r="O275" s="6">
        <v>2</v>
      </c>
      <c r="P275" s="7">
        <v>0</v>
      </c>
      <c r="Q275" s="18">
        <v>445.02</v>
      </c>
      <c r="R275" s="45" t="str">
        <f t="shared" si="16"/>
        <v>OK</v>
      </c>
      <c r="S275" s="45">
        <f t="shared" si="17"/>
        <v>681.33444444444444</v>
      </c>
      <c r="T275" s="45">
        <f t="shared" si="18"/>
        <v>9</v>
      </c>
      <c r="U275" s="45">
        <f t="shared" si="19"/>
        <v>6132.01</v>
      </c>
    </row>
    <row r="276" spans="1:21" x14ac:dyDescent="0.3">
      <c r="A276" s="17" t="s">
        <v>1607</v>
      </c>
      <c r="B276" s="32">
        <v>44602</v>
      </c>
      <c r="C276" s="32">
        <v>44604</v>
      </c>
      <c r="D276" s="8" t="s">
        <v>18</v>
      </c>
      <c r="E276" s="8" t="s">
        <v>566</v>
      </c>
      <c r="F276" s="10" t="s">
        <v>567</v>
      </c>
      <c r="G276" s="10" t="s">
        <v>21</v>
      </c>
      <c r="H276" s="10" t="s">
        <v>156</v>
      </c>
      <c r="I276" s="10" t="s">
        <v>157</v>
      </c>
      <c r="J276" s="10" t="s">
        <v>88</v>
      </c>
      <c r="K276" s="10" t="s">
        <v>25</v>
      </c>
      <c r="L276" s="10" t="s">
        <v>74</v>
      </c>
      <c r="M276" s="10" t="s">
        <v>1608</v>
      </c>
      <c r="N276" s="11">
        <v>1877.55</v>
      </c>
      <c r="O276" s="12">
        <v>3</v>
      </c>
      <c r="P276" s="13">
        <v>0</v>
      </c>
      <c r="Q276" s="19">
        <v>719.2</v>
      </c>
      <c r="R276" s="45" t="str">
        <f t="shared" si="16"/>
        <v>OK</v>
      </c>
      <c r="S276" s="45">
        <f t="shared" si="17"/>
        <v>681.33444444444444</v>
      </c>
      <c r="T276" s="45">
        <f t="shared" si="18"/>
        <v>9</v>
      </c>
      <c r="U276" s="45">
        <f t="shared" si="19"/>
        <v>6132.01</v>
      </c>
    </row>
    <row r="277" spans="1:21" x14ac:dyDescent="0.3">
      <c r="A277" s="17" t="s">
        <v>1678</v>
      </c>
      <c r="B277" s="32">
        <v>44602</v>
      </c>
      <c r="C277" s="32">
        <v>44603</v>
      </c>
      <c r="D277" s="8" t="s">
        <v>18</v>
      </c>
      <c r="E277" s="8" t="s">
        <v>717</v>
      </c>
      <c r="F277" s="10" t="s">
        <v>718</v>
      </c>
      <c r="G277" s="10" t="s">
        <v>51</v>
      </c>
      <c r="H277" s="10" t="s">
        <v>86</v>
      </c>
      <c r="I277" s="10" t="s">
        <v>87</v>
      </c>
      <c r="J277" s="10" t="s">
        <v>88</v>
      </c>
      <c r="K277" s="10" t="s">
        <v>35</v>
      </c>
      <c r="L277" s="10" t="s">
        <v>295</v>
      </c>
      <c r="M277" s="10" t="s">
        <v>1679</v>
      </c>
      <c r="N277" s="11">
        <v>106.8</v>
      </c>
      <c r="O277" s="12">
        <v>6</v>
      </c>
      <c r="P277" s="13">
        <v>0</v>
      </c>
      <c r="Q277" s="19">
        <v>49.91</v>
      </c>
      <c r="R277" s="45" t="str">
        <f t="shared" si="16"/>
        <v>OK</v>
      </c>
      <c r="S277" s="45">
        <f t="shared" si="17"/>
        <v>681.33444444444444</v>
      </c>
      <c r="T277" s="45">
        <f t="shared" si="18"/>
        <v>9</v>
      </c>
      <c r="U277" s="45">
        <f t="shared" si="19"/>
        <v>6132.01</v>
      </c>
    </row>
    <row r="278" spans="1:21" x14ac:dyDescent="0.3">
      <c r="A278" s="17" t="s">
        <v>302</v>
      </c>
      <c r="B278" s="32">
        <v>44604</v>
      </c>
      <c r="C278" s="32">
        <v>44606</v>
      </c>
      <c r="D278" s="8" t="s">
        <v>39</v>
      </c>
      <c r="E278" s="8" t="s">
        <v>303</v>
      </c>
      <c r="F278" s="10" t="s">
        <v>304</v>
      </c>
      <c r="G278" s="10" t="s">
        <v>42</v>
      </c>
      <c r="H278" s="10" t="s">
        <v>305</v>
      </c>
      <c r="I278" s="10" t="s">
        <v>306</v>
      </c>
      <c r="J278" s="10" t="s">
        <v>34</v>
      </c>
      <c r="K278" s="10" t="s">
        <v>35</v>
      </c>
      <c r="L278" s="10" t="s">
        <v>216</v>
      </c>
      <c r="M278" s="10" t="s">
        <v>307</v>
      </c>
      <c r="N278" s="11">
        <v>135.78</v>
      </c>
      <c r="O278" s="12">
        <v>3</v>
      </c>
      <c r="P278" s="13">
        <v>0</v>
      </c>
      <c r="Q278" s="19">
        <v>64.06</v>
      </c>
      <c r="R278" s="45" t="str">
        <f t="shared" si="16"/>
        <v>OK</v>
      </c>
      <c r="S278" s="45">
        <f t="shared" si="17"/>
        <v>681.33444444444444</v>
      </c>
      <c r="T278" s="45">
        <f t="shared" si="18"/>
        <v>9</v>
      </c>
      <c r="U278" s="45">
        <f t="shared" si="19"/>
        <v>6132.01</v>
      </c>
    </row>
    <row r="279" spans="1:21" x14ac:dyDescent="0.3">
      <c r="A279" s="17" t="s">
        <v>2179</v>
      </c>
      <c r="B279" s="32">
        <v>44605</v>
      </c>
      <c r="C279" s="32">
        <v>44607</v>
      </c>
      <c r="D279" s="8" t="s">
        <v>39</v>
      </c>
      <c r="E279" s="8" t="s">
        <v>1097</v>
      </c>
      <c r="F279" s="10" t="s">
        <v>1098</v>
      </c>
      <c r="G279" s="10" t="s">
        <v>42</v>
      </c>
      <c r="H279" s="10" t="s">
        <v>417</v>
      </c>
      <c r="I279" s="10" t="s">
        <v>123</v>
      </c>
      <c r="J279" s="10" t="s">
        <v>24</v>
      </c>
      <c r="K279" s="10" t="s">
        <v>25</v>
      </c>
      <c r="L279" s="10" t="s">
        <v>74</v>
      </c>
      <c r="M279" s="10" t="s">
        <v>2180</v>
      </c>
      <c r="N279" s="11">
        <v>1658.31</v>
      </c>
      <c r="O279" s="12">
        <v>6</v>
      </c>
      <c r="P279" s="13">
        <v>0.5</v>
      </c>
      <c r="Q279" s="19">
        <v>-206.52</v>
      </c>
      <c r="R279" s="45" t="str">
        <f t="shared" si="16"/>
        <v>OK</v>
      </c>
      <c r="S279" s="45">
        <f t="shared" si="17"/>
        <v>681.33444444444444</v>
      </c>
      <c r="T279" s="45">
        <f t="shared" si="18"/>
        <v>9</v>
      </c>
      <c r="U279" s="45">
        <f t="shared" si="19"/>
        <v>6132.01</v>
      </c>
    </row>
    <row r="280" spans="1:21" x14ac:dyDescent="0.3">
      <c r="A280" s="16" t="s">
        <v>1438</v>
      </c>
      <c r="B280" s="31">
        <v>44606</v>
      </c>
      <c r="C280" s="31">
        <v>44610</v>
      </c>
      <c r="D280" s="2" t="s">
        <v>39</v>
      </c>
      <c r="E280" s="2" t="s">
        <v>1439</v>
      </c>
      <c r="F280" s="4"/>
      <c r="G280" s="4" t="s">
        <v>51</v>
      </c>
      <c r="H280" s="4" t="s">
        <v>305</v>
      </c>
      <c r="I280" s="4" t="s">
        <v>306</v>
      </c>
      <c r="J280" s="4" t="s">
        <v>34</v>
      </c>
      <c r="K280" s="4" t="s">
        <v>25</v>
      </c>
      <c r="L280" s="4" t="s">
        <v>68</v>
      </c>
      <c r="M280" s="4" t="s">
        <v>1440</v>
      </c>
      <c r="N280" s="5">
        <v>89.19</v>
      </c>
      <c r="O280" s="6">
        <v>2</v>
      </c>
      <c r="P280" s="7">
        <v>0.3</v>
      </c>
      <c r="Q280" s="18">
        <v>18.88</v>
      </c>
      <c r="R280" s="45" t="str">
        <f t="shared" si="16"/>
        <v>OK</v>
      </c>
      <c r="S280" s="45">
        <f t="shared" si="17"/>
        <v>681.33444444444444</v>
      </c>
      <c r="T280" s="45">
        <f t="shared" si="18"/>
        <v>9</v>
      </c>
      <c r="U280" s="45">
        <f t="shared" si="19"/>
        <v>6132.01</v>
      </c>
    </row>
    <row r="281" spans="1:21" x14ac:dyDescent="0.3">
      <c r="A281" s="17" t="s">
        <v>1919</v>
      </c>
      <c r="B281" s="32">
        <v>44606</v>
      </c>
      <c r="C281" s="32">
        <v>44611</v>
      </c>
      <c r="D281" s="8" t="s">
        <v>73</v>
      </c>
      <c r="E281" s="8" t="s">
        <v>763</v>
      </c>
      <c r="F281" s="10" t="s">
        <v>764</v>
      </c>
      <c r="G281" s="10" t="s">
        <v>21</v>
      </c>
      <c r="H281" s="10" t="s">
        <v>765</v>
      </c>
      <c r="I281" s="10" t="s">
        <v>105</v>
      </c>
      <c r="J281" s="10" t="s">
        <v>88</v>
      </c>
      <c r="K281" s="10" t="s">
        <v>35</v>
      </c>
      <c r="L281" s="10" t="s">
        <v>36</v>
      </c>
      <c r="M281" s="10" t="s">
        <v>1920</v>
      </c>
      <c r="N281" s="11">
        <v>196</v>
      </c>
      <c r="O281" s="12">
        <v>2</v>
      </c>
      <c r="P281" s="13">
        <v>0.5</v>
      </c>
      <c r="Q281" s="19">
        <v>-12.88</v>
      </c>
      <c r="R281" s="45" t="str">
        <f t="shared" si="16"/>
        <v>OK</v>
      </c>
      <c r="S281" s="45">
        <f t="shared" si="17"/>
        <v>681.33444444444444</v>
      </c>
      <c r="T281" s="45">
        <f t="shared" si="18"/>
        <v>9</v>
      </c>
      <c r="U281" s="45">
        <f t="shared" si="19"/>
        <v>6132.01</v>
      </c>
    </row>
    <row r="282" spans="1:21" x14ac:dyDescent="0.3">
      <c r="A282" s="16" t="s">
        <v>1239</v>
      </c>
      <c r="B282" s="31">
        <v>44608</v>
      </c>
      <c r="C282" s="31">
        <v>44613</v>
      </c>
      <c r="D282" s="2" t="s">
        <v>29</v>
      </c>
      <c r="E282" s="2" t="s">
        <v>650</v>
      </c>
      <c r="F282" s="4" t="s">
        <v>651</v>
      </c>
      <c r="G282" s="4" t="s">
        <v>42</v>
      </c>
      <c r="H282" s="4" t="s">
        <v>438</v>
      </c>
      <c r="I282" s="4" t="s">
        <v>157</v>
      </c>
      <c r="J282" s="4" t="s">
        <v>88</v>
      </c>
      <c r="K282" s="4" t="s">
        <v>25</v>
      </c>
      <c r="L282" s="4" t="s">
        <v>26</v>
      </c>
      <c r="M282" s="4" t="s">
        <v>1240</v>
      </c>
      <c r="N282" s="5">
        <v>1036.29</v>
      </c>
      <c r="O282" s="6">
        <v>1</v>
      </c>
      <c r="P282" s="7">
        <v>0.3</v>
      </c>
      <c r="Q282" s="18">
        <v>-177.33</v>
      </c>
      <c r="R282" s="45" t="str">
        <f t="shared" si="16"/>
        <v>OK</v>
      </c>
      <c r="S282" s="45">
        <f t="shared" si="17"/>
        <v>681.33444444444444</v>
      </c>
      <c r="T282" s="45">
        <f t="shared" si="18"/>
        <v>9</v>
      </c>
      <c r="U282" s="45">
        <f t="shared" si="19"/>
        <v>6132.01</v>
      </c>
    </row>
    <row r="283" spans="1:21" x14ac:dyDescent="0.3">
      <c r="A283" s="16" t="s">
        <v>2040</v>
      </c>
      <c r="B283" s="31">
        <v>44609</v>
      </c>
      <c r="C283" s="31">
        <v>44614</v>
      </c>
      <c r="D283" s="2" t="s">
        <v>29</v>
      </c>
      <c r="E283" s="2" t="s">
        <v>678</v>
      </c>
      <c r="F283" s="4" t="s">
        <v>679</v>
      </c>
      <c r="G283" s="4" t="s">
        <v>51</v>
      </c>
      <c r="H283" s="4" t="s">
        <v>122</v>
      </c>
      <c r="I283" s="4" t="s">
        <v>123</v>
      </c>
      <c r="J283" s="4" t="s">
        <v>24</v>
      </c>
      <c r="K283" s="4" t="s">
        <v>35</v>
      </c>
      <c r="L283" s="4" t="s">
        <v>158</v>
      </c>
      <c r="M283" s="4" t="s">
        <v>2041</v>
      </c>
      <c r="N283" s="5">
        <v>170.94</v>
      </c>
      <c r="O283" s="6">
        <v>2</v>
      </c>
      <c r="P283" s="7">
        <v>0.3</v>
      </c>
      <c r="Q283" s="18">
        <v>37.630000000000003</v>
      </c>
      <c r="R283" s="45" t="str">
        <f t="shared" si="16"/>
        <v>OK</v>
      </c>
      <c r="S283" s="45">
        <f t="shared" si="17"/>
        <v>681.33444444444444</v>
      </c>
      <c r="T283" s="45">
        <f t="shared" si="18"/>
        <v>9</v>
      </c>
      <c r="U283" s="45">
        <f t="shared" si="19"/>
        <v>6132.01</v>
      </c>
    </row>
    <row r="284" spans="1:21" x14ac:dyDescent="0.3">
      <c r="A284" s="17" t="s">
        <v>2048</v>
      </c>
      <c r="B284" s="32">
        <v>44609</v>
      </c>
      <c r="C284" s="32">
        <v>44615</v>
      </c>
      <c r="D284" s="8" t="s">
        <v>29</v>
      </c>
      <c r="E284" s="8" t="s">
        <v>654</v>
      </c>
      <c r="F284" s="10" t="s">
        <v>655</v>
      </c>
      <c r="G284" s="10" t="s">
        <v>21</v>
      </c>
      <c r="H284" s="10" t="s">
        <v>66</v>
      </c>
      <c r="I284" s="10" t="s">
        <v>67</v>
      </c>
      <c r="J284" s="10" t="s">
        <v>34</v>
      </c>
      <c r="K284" s="10" t="s">
        <v>45</v>
      </c>
      <c r="L284" s="10" t="s">
        <v>46</v>
      </c>
      <c r="M284" s="10" t="s">
        <v>2049</v>
      </c>
      <c r="N284" s="11">
        <v>1458.74</v>
      </c>
      <c r="O284" s="12">
        <v>4</v>
      </c>
      <c r="P284" s="13">
        <v>0.05</v>
      </c>
      <c r="Q284" s="19">
        <v>426.12</v>
      </c>
      <c r="R284" s="45" t="str">
        <f t="shared" si="16"/>
        <v>OK</v>
      </c>
      <c r="S284" s="45">
        <f t="shared" si="17"/>
        <v>681.33444444444444</v>
      </c>
      <c r="T284" s="45">
        <f t="shared" si="18"/>
        <v>9</v>
      </c>
      <c r="U284" s="45">
        <f t="shared" si="19"/>
        <v>6132.01</v>
      </c>
    </row>
    <row r="285" spans="1:21" x14ac:dyDescent="0.3">
      <c r="A285" s="16" t="s">
        <v>1216</v>
      </c>
      <c r="B285" s="31">
        <v>44610</v>
      </c>
      <c r="C285" s="31">
        <v>44616</v>
      </c>
      <c r="D285" s="2" t="s">
        <v>29</v>
      </c>
      <c r="E285" s="2" t="s">
        <v>890</v>
      </c>
      <c r="F285" s="4" t="s">
        <v>891</v>
      </c>
      <c r="G285" s="4" t="s">
        <v>42</v>
      </c>
      <c r="H285" s="4" t="s">
        <v>22</v>
      </c>
      <c r="I285" s="4" t="s">
        <v>23</v>
      </c>
      <c r="J285" s="4" t="s">
        <v>24</v>
      </c>
      <c r="K285" s="4" t="s">
        <v>45</v>
      </c>
      <c r="L285" s="4" t="s">
        <v>46</v>
      </c>
      <c r="M285" s="4" t="s">
        <v>1217</v>
      </c>
      <c r="N285" s="5">
        <v>2044.02</v>
      </c>
      <c r="O285" s="6">
        <v>3</v>
      </c>
      <c r="P285" s="7">
        <v>0</v>
      </c>
      <c r="Q285" s="18">
        <v>593.26</v>
      </c>
      <c r="R285" s="45" t="str">
        <f t="shared" si="16"/>
        <v>OK</v>
      </c>
      <c r="S285" s="45">
        <f t="shared" si="17"/>
        <v>681.33444444444444</v>
      </c>
      <c r="T285" s="45">
        <f t="shared" si="18"/>
        <v>9</v>
      </c>
      <c r="U285" s="45">
        <f t="shared" si="19"/>
        <v>6132.01</v>
      </c>
    </row>
    <row r="286" spans="1:21" x14ac:dyDescent="0.3">
      <c r="A286" s="16" t="s">
        <v>2421</v>
      </c>
      <c r="B286" s="31">
        <v>44613</v>
      </c>
      <c r="C286" s="31">
        <v>44618</v>
      </c>
      <c r="D286" s="2" t="s">
        <v>73</v>
      </c>
      <c r="E286" s="2" t="s">
        <v>2422</v>
      </c>
      <c r="F286" s="4" t="s">
        <v>2423</v>
      </c>
      <c r="G286" s="4" t="s">
        <v>51</v>
      </c>
      <c r="H286" s="4" t="s">
        <v>422</v>
      </c>
      <c r="I286" s="4" t="s">
        <v>423</v>
      </c>
      <c r="J286" s="4" t="s">
        <v>88</v>
      </c>
      <c r="K286" s="4" t="s">
        <v>25</v>
      </c>
      <c r="L286" s="4" t="s">
        <v>124</v>
      </c>
      <c r="M286" s="4" t="s">
        <v>2424</v>
      </c>
      <c r="N286" s="5">
        <v>6633.15</v>
      </c>
      <c r="O286" s="6">
        <v>5</v>
      </c>
      <c r="P286" s="7">
        <v>0</v>
      </c>
      <c r="Q286" s="18">
        <v>1646.29</v>
      </c>
      <c r="R286" s="45" t="str">
        <f t="shared" si="16"/>
        <v>OK</v>
      </c>
      <c r="S286" s="45">
        <f t="shared" si="17"/>
        <v>681.33444444444444</v>
      </c>
      <c r="T286" s="45">
        <f t="shared" si="18"/>
        <v>9</v>
      </c>
      <c r="U286" s="45">
        <f t="shared" si="19"/>
        <v>6132.01</v>
      </c>
    </row>
    <row r="287" spans="1:21" x14ac:dyDescent="0.3">
      <c r="A287" s="17" t="s">
        <v>2207</v>
      </c>
      <c r="B287" s="32">
        <v>44614</v>
      </c>
      <c r="C287" s="32">
        <v>44615</v>
      </c>
      <c r="D287" s="8" t="s">
        <v>18</v>
      </c>
      <c r="E287" s="8" t="s">
        <v>717</v>
      </c>
      <c r="F287" s="10" t="s">
        <v>718</v>
      </c>
      <c r="G287" s="10" t="s">
        <v>51</v>
      </c>
      <c r="H287" s="10" t="s">
        <v>86</v>
      </c>
      <c r="I287" s="10" t="s">
        <v>87</v>
      </c>
      <c r="J287" s="10" t="s">
        <v>88</v>
      </c>
      <c r="K287" s="10" t="s">
        <v>35</v>
      </c>
      <c r="L287" s="10" t="s">
        <v>166</v>
      </c>
      <c r="M287" s="10" t="s">
        <v>2208</v>
      </c>
      <c r="N287" s="11">
        <v>218.2</v>
      </c>
      <c r="O287" s="12">
        <v>8</v>
      </c>
      <c r="P287" s="13">
        <v>0.05</v>
      </c>
      <c r="Q287" s="19">
        <v>63.88</v>
      </c>
      <c r="R287" s="45" t="str">
        <f t="shared" si="16"/>
        <v>OK</v>
      </c>
      <c r="S287" s="45">
        <f t="shared" si="17"/>
        <v>681.33444444444444</v>
      </c>
      <c r="T287" s="45">
        <f t="shared" si="18"/>
        <v>9</v>
      </c>
      <c r="U287" s="45">
        <f t="shared" si="19"/>
        <v>6132.01</v>
      </c>
    </row>
    <row r="288" spans="1:21" x14ac:dyDescent="0.3">
      <c r="A288" s="16" t="s">
        <v>1969</v>
      </c>
      <c r="B288" s="31">
        <v>44615</v>
      </c>
      <c r="C288" s="31">
        <v>44620</v>
      </c>
      <c r="D288" s="2" t="s">
        <v>73</v>
      </c>
      <c r="E288" s="2" t="s">
        <v>1166</v>
      </c>
      <c r="F288" s="4" t="s">
        <v>1167</v>
      </c>
      <c r="G288" s="4" t="s">
        <v>21</v>
      </c>
      <c r="H288" s="4" t="s">
        <v>98</v>
      </c>
      <c r="I288" s="4" t="s">
        <v>80</v>
      </c>
      <c r="J288" s="4" t="s">
        <v>54</v>
      </c>
      <c r="K288" s="4" t="s">
        <v>45</v>
      </c>
      <c r="L288" s="4" t="s">
        <v>117</v>
      </c>
      <c r="M288" s="4" t="s">
        <v>1970</v>
      </c>
      <c r="N288" s="5">
        <v>178.59</v>
      </c>
      <c r="O288" s="6">
        <v>3</v>
      </c>
      <c r="P288" s="7">
        <v>0.5</v>
      </c>
      <c r="Q288" s="18">
        <v>-81.37</v>
      </c>
      <c r="R288" s="45" t="str">
        <f t="shared" si="16"/>
        <v>OK</v>
      </c>
      <c r="S288" s="45">
        <f t="shared" si="17"/>
        <v>681.33444444444444</v>
      </c>
      <c r="T288" s="45">
        <f t="shared" si="18"/>
        <v>9</v>
      </c>
      <c r="U288" s="45">
        <f t="shared" si="19"/>
        <v>6132.01</v>
      </c>
    </row>
    <row r="289" spans="1:21" x14ac:dyDescent="0.3">
      <c r="A289" s="16" t="s">
        <v>2062</v>
      </c>
      <c r="B289" s="31">
        <v>44617</v>
      </c>
      <c r="C289" s="31">
        <v>44624</v>
      </c>
      <c r="D289" s="2" t="s">
        <v>29</v>
      </c>
      <c r="E289" s="2" t="s">
        <v>445</v>
      </c>
      <c r="F289" s="4" t="s">
        <v>446</v>
      </c>
      <c r="G289" s="4" t="s">
        <v>51</v>
      </c>
      <c r="H289" s="4" t="s">
        <v>183</v>
      </c>
      <c r="I289" s="4" t="s">
        <v>184</v>
      </c>
      <c r="J289" s="4" t="s">
        <v>54</v>
      </c>
      <c r="K289" s="4" t="s">
        <v>45</v>
      </c>
      <c r="L289" s="4" t="s">
        <v>99</v>
      </c>
      <c r="M289" s="4" t="s">
        <v>2063</v>
      </c>
      <c r="N289" s="5">
        <v>857.95</v>
      </c>
      <c r="O289" s="6">
        <v>8</v>
      </c>
      <c r="P289" s="7">
        <v>0.1</v>
      </c>
      <c r="Q289" s="18">
        <v>229.6</v>
      </c>
      <c r="R289" s="45" t="str">
        <f t="shared" si="16"/>
        <v>OK</v>
      </c>
      <c r="S289" s="45">
        <f t="shared" si="17"/>
        <v>681.33444444444444</v>
      </c>
      <c r="T289" s="45">
        <f t="shared" si="18"/>
        <v>9</v>
      </c>
      <c r="U289" s="45">
        <f t="shared" si="19"/>
        <v>6132.01</v>
      </c>
    </row>
    <row r="290" spans="1:21" x14ac:dyDescent="0.3">
      <c r="A290" s="16" t="s">
        <v>2252</v>
      </c>
      <c r="B290" s="31">
        <v>44618</v>
      </c>
      <c r="C290" s="31">
        <v>44621</v>
      </c>
      <c r="D290" s="2" t="s">
        <v>18</v>
      </c>
      <c r="E290" s="2" t="s">
        <v>1982</v>
      </c>
      <c r="F290" s="4" t="s">
        <v>1983</v>
      </c>
      <c r="G290" s="4" t="s">
        <v>21</v>
      </c>
      <c r="H290" s="4" t="s">
        <v>22</v>
      </c>
      <c r="I290" s="4" t="s">
        <v>23</v>
      </c>
      <c r="J290" s="4" t="s">
        <v>24</v>
      </c>
      <c r="K290" s="4" t="s">
        <v>45</v>
      </c>
      <c r="L290" s="4" t="s">
        <v>46</v>
      </c>
      <c r="M290" s="4" t="s">
        <v>2253</v>
      </c>
      <c r="N290" s="5">
        <v>741.63</v>
      </c>
      <c r="O290" s="6">
        <v>4</v>
      </c>
      <c r="P290" s="7">
        <v>0.2</v>
      </c>
      <c r="Q290" s="18">
        <v>89.27</v>
      </c>
      <c r="R290" s="45" t="str">
        <f t="shared" si="16"/>
        <v>OK</v>
      </c>
      <c r="S290" s="45">
        <f t="shared" si="17"/>
        <v>681.33444444444444</v>
      </c>
      <c r="T290" s="45">
        <f t="shared" si="18"/>
        <v>9</v>
      </c>
      <c r="U290" s="45">
        <f t="shared" si="19"/>
        <v>6132.01</v>
      </c>
    </row>
    <row r="291" spans="1:21" x14ac:dyDescent="0.3">
      <c r="A291" s="17" t="s">
        <v>1849</v>
      </c>
      <c r="B291" s="32">
        <v>44620</v>
      </c>
      <c r="C291" s="32">
        <v>44623</v>
      </c>
      <c r="D291" s="8" t="s">
        <v>73</v>
      </c>
      <c r="E291" s="8" t="s">
        <v>201</v>
      </c>
      <c r="F291" s="10" t="s">
        <v>202</v>
      </c>
      <c r="G291" s="10" t="s">
        <v>21</v>
      </c>
      <c r="H291" s="10" t="s">
        <v>98</v>
      </c>
      <c r="I291" s="10" t="s">
        <v>80</v>
      </c>
      <c r="J291" s="10" t="s">
        <v>54</v>
      </c>
      <c r="K291" s="10" t="s">
        <v>25</v>
      </c>
      <c r="L291" s="10" t="s">
        <v>74</v>
      </c>
      <c r="M291" s="10" t="s">
        <v>1850</v>
      </c>
      <c r="N291" s="11">
        <v>2593.4699999999998</v>
      </c>
      <c r="O291" s="12">
        <v>7</v>
      </c>
      <c r="P291" s="13">
        <v>0.2</v>
      </c>
      <c r="Q291" s="19">
        <v>527.91999999999996</v>
      </c>
      <c r="R291" s="45" t="str">
        <f t="shared" si="16"/>
        <v>OK</v>
      </c>
      <c r="S291" s="45">
        <f t="shared" si="17"/>
        <v>681.33444444444444</v>
      </c>
      <c r="T291" s="45">
        <f t="shared" si="18"/>
        <v>9</v>
      </c>
      <c r="U291" s="45">
        <f t="shared" si="19"/>
        <v>6132.01</v>
      </c>
    </row>
    <row r="292" spans="1:21" x14ac:dyDescent="0.3">
      <c r="A292" s="16" t="s">
        <v>2245</v>
      </c>
      <c r="B292" s="31">
        <v>44620</v>
      </c>
      <c r="C292" s="31">
        <v>44623</v>
      </c>
      <c r="D292" s="2" t="s">
        <v>39</v>
      </c>
      <c r="E292" s="2" t="s">
        <v>838</v>
      </c>
      <c r="F292" s="4" t="s">
        <v>839</v>
      </c>
      <c r="G292" s="4" t="s">
        <v>51</v>
      </c>
      <c r="H292" s="4" t="s">
        <v>438</v>
      </c>
      <c r="I292" s="4" t="s">
        <v>157</v>
      </c>
      <c r="J292" s="4" t="s">
        <v>88</v>
      </c>
      <c r="K292" s="4" t="s">
        <v>35</v>
      </c>
      <c r="L292" s="4" t="s">
        <v>81</v>
      </c>
      <c r="M292" s="4" t="s">
        <v>2246</v>
      </c>
      <c r="N292" s="5">
        <v>21.43</v>
      </c>
      <c r="O292" s="6">
        <v>6</v>
      </c>
      <c r="P292" s="7">
        <v>0.05</v>
      </c>
      <c r="Q292" s="18">
        <v>11.8</v>
      </c>
      <c r="R292" s="45" t="str">
        <f t="shared" si="16"/>
        <v>OK</v>
      </c>
      <c r="S292" s="45">
        <f t="shared" si="17"/>
        <v>681.33444444444444</v>
      </c>
      <c r="T292" s="45">
        <f t="shared" si="18"/>
        <v>9</v>
      </c>
      <c r="U292" s="45">
        <f t="shared" si="19"/>
        <v>6132.01</v>
      </c>
    </row>
    <row r="293" spans="1:21" x14ac:dyDescent="0.3">
      <c r="A293" s="16" t="s">
        <v>1609</v>
      </c>
      <c r="B293" s="31">
        <v>44622</v>
      </c>
      <c r="C293" s="31">
        <v>44624</v>
      </c>
      <c r="D293" s="2" t="s">
        <v>18</v>
      </c>
      <c r="E293" s="2" t="s">
        <v>670</v>
      </c>
      <c r="F293" s="4" t="s">
        <v>671</v>
      </c>
      <c r="G293" s="4" t="s">
        <v>21</v>
      </c>
      <c r="H293" s="4" t="s">
        <v>465</v>
      </c>
      <c r="I293" s="4" t="s">
        <v>423</v>
      </c>
      <c r="J293" s="4" t="s">
        <v>88</v>
      </c>
      <c r="K293" s="4" t="s">
        <v>25</v>
      </c>
      <c r="L293" s="4" t="s">
        <v>74</v>
      </c>
      <c r="M293" s="4" t="s">
        <v>1610</v>
      </c>
      <c r="N293" s="5">
        <v>154.44999999999999</v>
      </c>
      <c r="O293" s="6">
        <v>1</v>
      </c>
      <c r="P293" s="7">
        <v>0.4</v>
      </c>
      <c r="Q293" s="18">
        <v>-5</v>
      </c>
      <c r="R293" s="45" t="str">
        <f t="shared" si="16"/>
        <v>OK</v>
      </c>
      <c r="S293" s="45">
        <f t="shared" si="17"/>
        <v>681.33444444444444</v>
      </c>
      <c r="T293" s="45">
        <f t="shared" si="18"/>
        <v>9</v>
      </c>
      <c r="U293" s="45">
        <f t="shared" si="19"/>
        <v>6132.01</v>
      </c>
    </row>
    <row r="294" spans="1:21" x14ac:dyDescent="0.3">
      <c r="A294" s="17" t="s">
        <v>2278</v>
      </c>
      <c r="B294" s="32">
        <v>44623</v>
      </c>
      <c r="C294" s="32">
        <v>44627</v>
      </c>
      <c r="D294" s="8" t="s">
        <v>73</v>
      </c>
      <c r="E294" s="8" t="s">
        <v>476</v>
      </c>
      <c r="F294" s="10" t="s">
        <v>477</v>
      </c>
      <c r="G294" s="10" t="s">
        <v>42</v>
      </c>
      <c r="H294" s="10" t="s">
        <v>150</v>
      </c>
      <c r="I294" s="10" t="s">
        <v>151</v>
      </c>
      <c r="J294" s="10" t="s">
        <v>34</v>
      </c>
      <c r="K294" s="10" t="s">
        <v>35</v>
      </c>
      <c r="L294" s="10" t="s">
        <v>229</v>
      </c>
      <c r="M294" s="10" t="s">
        <v>2279</v>
      </c>
      <c r="N294" s="11">
        <v>30.66</v>
      </c>
      <c r="O294" s="12">
        <v>7</v>
      </c>
      <c r="P294" s="13">
        <v>0</v>
      </c>
      <c r="Q294" s="19">
        <v>17.07</v>
      </c>
      <c r="R294" s="45" t="str">
        <f t="shared" si="16"/>
        <v>OK</v>
      </c>
      <c r="S294" s="45">
        <f t="shared" si="17"/>
        <v>681.33444444444444</v>
      </c>
      <c r="T294" s="45">
        <f t="shared" si="18"/>
        <v>9</v>
      </c>
      <c r="U294" s="45">
        <f t="shared" si="19"/>
        <v>6132.01</v>
      </c>
    </row>
    <row r="295" spans="1:21" x14ac:dyDescent="0.3">
      <c r="A295" s="16" t="s">
        <v>2324</v>
      </c>
      <c r="B295" s="31">
        <v>44623</v>
      </c>
      <c r="C295" s="31">
        <v>44625</v>
      </c>
      <c r="D295" s="2" t="s">
        <v>18</v>
      </c>
      <c r="E295" s="2" t="s">
        <v>1464</v>
      </c>
      <c r="F295" s="4" t="s">
        <v>1465</v>
      </c>
      <c r="G295" s="4" t="s">
        <v>21</v>
      </c>
      <c r="H295" s="4" t="s">
        <v>438</v>
      </c>
      <c r="I295" s="4" t="s">
        <v>157</v>
      </c>
      <c r="J295" s="4" t="s">
        <v>88</v>
      </c>
      <c r="K295" s="4" t="s">
        <v>25</v>
      </c>
      <c r="L295" s="4" t="s">
        <v>68</v>
      </c>
      <c r="M295" s="4" t="s">
        <v>2325</v>
      </c>
      <c r="N295" s="5">
        <v>57.41</v>
      </c>
      <c r="O295" s="6">
        <v>2</v>
      </c>
      <c r="P295" s="7">
        <v>0.4</v>
      </c>
      <c r="Q295" s="18">
        <v>-2.54</v>
      </c>
      <c r="R295" s="45" t="str">
        <f t="shared" si="16"/>
        <v>OK</v>
      </c>
      <c r="S295" s="45">
        <f t="shared" si="17"/>
        <v>681.33444444444444</v>
      </c>
      <c r="T295" s="45">
        <f t="shared" si="18"/>
        <v>9</v>
      </c>
      <c r="U295" s="45">
        <f t="shared" si="19"/>
        <v>6132.01</v>
      </c>
    </row>
    <row r="296" spans="1:21" x14ac:dyDescent="0.3">
      <c r="A296" s="17" t="s">
        <v>1725</v>
      </c>
      <c r="B296" s="32">
        <v>44625</v>
      </c>
      <c r="C296" s="32">
        <v>44630</v>
      </c>
      <c r="D296" s="8" t="s">
        <v>29</v>
      </c>
      <c r="E296" s="8" t="s">
        <v>77</v>
      </c>
      <c r="F296" s="10" t="s">
        <v>78</v>
      </c>
      <c r="G296" s="10" t="s">
        <v>21</v>
      </c>
      <c r="H296" s="10" t="s">
        <v>79</v>
      </c>
      <c r="I296" s="10" t="s">
        <v>80</v>
      </c>
      <c r="J296" s="10" t="s">
        <v>54</v>
      </c>
      <c r="K296" s="10" t="s">
        <v>45</v>
      </c>
      <c r="L296" s="10" t="s">
        <v>99</v>
      </c>
      <c r="M296" s="10" t="s">
        <v>1726</v>
      </c>
      <c r="N296" s="11">
        <v>304.70999999999998</v>
      </c>
      <c r="O296" s="12">
        <v>7</v>
      </c>
      <c r="P296" s="13">
        <v>0.4</v>
      </c>
      <c r="Q296" s="19">
        <v>-17.05</v>
      </c>
      <c r="R296" s="45" t="str">
        <f t="shared" si="16"/>
        <v>OK</v>
      </c>
      <c r="S296" s="45">
        <f t="shared" si="17"/>
        <v>681.33444444444444</v>
      </c>
      <c r="T296" s="45">
        <f t="shared" si="18"/>
        <v>9</v>
      </c>
      <c r="U296" s="45">
        <f t="shared" si="19"/>
        <v>6132.01</v>
      </c>
    </row>
    <row r="297" spans="1:21" x14ac:dyDescent="0.3">
      <c r="A297" s="17" t="s">
        <v>1818</v>
      </c>
      <c r="B297" s="32">
        <v>44625</v>
      </c>
      <c r="C297" s="32">
        <v>44631</v>
      </c>
      <c r="D297" s="8" t="s">
        <v>29</v>
      </c>
      <c r="E297" s="8" t="s">
        <v>197</v>
      </c>
      <c r="F297" s="10" t="s">
        <v>198</v>
      </c>
      <c r="G297" s="10" t="s">
        <v>21</v>
      </c>
      <c r="H297" s="10" t="s">
        <v>129</v>
      </c>
      <c r="I297" s="10" t="s">
        <v>33</v>
      </c>
      <c r="J297" s="10" t="s">
        <v>34</v>
      </c>
      <c r="K297" s="10" t="s">
        <v>25</v>
      </c>
      <c r="L297" s="10" t="s">
        <v>26</v>
      </c>
      <c r="M297" s="10" t="s">
        <v>1819</v>
      </c>
      <c r="N297" s="11">
        <v>7941.51</v>
      </c>
      <c r="O297" s="12">
        <v>9</v>
      </c>
      <c r="P297" s="13">
        <v>0.5</v>
      </c>
      <c r="Q297" s="19">
        <v>-5745.42</v>
      </c>
      <c r="R297" s="45" t="str">
        <f t="shared" si="16"/>
        <v>OK</v>
      </c>
      <c r="S297" s="45">
        <f t="shared" si="17"/>
        <v>681.33444444444444</v>
      </c>
      <c r="T297" s="45">
        <f t="shared" si="18"/>
        <v>9</v>
      </c>
      <c r="U297" s="45">
        <f t="shared" si="19"/>
        <v>6132.01</v>
      </c>
    </row>
    <row r="298" spans="1:21" x14ac:dyDescent="0.3">
      <c r="A298" s="16" t="s">
        <v>1902</v>
      </c>
      <c r="B298" s="31">
        <v>44626</v>
      </c>
      <c r="C298" s="31">
        <v>44633</v>
      </c>
      <c r="D298" s="2" t="s">
        <v>29</v>
      </c>
      <c r="E298" s="2" t="s">
        <v>1578</v>
      </c>
      <c r="F298" s="4" t="s">
        <v>1579</v>
      </c>
      <c r="G298" s="4" t="s">
        <v>51</v>
      </c>
      <c r="H298" s="4" t="s">
        <v>207</v>
      </c>
      <c r="I298" s="4" t="s">
        <v>60</v>
      </c>
      <c r="J298" s="4" t="s">
        <v>54</v>
      </c>
      <c r="K298" s="4" t="s">
        <v>35</v>
      </c>
      <c r="L298" s="4" t="s">
        <v>166</v>
      </c>
      <c r="M298" s="4" t="s">
        <v>1903</v>
      </c>
      <c r="N298" s="5">
        <v>329.22</v>
      </c>
      <c r="O298" s="6">
        <v>6</v>
      </c>
      <c r="P298" s="7">
        <v>0.5</v>
      </c>
      <c r="Q298" s="18">
        <v>-135.71</v>
      </c>
      <c r="R298" s="45" t="str">
        <f t="shared" si="16"/>
        <v>OK</v>
      </c>
      <c r="S298" s="45">
        <f t="shared" si="17"/>
        <v>681.33444444444444</v>
      </c>
      <c r="T298" s="45">
        <f t="shared" si="18"/>
        <v>9</v>
      </c>
      <c r="U298" s="45">
        <f t="shared" si="19"/>
        <v>6132.01</v>
      </c>
    </row>
    <row r="299" spans="1:21" x14ac:dyDescent="0.3">
      <c r="A299" s="16" t="s">
        <v>2032</v>
      </c>
      <c r="B299" s="31">
        <v>44627</v>
      </c>
      <c r="C299" s="31">
        <v>44632</v>
      </c>
      <c r="D299" s="2" t="s">
        <v>29</v>
      </c>
      <c r="E299" s="2" t="s">
        <v>113</v>
      </c>
      <c r="F299" s="4" t="s">
        <v>114</v>
      </c>
      <c r="G299" s="4" t="s">
        <v>21</v>
      </c>
      <c r="H299" s="4" t="s">
        <v>115</v>
      </c>
      <c r="I299" s="4" t="s">
        <v>116</v>
      </c>
      <c r="J299" s="4" t="s">
        <v>54</v>
      </c>
      <c r="K299" s="4" t="s">
        <v>45</v>
      </c>
      <c r="L299" s="4" t="s">
        <v>99</v>
      </c>
      <c r="M299" s="4" t="s">
        <v>2033</v>
      </c>
      <c r="N299" s="5">
        <v>167.14</v>
      </c>
      <c r="O299" s="6">
        <v>1</v>
      </c>
      <c r="P299" s="7">
        <v>0.05</v>
      </c>
      <c r="Q299" s="18">
        <v>33.72</v>
      </c>
      <c r="R299" s="45" t="str">
        <f t="shared" si="16"/>
        <v>OK</v>
      </c>
      <c r="S299" s="45">
        <f t="shared" si="17"/>
        <v>681.33444444444444</v>
      </c>
      <c r="T299" s="45">
        <f t="shared" si="18"/>
        <v>9</v>
      </c>
      <c r="U299" s="45">
        <f t="shared" si="19"/>
        <v>6132.01</v>
      </c>
    </row>
    <row r="300" spans="1:21" x14ac:dyDescent="0.3">
      <c r="A300" s="16" t="s">
        <v>1957</v>
      </c>
      <c r="B300" s="31">
        <v>44628</v>
      </c>
      <c r="C300" s="31">
        <v>44633</v>
      </c>
      <c r="D300" s="2" t="s">
        <v>73</v>
      </c>
      <c r="E300" s="2" t="s">
        <v>789</v>
      </c>
      <c r="F300" s="4" t="s">
        <v>790</v>
      </c>
      <c r="G300" s="4" t="s">
        <v>51</v>
      </c>
      <c r="H300" s="4" t="s">
        <v>530</v>
      </c>
      <c r="I300" s="4" t="s">
        <v>373</v>
      </c>
      <c r="J300" s="4" t="s">
        <v>34</v>
      </c>
      <c r="K300" s="4" t="s">
        <v>35</v>
      </c>
      <c r="L300" s="4" t="s">
        <v>295</v>
      </c>
      <c r="M300" s="4" t="s">
        <v>1958</v>
      </c>
      <c r="N300" s="5">
        <v>56.46</v>
      </c>
      <c r="O300" s="6">
        <v>6</v>
      </c>
      <c r="P300" s="7">
        <v>0</v>
      </c>
      <c r="Q300" s="18">
        <v>25.27</v>
      </c>
      <c r="R300" s="45" t="str">
        <f t="shared" si="16"/>
        <v>OK</v>
      </c>
      <c r="S300" s="45">
        <f t="shared" si="17"/>
        <v>681.33444444444444</v>
      </c>
      <c r="T300" s="45">
        <f t="shared" si="18"/>
        <v>9</v>
      </c>
      <c r="U300" s="45">
        <f t="shared" si="19"/>
        <v>6132.01</v>
      </c>
    </row>
    <row r="301" spans="1:21" x14ac:dyDescent="0.3">
      <c r="A301" s="16" t="s">
        <v>599</v>
      </c>
      <c r="B301" s="31">
        <v>44629</v>
      </c>
      <c r="C301" s="31">
        <v>44633</v>
      </c>
      <c r="D301" s="2" t="s">
        <v>73</v>
      </c>
      <c r="E301" s="2" t="s">
        <v>370</v>
      </c>
      <c r="F301" s="4" t="s">
        <v>371</v>
      </c>
      <c r="G301" s="4" t="s">
        <v>51</v>
      </c>
      <c r="H301" s="4" t="s">
        <v>372</v>
      </c>
      <c r="I301" s="4" t="s">
        <v>373</v>
      </c>
      <c r="J301" s="4" t="s">
        <v>34</v>
      </c>
      <c r="K301" s="4" t="s">
        <v>45</v>
      </c>
      <c r="L301" s="4" t="s">
        <v>61</v>
      </c>
      <c r="M301" s="4" t="s">
        <v>600</v>
      </c>
      <c r="N301" s="5">
        <v>887.56</v>
      </c>
      <c r="O301" s="6">
        <v>1</v>
      </c>
      <c r="P301" s="7">
        <v>0</v>
      </c>
      <c r="Q301" s="18">
        <v>130.72999999999999</v>
      </c>
      <c r="R301" s="45" t="str">
        <f t="shared" si="16"/>
        <v>OK</v>
      </c>
      <c r="S301" s="45">
        <f t="shared" si="17"/>
        <v>681.33444444444444</v>
      </c>
      <c r="T301" s="45">
        <f t="shared" si="18"/>
        <v>9</v>
      </c>
      <c r="U301" s="45">
        <f t="shared" si="19"/>
        <v>6132.01</v>
      </c>
    </row>
    <row r="302" spans="1:21" x14ac:dyDescent="0.3">
      <c r="A302" s="17" t="s">
        <v>2353</v>
      </c>
      <c r="B302" s="32">
        <v>44632</v>
      </c>
      <c r="C302" s="32">
        <v>44639</v>
      </c>
      <c r="D302" s="8" t="s">
        <v>29</v>
      </c>
      <c r="E302" s="8" t="s">
        <v>219</v>
      </c>
      <c r="F302" s="10" t="s">
        <v>220</v>
      </c>
      <c r="G302" s="10" t="s">
        <v>51</v>
      </c>
      <c r="H302" s="10" t="s">
        <v>171</v>
      </c>
      <c r="I302" s="10" t="s">
        <v>172</v>
      </c>
      <c r="J302" s="10" t="s">
        <v>24</v>
      </c>
      <c r="K302" s="10" t="s">
        <v>25</v>
      </c>
      <c r="L302" s="10" t="s">
        <v>68</v>
      </c>
      <c r="M302" s="10" t="s">
        <v>2354</v>
      </c>
      <c r="N302" s="11">
        <v>1315.2</v>
      </c>
      <c r="O302" s="12">
        <v>10</v>
      </c>
      <c r="P302" s="13">
        <v>0.2</v>
      </c>
      <c r="Q302" s="19"/>
      <c r="R302" s="45" t="str">
        <f t="shared" si="16"/>
        <v>OK</v>
      </c>
      <c r="S302" s="45">
        <f t="shared" si="17"/>
        <v>681.33444444444444</v>
      </c>
      <c r="T302" s="45">
        <f t="shared" si="18"/>
        <v>9</v>
      </c>
      <c r="U302" s="45">
        <f t="shared" si="19"/>
        <v>6132.01</v>
      </c>
    </row>
    <row r="303" spans="1:21" x14ac:dyDescent="0.3">
      <c r="A303" s="16" t="s">
        <v>2389</v>
      </c>
      <c r="B303" s="31">
        <v>44635</v>
      </c>
      <c r="C303" s="31">
        <v>44638</v>
      </c>
      <c r="D303" s="2" t="s">
        <v>39</v>
      </c>
      <c r="E303" s="2" t="s">
        <v>476</v>
      </c>
      <c r="F303" s="4" t="s">
        <v>477</v>
      </c>
      <c r="G303" s="4" t="s">
        <v>42</v>
      </c>
      <c r="H303" s="4" t="s">
        <v>150</v>
      </c>
      <c r="I303" s="4" t="s">
        <v>151</v>
      </c>
      <c r="J303" s="4" t="s">
        <v>34</v>
      </c>
      <c r="K303" s="4" t="s">
        <v>25</v>
      </c>
      <c r="L303" s="4" t="s">
        <v>74</v>
      </c>
      <c r="M303" s="4" t="s">
        <v>2390</v>
      </c>
      <c r="N303" s="5">
        <v>358.31</v>
      </c>
      <c r="O303" s="6">
        <v>1</v>
      </c>
      <c r="P303" s="7">
        <v>0.15</v>
      </c>
      <c r="Q303" s="18">
        <v>109.85</v>
      </c>
      <c r="R303" s="45" t="str">
        <f t="shared" si="16"/>
        <v>OK</v>
      </c>
      <c r="S303" s="45">
        <f t="shared" si="17"/>
        <v>681.33444444444444</v>
      </c>
      <c r="T303" s="45">
        <f t="shared" si="18"/>
        <v>9</v>
      </c>
      <c r="U303" s="45">
        <f t="shared" si="19"/>
        <v>6132.01</v>
      </c>
    </row>
    <row r="304" spans="1:21" x14ac:dyDescent="0.3">
      <c r="A304" s="16" t="s">
        <v>677</v>
      </c>
      <c r="B304" s="31">
        <v>44638</v>
      </c>
      <c r="C304" s="31">
        <v>44643</v>
      </c>
      <c r="D304" s="2" t="s">
        <v>73</v>
      </c>
      <c r="E304" s="2" t="s">
        <v>678</v>
      </c>
      <c r="F304" s="4" t="s">
        <v>679</v>
      </c>
      <c r="G304" s="4" t="s">
        <v>51</v>
      </c>
      <c r="H304" s="4" t="s">
        <v>122</v>
      </c>
      <c r="I304" s="4" t="s">
        <v>123</v>
      </c>
      <c r="J304" s="4" t="s">
        <v>24</v>
      </c>
      <c r="K304" s="4" t="s">
        <v>45</v>
      </c>
      <c r="L304" s="4" t="s">
        <v>61</v>
      </c>
      <c r="M304" s="4" t="s">
        <v>680</v>
      </c>
      <c r="N304" s="5">
        <v>458.88</v>
      </c>
      <c r="O304" s="6">
        <v>1</v>
      </c>
      <c r="P304" s="7">
        <v>0</v>
      </c>
      <c r="Q304" s="18">
        <v>81.2</v>
      </c>
      <c r="R304" s="45" t="str">
        <f t="shared" si="16"/>
        <v>OK</v>
      </c>
      <c r="S304" s="45">
        <f t="shared" si="17"/>
        <v>681.33444444444444</v>
      </c>
      <c r="T304" s="45">
        <f t="shared" si="18"/>
        <v>9</v>
      </c>
      <c r="U304" s="45">
        <f t="shared" si="19"/>
        <v>6132.01</v>
      </c>
    </row>
    <row r="305" spans="1:21" x14ac:dyDescent="0.3">
      <c r="A305" s="16" t="s">
        <v>264</v>
      </c>
      <c r="B305" s="31">
        <v>44639</v>
      </c>
      <c r="C305" s="31">
        <v>44642</v>
      </c>
      <c r="D305" s="2" t="s">
        <v>39</v>
      </c>
      <c r="E305" s="2" t="s">
        <v>265</v>
      </c>
      <c r="F305" s="4" t="s">
        <v>266</v>
      </c>
      <c r="G305" s="4" t="s">
        <v>21</v>
      </c>
      <c r="H305" s="4" t="s">
        <v>171</v>
      </c>
      <c r="I305" s="4" t="s">
        <v>172</v>
      </c>
      <c r="J305" s="4" t="s">
        <v>24</v>
      </c>
      <c r="K305" s="4" t="s">
        <v>45</v>
      </c>
      <c r="L305" s="4" t="s">
        <v>117</v>
      </c>
      <c r="M305" s="4" t="s">
        <v>267</v>
      </c>
      <c r="N305" s="5">
        <v>511.68</v>
      </c>
      <c r="O305" s="6">
        <v>4</v>
      </c>
      <c r="P305" s="7">
        <v>0</v>
      </c>
      <c r="Q305" s="18">
        <v>134.91</v>
      </c>
      <c r="R305" s="45" t="str">
        <f t="shared" si="16"/>
        <v>OK</v>
      </c>
      <c r="S305" s="45">
        <f t="shared" si="17"/>
        <v>681.33444444444444</v>
      </c>
      <c r="T305" s="45">
        <f t="shared" si="18"/>
        <v>9</v>
      </c>
      <c r="U305" s="45">
        <f t="shared" si="19"/>
        <v>6132.01</v>
      </c>
    </row>
    <row r="306" spans="1:21" x14ac:dyDescent="0.3">
      <c r="A306" s="16" t="s">
        <v>1577</v>
      </c>
      <c r="B306" s="31">
        <v>44639</v>
      </c>
      <c r="C306" s="31">
        <v>44641</v>
      </c>
      <c r="D306" s="2" t="s">
        <v>18</v>
      </c>
      <c r="E306" s="2" t="s">
        <v>1578</v>
      </c>
      <c r="F306" s="4" t="s">
        <v>1579</v>
      </c>
      <c r="G306" s="4" t="s">
        <v>51</v>
      </c>
      <c r="H306" s="4" t="s">
        <v>207</v>
      </c>
      <c r="I306" s="4" t="s">
        <v>60</v>
      </c>
      <c r="J306" s="4" t="s">
        <v>54</v>
      </c>
      <c r="K306" s="4" t="s">
        <v>45</v>
      </c>
      <c r="L306" s="4" t="s">
        <v>46</v>
      </c>
      <c r="M306" s="4" t="s">
        <v>1580</v>
      </c>
      <c r="N306" s="5">
        <v>740.69</v>
      </c>
      <c r="O306" s="6">
        <v>1</v>
      </c>
      <c r="P306" s="7">
        <v>0.05</v>
      </c>
      <c r="Q306" s="18">
        <v>294.64</v>
      </c>
      <c r="R306" s="45" t="str">
        <f t="shared" si="16"/>
        <v>OK</v>
      </c>
      <c r="S306" s="45">
        <f t="shared" si="17"/>
        <v>681.33444444444444</v>
      </c>
      <c r="T306" s="45">
        <f t="shared" si="18"/>
        <v>9</v>
      </c>
      <c r="U306" s="45">
        <f t="shared" si="19"/>
        <v>6132.01</v>
      </c>
    </row>
    <row r="307" spans="1:21" x14ac:dyDescent="0.3">
      <c r="A307" s="17" t="s">
        <v>1904</v>
      </c>
      <c r="B307" s="32">
        <v>44640</v>
      </c>
      <c r="C307" s="32">
        <v>44642</v>
      </c>
      <c r="D307" s="8" t="s">
        <v>18</v>
      </c>
      <c r="E307" s="8" t="s">
        <v>817</v>
      </c>
      <c r="F307" s="10" t="s">
        <v>818</v>
      </c>
      <c r="G307" s="10" t="s">
        <v>42</v>
      </c>
      <c r="H307" s="10" t="s">
        <v>98</v>
      </c>
      <c r="I307" s="10" t="s">
        <v>80</v>
      </c>
      <c r="J307" s="10" t="s">
        <v>54</v>
      </c>
      <c r="K307" s="10" t="s">
        <v>25</v>
      </c>
      <c r="L307" s="10" t="s">
        <v>124</v>
      </c>
      <c r="M307" s="10" t="s">
        <v>1905</v>
      </c>
      <c r="N307" s="11">
        <v>3905.75</v>
      </c>
      <c r="O307" s="12">
        <v>9</v>
      </c>
      <c r="P307" s="13">
        <v>0.3</v>
      </c>
      <c r="Q307" s="19">
        <v>-602.33000000000004</v>
      </c>
      <c r="R307" s="45" t="str">
        <f t="shared" si="16"/>
        <v>OK</v>
      </c>
      <c r="S307" s="45">
        <f t="shared" si="17"/>
        <v>681.33444444444444</v>
      </c>
      <c r="T307" s="45">
        <f t="shared" si="18"/>
        <v>9</v>
      </c>
      <c r="U307" s="45">
        <f t="shared" si="19"/>
        <v>6132.01</v>
      </c>
    </row>
    <row r="308" spans="1:21" x14ac:dyDescent="0.3">
      <c r="A308" s="16" t="s">
        <v>1571</v>
      </c>
      <c r="B308" s="31">
        <v>44648</v>
      </c>
      <c r="C308" s="31">
        <v>44650</v>
      </c>
      <c r="D308" s="2" t="s">
        <v>39</v>
      </c>
      <c r="E308" s="2" t="s">
        <v>547</v>
      </c>
      <c r="F308" s="4" t="s">
        <v>548</v>
      </c>
      <c r="G308" s="4" t="s">
        <v>51</v>
      </c>
      <c r="H308" s="4" t="s">
        <v>156</v>
      </c>
      <c r="I308" s="4" t="s">
        <v>157</v>
      </c>
      <c r="J308" s="4" t="s">
        <v>88</v>
      </c>
      <c r="K308" s="4" t="s">
        <v>25</v>
      </c>
      <c r="L308" s="4" t="s">
        <v>74</v>
      </c>
      <c r="M308" s="4" t="s">
        <v>1572</v>
      </c>
      <c r="N308" s="5">
        <v>406.3</v>
      </c>
      <c r="O308" s="6">
        <v>2</v>
      </c>
      <c r="P308" s="7">
        <v>0.5</v>
      </c>
      <c r="Q308" s="18">
        <v>-36.520000000000003</v>
      </c>
      <c r="R308" s="45" t="str">
        <f t="shared" si="16"/>
        <v>OK</v>
      </c>
      <c r="S308" s="45">
        <f t="shared" si="17"/>
        <v>681.33444444444444</v>
      </c>
      <c r="T308" s="45">
        <f t="shared" si="18"/>
        <v>9</v>
      </c>
      <c r="U308" s="45">
        <f t="shared" si="19"/>
        <v>6132.01</v>
      </c>
    </row>
    <row r="309" spans="1:21" x14ac:dyDescent="0.3">
      <c r="A309" s="16" t="s">
        <v>1597</v>
      </c>
      <c r="B309" s="31">
        <v>44648</v>
      </c>
      <c r="C309" s="31">
        <v>44652</v>
      </c>
      <c r="D309" s="2" t="s">
        <v>73</v>
      </c>
      <c r="E309" s="2" t="s">
        <v>614</v>
      </c>
      <c r="F309" s="4" t="s">
        <v>615</v>
      </c>
      <c r="G309" s="4" t="s">
        <v>21</v>
      </c>
      <c r="H309" s="4" t="s">
        <v>139</v>
      </c>
      <c r="I309" s="4" t="s">
        <v>140</v>
      </c>
      <c r="J309" s="4" t="s">
        <v>24</v>
      </c>
      <c r="K309" s="4" t="s">
        <v>35</v>
      </c>
      <c r="L309" s="4" t="s">
        <v>166</v>
      </c>
      <c r="M309" s="4" t="s">
        <v>1598</v>
      </c>
      <c r="N309" s="5">
        <v>88.74</v>
      </c>
      <c r="O309" s="6">
        <v>1</v>
      </c>
      <c r="P309" s="7">
        <v>0</v>
      </c>
      <c r="Q309" s="18">
        <v>19.829999999999998</v>
      </c>
      <c r="R309" s="45" t="str">
        <f t="shared" si="16"/>
        <v>OK</v>
      </c>
      <c r="S309" s="45">
        <f t="shared" si="17"/>
        <v>681.33444444444444</v>
      </c>
      <c r="T309" s="45">
        <f t="shared" si="18"/>
        <v>9</v>
      </c>
      <c r="U309" s="45">
        <f t="shared" si="19"/>
        <v>6132.01</v>
      </c>
    </row>
    <row r="310" spans="1:21" x14ac:dyDescent="0.3">
      <c r="A310" s="16" t="s">
        <v>2464</v>
      </c>
      <c r="B310" s="31">
        <v>44649</v>
      </c>
      <c r="C310" s="31">
        <v>44651</v>
      </c>
      <c r="D310" s="2" t="s">
        <v>39</v>
      </c>
      <c r="E310" s="2" t="s">
        <v>1236</v>
      </c>
      <c r="F310" s="4" t="s">
        <v>1237</v>
      </c>
      <c r="G310" s="4" t="s">
        <v>51</v>
      </c>
      <c r="H310" s="4" t="s">
        <v>300</v>
      </c>
      <c r="I310" s="4" t="s">
        <v>184</v>
      </c>
      <c r="J310" s="4" t="s">
        <v>54</v>
      </c>
      <c r="K310" s="4" t="s">
        <v>25</v>
      </c>
      <c r="L310" s="4" t="s">
        <v>26</v>
      </c>
      <c r="M310" s="4" t="s">
        <v>2465</v>
      </c>
      <c r="N310" s="5">
        <v>4875.3900000000003</v>
      </c>
      <c r="O310" s="6">
        <v>9</v>
      </c>
      <c r="P310" s="7">
        <v>0</v>
      </c>
      <c r="Q310" s="18">
        <v>1239.55</v>
      </c>
      <c r="R310" s="45" t="str">
        <f t="shared" si="16"/>
        <v>OK</v>
      </c>
      <c r="S310" s="45">
        <f t="shared" si="17"/>
        <v>681.33444444444444</v>
      </c>
      <c r="T310" s="45">
        <f t="shared" si="18"/>
        <v>9</v>
      </c>
      <c r="U310" s="45">
        <f t="shared" si="19"/>
        <v>6132.01</v>
      </c>
    </row>
    <row r="311" spans="1:21" x14ac:dyDescent="0.3">
      <c r="A311" s="17" t="s">
        <v>1657</v>
      </c>
      <c r="B311" s="32">
        <v>44650</v>
      </c>
      <c r="C311" s="32">
        <v>44656</v>
      </c>
      <c r="D311" s="8" t="s">
        <v>29</v>
      </c>
      <c r="E311" s="8" t="s">
        <v>457</v>
      </c>
      <c r="F311" s="10" t="s">
        <v>458</v>
      </c>
      <c r="G311" s="10" t="s">
        <v>51</v>
      </c>
      <c r="H311" s="10" t="s">
        <v>459</v>
      </c>
      <c r="I311" s="10" t="s">
        <v>460</v>
      </c>
      <c r="J311" s="10" t="s">
        <v>54</v>
      </c>
      <c r="K311" s="10" t="s">
        <v>25</v>
      </c>
      <c r="L311" s="10" t="s">
        <v>68</v>
      </c>
      <c r="M311" s="10" t="s">
        <v>1658</v>
      </c>
      <c r="N311" s="11">
        <v>192.15</v>
      </c>
      <c r="O311" s="12">
        <v>6</v>
      </c>
      <c r="P311" s="13">
        <v>0.05</v>
      </c>
      <c r="Q311" s="19">
        <v>72.59</v>
      </c>
      <c r="R311" s="45" t="str">
        <f t="shared" si="16"/>
        <v>OK</v>
      </c>
      <c r="S311" s="45">
        <f t="shared" si="17"/>
        <v>681.33444444444444</v>
      </c>
      <c r="T311" s="45">
        <f t="shared" si="18"/>
        <v>9</v>
      </c>
      <c r="U311" s="45">
        <f t="shared" si="19"/>
        <v>6132.01</v>
      </c>
    </row>
    <row r="312" spans="1:21" x14ac:dyDescent="0.3">
      <c r="A312" s="17" t="s">
        <v>1086</v>
      </c>
      <c r="B312" s="32">
        <v>44653</v>
      </c>
      <c r="C312" s="32">
        <v>44655</v>
      </c>
      <c r="D312" s="8" t="s">
        <v>18</v>
      </c>
      <c r="E312" s="8" t="s">
        <v>227</v>
      </c>
      <c r="F312" s="10" t="s">
        <v>228</v>
      </c>
      <c r="G312" s="10" t="s">
        <v>51</v>
      </c>
      <c r="H312" s="10" t="s">
        <v>98</v>
      </c>
      <c r="I312" s="10" t="s">
        <v>80</v>
      </c>
      <c r="J312" s="10" t="s">
        <v>54</v>
      </c>
      <c r="K312" s="10" t="s">
        <v>45</v>
      </c>
      <c r="L312" s="10" t="s">
        <v>99</v>
      </c>
      <c r="M312" s="10" t="s">
        <v>1087</v>
      </c>
      <c r="N312" s="11">
        <v>651.28</v>
      </c>
      <c r="O312" s="12">
        <v>10</v>
      </c>
      <c r="P312" s="13">
        <v>0.2</v>
      </c>
      <c r="Q312" s="19">
        <v>51.6</v>
      </c>
      <c r="R312" s="45" t="str">
        <f t="shared" si="16"/>
        <v>OK</v>
      </c>
      <c r="S312" s="45">
        <f t="shared" si="17"/>
        <v>681.33444444444444</v>
      </c>
      <c r="T312" s="45">
        <f t="shared" si="18"/>
        <v>9</v>
      </c>
      <c r="U312" s="45">
        <f t="shared" si="19"/>
        <v>6132.01</v>
      </c>
    </row>
    <row r="313" spans="1:21" x14ac:dyDescent="0.3">
      <c r="A313" s="16" t="s">
        <v>1544</v>
      </c>
      <c r="B313" s="31">
        <v>44655</v>
      </c>
      <c r="C313" s="31">
        <v>44659</v>
      </c>
      <c r="D313" s="2" t="s">
        <v>39</v>
      </c>
      <c r="E313" s="2" t="s">
        <v>717</v>
      </c>
      <c r="F313" s="4" t="s">
        <v>718</v>
      </c>
      <c r="G313" s="4" t="s">
        <v>51</v>
      </c>
      <c r="H313" s="4" t="s">
        <v>86</v>
      </c>
      <c r="I313" s="4" t="s">
        <v>87</v>
      </c>
      <c r="J313" s="4" t="s">
        <v>88</v>
      </c>
      <c r="K313" s="4" t="s">
        <v>35</v>
      </c>
      <c r="L313" s="4" t="s">
        <v>36</v>
      </c>
      <c r="M313" s="4" t="s">
        <v>1545</v>
      </c>
      <c r="N313" s="5">
        <v>832.5</v>
      </c>
      <c r="O313" s="6">
        <v>9</v>
      </c>
      <c r="P313" s="7">
        <v>0.5</v>
      </c>
      <c r="Q313" s="18">
        <v>-192.81</v>
      </c>
      <c r="R313" s="45" t="str">
        <f t="shared" si="16"/>
        <v>OK</v>
      </c>
      <c r="S313" s="45">
        <f t="shared" si="17"/>
        <v>681.33444444444444</v>
      </c>
      <c r="T313" s="45">
        <f t="shared" si="18"/>
        <v>9</v>
      </c>
      <c r="U313" s="45">
        <f t="shared" si="19"/>
        <v>6132.01</v>
      </c>
    </row>
    <row r="314" spans="1:21" x14ac:dyDescent="0.3">
      <c r="A314" s="17" t="s">
        <v>2094</v>
      </c>
      <c r="B314" s="32">
        <v>44655</v>
      </c>
      <c r="C314" s="32">
        <v>44660</v>
      </c>
      <c r="D314" s="8" t="s">
        <v>73</v>
      </c>
      <c r="E314" s="8" t="s">
        <v>476</v>
      </c>
      <c r="F314" s="10" t="s">
        <v>477</v>
      </c>
      <c r="G314" s="10" t="s">
        <v>42</v>
      </c>
      <c r="H314" s="10" t="s">
        <v>150</v>
      </c>
      <c r="I314" s="10" t="s">
        <v>151</v>
      </c>
      <c r="J314" s="10" t="s">
        <v>34</v>
      </c>
      <c r="K314" s="10" t="s">
        <v>25</v>
      </c>
      <c r="L314" s="10" t="s">
        <v>74</v>
      </c>
      <c r="M314" s="10" t="s">
        <v>2095</v>
      </c>
      <c r="N314" s="11">
        <v>367.12</v>
      </c>
      <c r="O314" s="12">
        <v>5</v>
      </c>
      <c r="P314" s="13">
        <v>0.3</v>
      </c>
      <c r="Q314" s="19">
        <v>44.43</v>
      </c>
      <c r="R314" s="45" t="str">
        <f t="shared" si="16"/>
        <v>OK</v>
      </c>
      <c r="S314" s="45">
        <f t="shared" si="17"/>
        <v>681.33444444444444</v>
      </c>
      <c r="T314" s="45">
        <f t="shared" si="18"/>
        <v>9</v>
      </c>
      <c r="U314" s="45">
        <f t="shared" si="19"/>
        <v>6132.01</v>
      </c>
    </row>
    <row r="315" spans="1:21" x14ac:dyDescent="0.3">
      <c r="A315" s="17" t="s">
        <v>972</v>
      </c>
      <c r="B315" s="32">
        <v>44656</v>
      </c>
      <c r="C315" s="32">
        <v>44659</v>
      </c>
      <c r="D315" s="8" t="s">
        <v>73</v>
      </c>
      <c r="E315" s="8" t="s">
        <v>533</v>
      </c>
      <c r="F315" s="10" t="s">
        <v>534</v>
      </c>
      <c r="G315" s="10" t="s">
        <v>42</v>
      </c>
      <c r="H315" s="10" t="s">
        <v>145</v>
      </c>
      <c r="I315" s="10" t="s">
        <v>140</v>
      </c>
      <c r="J315" s="10" t="s">
        <v>24</v>
      </c>
      <c r="K315" s="10" t="s">
        <v>35</v>
      </c>
      <c r="L315" s="10" t="s">
        <v>110</v>
      </c>
      <c r="M315" s="10" t="s">
        <v>973</v>
      </c>
      <c r="N315" s="11">
        <v>73.2</v>
      </c>
      <c r="O315" s="12">
        <v>3</v>
      </c>
      <c r="P315" s="13">
        <v>0.2</v>
      </c>
      <c r="Q315" s="19">
        <v>29.92</v>
      </c>
      <c r="R315" s="45" t="str">
        <f t="shared" si="16"/>
        <v>OK</v>
      </c>
      <c r="S315" s="45">
        <f t="shared" si="17"/>
        <v>681.33444444444444</v>
      </c>
      <c r="T315" s="45">
        <f t="shared" si="18"/>
        <v>9</v>
      </c>
      <c r="U315" s="45">
        <f t="shared" si="19"/>
        <v>6132.01</v>
      </c>
    </row>
    <row r="316" spans="1:21" x14ac:dyDescent="0.3">
      <c r="A316" s="17" t="s">
        <v>1915</v>
      </c>
      <c r="B316" s="32">
        <v>44656</v>
      </c>
      <c r="C316" s="32">
        <v>44660</v>
      </c>
      <c r="D316" s="8" t="s">
        <v>73</v>
      </c>
      <c r="E316" s="8" t="s">
        <v>1219</v>
      </c>
      <c r="F316" s="10" t="s">
        <v>1220</v>
      </c>
      <c r="G316" s="10" t="s">
        <v>21</v>
      </c>
      <c r="H316" s="10" t="s">
        <v>438</v>
      </c>
      <c r="I316" s="10" t="s">
        <v>157</v>
      </c>
      <c r="J316" s="10" t="s">
        <v>88</v>
      </c>
      <c r="K316" s="10" t="s">
        <v>35</v>
      </c>
      <c r="L316" s="10" t="s">
        <v>89</v>
      </c>
      <c r="M316" s="10" t="s">
        <v>1916</v>
      </c>
      <c r="N316" s="11">
        <v>114.07</v>
      </c>
      <c r="O316" s="12">
        <v>7</v>
      </c>
      <c r="P316" s="13">
        <v>0.2</v>
      </c>
      <c r="Q316" s="19">
        <v>22.66</v>
      </c>
      <c r="R316" s="45" t="str">
        <f t="shared" si="16"/>
        <v>OK</v>
      </c>
      <c r="S316" s="45">
        <f t="shared" si="17"/>
        <v>681.33444444444444</v>
      </c>
      <c r="T316" s="45">
        <f t="shared" si="18"/>
        <v>9</v>
      </c>
      <c r="U316" s="45">
        <f t="shared" si="19"/>
        <v>6132.01</v>
      </c>
    </row>
    <row r="317" spans="1:21" x14ac:dyDescent="0.3">
      <c r="A317" s="17" t="s">
        <v>1872</v>
      </c>
      <c r="B317" s="32">
        <v>44659</v>
      </c>
      <c r="C317" s="32">
        <v>44660</v>
      </c>
      <c r="D317" s="8" t="s">
        <v>18</v>
      </c>
      <c r="E317" s="8" t="s">
        <v>426</v>
      </c>
      <c r="F317" s="10" t="s">
        <v>427</v>
      </c>
      <c r="G317" s="10" t="s">
        <v>42</v>
      </c>
      <c r="H317" s="10" t="s">
        <v>412</v>
      </c>
      <c r="I317" s="10" t="s">
        <v>178</v>
      </c>
      <c r="J317" s="10" t="s">
        <v>24</v>
      </c>
      <c r="K317" s="10" t="s">
        <v>45</v>
      </c>
      <c r="L317" s="10" t="s">
        <v>99</v>
      </c>
      <c r="M317" s="10" t="s">
        <v>1873</v>
      </c>
      <c r="N317" s="11">
        <v>255.4</v>
      </c>
      <c r="O317" s="12">
        <v>10</v>
      </c>
      <c r="P317" s="13">
        <v>0</v>
      </c>
      <c r="Q317" s="19">
        <v>61.69</v>
      </c>
      <c r="R317" s="45" t="str">
        <f t="shared" si="16"/>
        <v>OK</v>
      </c>
      <c r="S317" s="45">
        <f t="shared" si="17"/>
        <v>681.33444444444444</v>
      </c>
      <c r="T317" s="45">
        <f t="shared" si="18"/>
        <v>9</v>
      </c>
      <c r="U317" s="45">
        <f t="shared" si="19"/>
        <v>6132.01</v>
      </c>
    </row>
    <row r="318" spans="1:21" x14ac:dyDescent="0.3">
      <c r="A318" s="17" t="s">
        <v>635</v>
      </c>
      <c r="B318" s="32">
        <v>44665</v>
      </c>
      <c r="C318" s="32">
        <v>44666</v>
      </c>
      <c r="D318" s="8" t="s">
        <v>18</v>
      </c>
      <c r="E318" s="8" t="s">
        <v>240</v>
      </c>
      <c r="F318" s="10" t="s">
        <v>241</v>
      </c>
      <c r="G318" s="10" t="s">
        <v>42</v>
      </c>
      <c r="H318" s="10" t="s">
        <v>115</v>
      </c>
      <c r="I318" s="10" t="s">
        <v>116</v>
      </c>
      <c r="J318" s="10" t="s">
        <v>54</v>
      </c>
      <c r="K318" s="10" t="s">
        <v>45</v>
      </c>
      <c r="L318" s="10" t="s">
        <v>99</v>
      </c>
      <c r="M318" s="10" t="s">
        <v>636</v>
      </c>
      <c r="N318" s="11">
        <v>1156.75</v>
      </c>
      <c r="O318" s="12">
        <v>7</v>
      </c>
      <c r="P318" s="13">
        <v>0</v>
      </c>
      <c r="Q318" s="19">
        <v>374.29</v>
      </c>
      <c r="R318" s="45" t="str">
        <f t="shared" si="16"/>
        <v>OK</v>
      </c>
      <c r="S318" s="45">
        <f t="shared" si="17"/>
        <v>681.33444444444444</v>
      </c>
      <c r="T318" s="45">
        <f t="shared" si="18"/>
        <v>9</v>
      </c>
      <c r="U318" s="45">
        <f t="shared" si="19"/>
        <v>6132.01</v>
      </c>
    </row>
    <row r="319" spans="1:21" x14ac:dyDescent="0.3">
      <c r="A319" s="16" t="s">
        <v>316</v>
      </c>
      <c r="B319" s="31">
        <v>44668</v>
      </c>
      <c r="C319" s="31">
        <v>44669</v>
      </c>
      <c r="D319" s="2" t="s">
        <v>18</v>
      </c>
      <c r="E319" s="2" t="s">
        <v>317</v>
      </c>
      <c r="F319" s="4" t="s">
        <v>318</v>
      </c>
      <c r="G319" s="4" t="s">
        <v>21</v>
      </c>
      <c r="H319" s="4" t="s">
        <v>319</v>
      </c>
      <c r="I319" s="4" t="s">
        <v>194</v>
      </c>
      <c r="J319" s="4" t="s">
        <v>34</v>
      </c>
      <c r="K319" s="4" t="s">
        <v>35</v>
      </c>
      <c r="L319" s="4" t="s">
        <v>166</v>
      </c>
      <c r="M319" s="4" t="s">
        <v>320</v>
      </c>
      <c r="N319" s="5">
        <v>391.67</v>
      </c>
      <c r="O319" s="6">
        <v>9</v>
      </c>
      <c r="P319" s="7">
        <v>0.3</v>
      </c>
      <c r="Q319" s="18">
        <v>-2.91</v>
      </c>
      <c r="R319" s="45" t="str">
        <f t="shared" si="16"/>
        <v>OK</v>
      </c>
      <c r="S319" s="45">
        <f t="shared" si="17"/>
        <v>681.33444444444444</v>
      </c>
      <c r="T319" s="45">
        <f t="shared" si="18"/>
        <v>9</v>
      </c>
      <c r="U319" s="45">
        <f t="shared" si="19"/>
        <v>6132.01</v>
      </c>
    </row>
    <row r="320" spans="1:21" x14ac:dyDescent="0.3">
      <c r="A320" s="16" t="s">
        <v>1585</v>
      </c>
      <c r="B320" s="31">
        <v>44668</v>
      </c>
      <c r="C320" s="31">
        <v>44674</v>
      </c>
      <c r="D320" s="2" t="s">
        <v>29</v>
      </c>
      <c r="E320" s="2" t="s">
        <v>223</v>
      </c>
      <c r="F320" s="4" t="s">
        <v>224</v>
      </c>
      <c r="G320" s="4" t="s">
        <v>21</v>
      </c>
      <c r="H320" s="4" t="s">
        <v>59</v>
      </c>
      <c r="I320" s="4" t="s">
        <v>60</v>
      </c>
      <c r="J320" s="4" t="s">
        <v>54</v>
      </c>
      <c r="K320" s="4" t="s">
        <v>45</v>
      </c>
      <c r="L320" s="4" t="s">
        <v>117</v>
      </c>
      <c r="M320" s="4" t="s">
        <v>1586</v>
      </c>
      <c r="N320" s="5">
        <v>1621.86</v>
      </c>
      <c r="O320" s="6">
        <v>5</v>
      </c>
      <c r="P320" s="7">
        <v>0.3</v>
      </c>
      <c r="Q320" s="18">
        <v>-53.32</v>
      </c>
      <c r="R320" s="45" t="str">
        <f t="shared" si="16"/>
        <v>OK</v>
      </c>
      <c r="S320" s="45">
        <f t="shared" si="17"/>
        <v>681.33444444444444</v>
      </c>
      <c r="T320" s="45">
        <f t="shared" si="18"/>
        <v>9</v>
      </c>
      <c r="U320" s="45">
        <f t="shared" si="19"/>
        <v>6132.01</v>
      </c>
    </row>
    <row r="321" spans="1:21" x14ac:dyDescent="0.3">
      <c r="A321" s="16" t="s">
        <v>2213</v>
      </c>
      <c r="B321" s="31">
        <v>44671</v>
      </c>
      <c r="C321" s="31">
        <v>44674</v>
      </c>
      <c r="D321" s="2" t="s">
        <v>18</v>
      </c>
      <c r="E321" s="2" t="s">
        <v>265</v>
      </c>
      <c r="F321" s="4" t="s">
        <v>266</v>
      </c>
      <c r="G321" s="4" t="s">
        <v>21</v>
      </c>
      <c r="H321" s="4" t="s">
        <v>171</v>
      </c>
      <c r="I321" s="4" t="s">
        <v>172</v>
      </c>
      <c r="J321" s="4" t="s">
        <v>24</v>
      </c>
      <c r="K321" s="4" t="s">
        <v>35</v>
      </c>
      <c r="L321" s="4" t="s">
        <v>89</v>
      </c>
      <c r="M321" s="4" t="s">
        <v>2214</v>
      </c>
      <c r="N321" s="5">
        <v>780.14</v>
      </c>
      <c r="O321" s="6">
        <v>3</v>
      </c>
      <c r="P321" s="7">
        <v>0.1</v>
      </c>
      <c r="Q321" s="18">
        <v>273.14999999999998</v>
      </c>
      <c r="R321" s="45" t="str">
        <f t="shared" si="16"/>
        <v>OK</v>
      </c>
      <c r="S321" s="45">
        <f t="shared" si="17"/>
        <v>681.33444444444444</v>
      </c>
      <c r="T321" s="45">
        <f t="shared" si="18"/>
        <v>9</v>
      </c>
      <c r="U321" s="45">
        <f t="shared" si="19"/>
        <v>6132.01</v>
      </c>
    </row>
    <row r="322" spans="1:21" x14ac:dyDescent="0.3">
      <c r="A322" s="16" t="s">
        <v>1925</v>
      </c>
      <c r="B322" s="31">
        <v>44673</v>
      </c>
      <c r="C322" s="31">
        <v>44675</v>
      </c>
      <c r="D322" s="2" t="s">
        <v>18</v>
      </c>
      <c r="E322" s="2" t="s">
        <v>1926</v>
      </c>
      <c r="F322" s="4" t="s">
        <v>1927</v>
      </c>
      <c r="G322" s="4" t="s">
        <v>51</v>
      </c>
      <c r="H322" s="4" t="s">
        <v>145</v>
      </c>
      <c r="I322" s="4" t="s">
        <v>140</v>
      </c>
      <c r="J322" s="4" t="s">
        <v>24</v>
      </c>
      <c r="K322" s="4" t="s">
        <v>25</v>
      </c>
      <c r="L322" s="4" t="s">
        <v>26</v>
      </c>
      <c r="M322" s="4" t="s">
        <v>1928</v>
      </c>
      <c r="N322" s="5">
        <v>1576.15</v>
      </c>
      <c r="O322" s="6">
        <v>10</v>
      </c>
      <c r="P322" s="7">
        <v>0.5</v>
      </c>
      <c r="Q322" s="18">
        <v>-900.11</v>
      </c>
      <c r="R322" s="45" t="str">
        <f t="shared" ref="R322:R385" si="20">IF(C322&lt;B322,"Error","OK")</f>
        <v>OK</v>
      </c>
      <c r="S322" s="45">
        <f t="shared" ref="S322:S385" si="21">AVERAGEIF(E322:E1320,"CU-1057",N322:N1320)</f>
        <v>681.33444444444444</v>
      </c>
      <c r="T322" s="45">
        <f t="shared" ref="T322:T385" si="22">COUNTIF(E322:E1320,"CU-1057")</f>
        <v>9</v>
      </c>
      <c r="U322" s="45">
        <f t="shared" ref="U322:U385" si="23">SUMIF(E322:E1320,"CU-1057",N322:N1320)</f>
        <v>6132.01</v>
      </c>
    </row>
    <row r="323" spans="1:21" x14ac:dyDescent="0.3">
      <c r="A323" s="16" t="s">
        <v>1552</v>
      </c>
      <c r="B323" s="31">
        <v>44674</v>
      </c>
      <c r="C323" s="31">
        <v>44679</v>
      </c>
      <c r="D323" s="2" t="s">
        <v>29</v>
      </c>
      <c r="E323" s="2" t="s">
        <v>96</v>
      </c>
      <c r="F323" s="4" t="s">
        <v>97</v>
      </c>
      <c r="G323" s="4" t="s">
        <v>21</v>
      </c>
      <c r="H323" s="4" t="s">
        <v>98</v>
      </c>
      <c r="I323" s="4" t="s">
        <v>80</v>
      </c>
      <c r="J323" s="4" t="s">
        <v>54</v>
      </c>
      <c r="K323" s="4" t="s">
        <v>25</v>
      </c>
      <c r="L323" s="4" t="s">
        <v>74</v>
      </c>
      <c r="M323" s="4" t="s">
        <v>1553</v>
      </c>
      <c r="N323" s="5">
        <v>6784.83</v>
      </c>
      <c r="O323" s="6">
        <v>9</v>
      </c>
      <c r="P323" s="7">
        <v>0</v>
      </c>
      <c r="Q323" s="18">
        <v>2316.56</v>
      </c>
      <c r="R323" s="45" t="str">
        <f t="shared" si="20"/>
        <v>OK</v>
      </c>
      <c r="S323" s="45">
        <f t="shared" si="21"/>
        <v>681.33444444444444</v>
      </c>
      <c r="T323" s="45">
        <f t="shared" si="22"/>
        <v>9</v>
      </c>
      <c r="U323" s="45">
        <f t="shared" si="23"/>
        <v>6132.01</v>
      </c>
    </row>
    <row r="324" spans="1:21" x14ac:dyDescent="0.3">
      <c r="A324" s="17" t="s">
        <v>1171</v>
      </c>
      <c r="B324" s="32">
        <v>44677</v>
      </c>
      <c r="C324" s="32">
        <v>44679</v>
      </c>
      <c r="D324" s="8" t="s">
        <v>18</v>
      </c>
      <c r="E324" s="8" t="s">
        <v>537</v>
      </c>
      <c r="F324" s="10" t="s">
        <v>538</v>
      </c>
      <c r="G324" s="10" t="s">
        <v>42</v>
      </c>
      <c r="H324" s="10" t="s">
        <v>115</v>
      </c>
      <c r="I324" s="10" t="s">
        <v>116</v>
      </c>
      <c r="J324" s="10" t="s">
        <v>54</v>
      </c>
      <c r="K324" s="10" t="s">
        <v>25</v>
      </c>
      <c r="L324" s="10" t="s">
        <v>26</v>
      </c>
      <c r="M324" s="10" t="s">
        <v>1172</v>
      </c>
      <c r="N324" s="11">
        <v>2566.35</v>
      </c>
      <c r="O324" s="12">
        <v>9</v>
      </c>
      <c r="P324" s="13">
        <v>0</v>
      </c>
      <c r="Q324" s="19">
        <v>697.18</v>
      </c>
      <c r="R324" s="45" t="str">
        <f t="shared" si="20"/>
        <v>OK</v>
      </c>
      <c r="S324" s="45">
        <f t="shared" si="21"/>
        <v>681.33444444444444</v>
      </c>
      <c r="T324" s="45">
        <f t="shared" si="22"/>
        <v>9</v>
      </c>
      <c r="U324" s="45">
        <f t="shared" si="23"/>
        <v>6132.01</v>
      </c>
    </row>
    <row r="325" spans="1:21" x14ac:dyDescent="0.3">
      <c r="A325" s="16" t="s">
        <v>1129</v>
      </c>
      <c r="B325" s="31">
        <v>44678</v>
      </c>
      <c r="C325" s="31">
        <v>44684</v>
      </c>
      <c r="D325" s="2" t="s">
        <v>29</v>
      </c>
      <c r="E325" s="2" t="s">
        <v>946</v>
      </c>
      <c r="F325" s="4" t="s">
        <v>947</v>
      </c>
      <c r="G325" s="4" t="s">
        <v>21</v>
      </c>
      <c r="H325" s="4" t="s">
        <v>156</v>
      </c>
      <c r="I325" s="4" t="s">
        <v>157</v>
      </c>
      <c r="J325" s="4" t="s">
        <v>88</v>
      </c>
      <c r="K325" s="4" t="s">
        <v>35</v>
      </c>
      <c r="L325" s="4" t="s">
        <v>36</v>
      </c>
      <c r="M325" s="4" t="s">
        <v>1130</v>
      </c>
      <c r="N325" s="5">
        <v>1018.94</v>
      </c>
      <c r="O325" s="6">
        <v>9</v>
      </c>
      <c r="P325" s="7">
        <v>0.2</v>
      </c>
      <c r="Q325" s="18">
        <v>299.92</v>
      </c>
      <c r="R325" s="45" t="str">
        <f t="shared" si="20"/>
        <v>OK</v>
      </c>
      <c r="S325" s="45">
        <f t="shared" si="21"/>
        <v>681.33444444444444</v>
      </c>
      <c r="T325" s="45">
        <f t="shared" si="22"/>
        <v>9</v>
      </c>
      <c r="U325" s="45">
        <f t="shared" si="23"/>
        <v>6132.01</v>
      </c>
    </row>
    <row r="326" spans="1:21" x14ac:dyDescent="0.3">
      <c r="A326" s="16" t="s">
        <v>2268</v>
      </c>
      <c r="B326" s="31">
        <v>44678</v>
      </c>
      <c r="C326" s="31">
        <v>44681</v>
      </c>
      <c r="D326" s="2" t="s">
        <v>18</v>
      </c>
      <c r="E326" s="2" t="s">
        <v>163</v>
      </c>
      <c r="F326" s="4" t="s">
        <v>164</v>
      </c>
      <c r="G326" s="4" t="s">
        <v>21</v>
      </c>
      <c r="H326" s="4" t="s">
        <v>165</v>
      </c>
      <c r="I326" s="4" t="s">
        <v>44</v>
      </c>
      <c r="J326" s="4" t="s">
        <v>24</v>
      </c>
      <c r="K326" s="4" t="s">
        <v>35</v>
      </c>
      <c r="L326" s="4" t="s">
        <v>166</v>
      </c>
      <c r="M326" s="4" t="s">
        <v>2269</v>
      </c>
      <c r="N326" s="5">
        <v>175.44</v>
      </c>
      <c r="O326" s="6">
        <v>6</v>
      </c>
      <c r="P326" s="7">
        <v>0</v>
      </c>
      <c r="Q326" s="18">
        <v>65.66</v>
      </c>
      <c r="R326" s="45" t="str">
        <f t="shared" si="20"/>
        <v>OK</v>
      </c>
      <c r="S326" s="45">
        <f t="shared" si="21"/>
        <v>681.33444444444444</v>
      </c>
      <c r="T326" s="45">
        <f t="shared" si="22"/>
        <v>9</v>
      </c>
      <c r="U326" s="45">
        <f t="shared" si="23"/>
        <v>6132.01</v>
      </c>
    </row>
    <row r="327" spans="1:21" x14ac:dyDescent="0.3">
      <c r="A327" s="17" t="s">
        <v>1714</v>
      </c>
      <c r="B327" s="32">
        <v>44680</v>
      </c>
      <c r="C327" s="32">
        <v>44684</v>
      </c>
      <c r="D327" s="8" t="s">
        <v>73</v>
      </c>
      <c r="E327" s="8" t="s">
        <v>1352</v>
      </c>
      <c r="F327" s="10" t="s">
        <v>1353</v>
      </c>
      <c r="G327" s="10" t="s">
        <v>42</v>
      </c>
      <c r="H327" s="10" t="s">
        <v>207</v>
      </c>
      <c r="I327" s="10" t="s">
        <v>60</v>
      </c>
      <c r="J327" s="10" t="s">
        <v>54</v>
      </c>
      <c r="K327" s="10" t="s">
        <v>25</v>
      </c>
      <c r="L327" s="10" t="s">
        <v>68</v>
      </c>
      <c r="M327" s="10" t="s">
        <v>1715</v>
      </c>
      <c r="N327" s="11">
        <v>952.6</v>
      </c>
      <c r="O327" s="12">
        <v>10</v>
      </c>
      <c r="P327" s="13">
        <v>0</v>
      </c>
      <c r="Q327" s="19">
        <v>388.18</v>
      </c>
      <c r="R327" s="45" t="str">
        <f t="shared" si="20"/>
        <v>OK</v>
      </c>
      <c r="S327" s="45">
        <f t="shared" si="21"/>
        <v>681.33444444444444</v>
      </c>
      <c r="T327" s="45">
        <f t="shared" si="22"/>
        <v>9</v>
      </c>
      <c r="U327" s="45">
        <f t="shared" si="23"/>
        <v>6132.01</v>
      </c>
    </row>
    <row r="328" spans="1:21" x14ac:dyDescent="0.3">
      <c r="A328" s="17" t="s">
        <v>1900</v>
      </c>
      <c r="B328" s="32">
        <v>44680</v>
      </c>
      <c r="C328" s="32">
        <v>44682</v>
      </c>
      <c r="D328" s="8" t="s">
        <v>39</v>
      </c>
      <c r="E328" s="8" t="s">
        <v>426</v>
      </c>
      <c r="F328" s="10" t="s">
        <v>427</v>
      </c>
      <c r="G328" s="10" t="s">
        <v>42</v>
      </c>
      <c r="H328" s="10" t="s">
        <v>412</v>
      </c>
      <c r="I328" s="10" t="s">
        <v>178</v>
      </c>
      <c r="J328" s="10" t="s">
        <v>24</v>
      </c>
      <c r="K328" s="10" t="s">
        <v>25</v>
      </c>
      <c r="L328" s="10" t="s">
        <v>124</v>
      </c>
      <c r="M328" s="10" t="s">
        <v>1901</v>
      </c>
      <c r="N328" s="11">
        <v>1876.7</v>
      </c>
      <c r="O328" s="12">
        <v>6</v>
      </c>
      <c r="P328" s="13">
        <v>0.15</v>
      </c>
      <c r="Q328" s="19">
        <v>176.55</v>
      </c>
      <c r="R328" s="45" t="str">
        <f t="shared" si="20"/>
        <v>OK</v>
      </c>
      <c r="S328" s="45">
        <f t="shared" si="21"/>
        <v>681.33444444444444</v>
      </c>
      <c r="T328" s="45">
        <f t="shared" si="22"/>
        <v>9</v>
      </c>
      <c r="U328" s="45">
        <f t="shared" si="23"/>
        <v>6132.01</v>
      </c>
    </row>
    <row r="329" spans="1:21" x14ac:dyDescent="0.3">
      <c r="A329" s="17" t="s">
        <v>639</v>
      </c>
      <c r="B329" s="32">
        <v>44681</v>
      </c>
      <c r="C329" s="32">
        <v>44683</v>
      </c>
      <c r="D329" s="8" t="s">
        <v>18</v>
      </c>
      <c r="E329" s="8" t="s">
        <v>495</v>
      </c>
      <c r="F329" s="10" t="s">
        <v>496</v>
      </c>
      <c r="G329" s="10" t="s">
        <v>51</v>
      </c>
      <c r="H329" s="10" t="s">
        <v>497</v>
      </c>
      <c r="I329" s="10" t="s">
        <v>423</v>
      </c>
      <c r="J329" s="10" t="s">
        <v>88</v>
      </c>
      <c r="K329" s="10" t="s">
        <v>25</v>
      </c>
      <c r="L329" s="10" t="s">
        <v>74</v>
      </c>
      <c r="M329" s="10" t="s">
        <v>640</v>
      </c>
      <c r="N329" s="11">
        <v>1608.84</v>
      </c>
      <c r="O329" s="12">
        <v>6</v>
      </c>
      <c r="P329" s="13">
        <v>0</v>
      </c>
      <c r="Q329" s="19">
        <v>602.37</v>
      </c>
      <c r="R329" s="45" t="str">
        <f t="shared" si="20"/>
        <v>OK</v>
      </c>
      <c r="S329" s="45">
        <f t="shared" si="21"/>
        <v>681.33444444444444</v>
      </c>
      <c r="T329" s="45">
        <f t="shared" si="22"/>
        <v>9</v>
      </c>
      <c r="U329" s="45">
        <f t="shared" si="23"/>
        <v>6132.01</v>
      </c>
    </row>
    <row r="330" spans="1:21" x14ac:dyDescent="0.3">
      <c r="A330" s="16" t="s">
        <v>740</v>
      </c>
      <c r="B330" s="31">
        <v>44681</v>
      </c>
      <c r="C330" s="31">
        <v>44688</v>
      </c>
      <c r="D330" s="2" t="s">
        <v>29</v>
      </c>
      <c r="E330" s="2" t="s">
        <v>741</v>
      </c>
      <c r="F330" s="4" t="s">
        <v>742</v>
      </c>
      <c r="G330" s="4" t="s">
        <v>51</v>
      </c>
      <c r="H330" s="4" t="s">
        <v>260</v>
      </c>
      <c r="I330" s="4" t="s">
        <v>151</v>
      </c>
      <c r="J330" s="4" t="s">
        <v>34</v>
      </c>
      <c r="K330" s="4" t="s">
        <v>35</v>
      </c>
      <c r="L330" s="4" t="s">
        <v>81</v>
      </c>
      <c r="M330" s="4" t="s">
        <v>743</v>
      </c>
      <c r="N330" s="5">
        <v>24.52</v>
      </c>
      <c r="O330" s="6">
        <v>1</v>
      </c>
      <c r="P330" s="7">
        <v>0.15</v>
      </c>
      <c r="Q330" s="18">
        <v>10</v>
      </c>
      <c r="R330" s="45" t="str">
        <f t="shared" si="20"/>
        <v>OK</v>
      </c>
      <c r="S330" s="45">
        <f t="shared" si="21"/>
        <v>681.33444444444444</v>
      </c>
      <c r="T330" s="45">
        <f t="shared" si="22"/>
        <v>9</v>
      </c>
      <c r="U330" s="45">
        <f t="shared" si="23"/>
        <v>6132.01</v>
      </c>
    </row>
    <row r="331" spans="1:21" x14ac:dyDescent="0.3">
      <c r="A331" s="17" t="s">
        <v>675</v>
      </c>
      <c r="B331" s="32">
        <v>44684</v>
      </c>
      <c r="C331" s="32">
        <v>44686</v>
      </c>
      <c r="D331" s="8" t="s">
        <v>39</v>
      </c>
      <c r="E331" s="8" t="s">
        <v>143</v>
      </c>
      <c r="F331" s="10" t="s">
        <v>144</v>
      </c>
      <c r="G331" s="10" t="s">
        <v>21</v>
      </c>
      <c r="H331" s="10" t="s">
        <v>145</v>
      </c>
      <c r="I331" s="10" t="s">
        <v>140</v>
      </c>
      <c r="J331" s="10" t="s">
        <v>24</v>
      </c>
      <c r="K331" s="10" t="s">
        <v>25</v>
      </c>
      <c r="L331" s="10" t="s">
        <v>26</v>
      </c>
      <c r="M331" s="10" t="s">
        <v>676</v>
      </c>
      <c r="N331" s="11">
        <v>3338.72</v>
      </c>
      <c r="O331" s="12">
        <v>3</v>
      </c>
      <c r="P331" s="13">
        <v>0.05</v>
      </c>
      <c r="Q331" s="19">
        <v>782.67</v>
      </c>
      <c r="R331" s="45" t="str">
        <f t="shared" si="20"/>
        <v>OK</v>
      </c>
      <c r="S331" s="45">
        <f t="shared" si="21"/>
        <v>681.33444444444444</v>
      </c>
      <c r="T331" s="45">
        <f t="shared" si="22"/>
        <v>9</v>
      </c>
      <c r="U331" s="45">
        <f t="shared" si="23"/>
        <v>6132.01</v>
      </c>
    </row>
    <row r="332" spans="1:21" x14ac:dyDescent="0.3">
      <c r="A332" s="17" t="s">
        <v>552</v>
      </c>
      <c r="B332" s="32">
        <v>44687</v>
      </c>
      <c r="C332" s="32">
        <v>44689</v>
      </c>
      <c r="D332" s="8" t="s">
        <v>18</v>
      </c>
      <c r="E332" s="8" t="s">
        <v>553</v>
      </c>
      <c r="F332" s="10" t="s">
        <v>554</v>
      </c>
      <c r="G332" s="10" t="s">
        <v>42</v>
      </c>
      <c r="H332" s="10" t="s">
        <v>177</v>
      </c>
      <c r="I332" s="10" t="s">
        <v>178</v>
      </c>
      <c r="J332" s="10" t="s">
        <v>24</v>
      </c>
      <c r="K332" s="10" t="s">
        <v>25</v>
      </c>
      <c r="L332" s="10" t="s">
        <v>124</v>
      </c>
      <c r="M332" s="10" t="s">
        <v>555</v>
      </c>
      <c r="N332" s="11">
        <v>15335.1</v>
      </c>
      <c r="O332" s="12">
        <v>5</v>
      </c>
      <c r="P332" s="13">
        <v>0</v>
      </c>
      <c r="Q332" s="19">
        <v>3137.43</v>
      </c>
      <c r="R332" s="45" t="str">
        <f t="shared" si="20"/>
        <v>OK</v>
      </c>
      <c r="S332" s="45">
        <f t="shared" si="21"/>
        <v>681.33444444444444</v>
      </c>
      <c r="T332" s="45">
        <f t="shared" si="22"/>
        <v>9</v>
      </c>
      <c r="U332" s="45">
        <f t="shared" si="23"/>
        <v>6132.01</v>
      </c>
    </row>
    <row r="333" spans="1:21" x14ac:dyDescent="0.3">
      <c r="A333" s="16" t="s">
        <v>1640</v>
      </c>
      <c r="B333" s="31">
        <v>44692</v>
      </c>
      <c r="C333" s="31">
        <v>44697</v>
      </c>
      <c r="D333" s="2" t="s">
        <v>73</v>
      </c>
      <c r="E333" s="2" t="s">
        <v>528</v>
      </c>
      <c r="F333" s="4" t="s">
        <v>529</v>
      </c>
      <c r="G333" s="4" t="s">
        <v>51</v>
      </c>
      <c r="H333" s="4" t="s">
        <v>530</v>
      </c>
      <c r="I333" s="4" t="s">
        <v>373</v>
      </c>
      <c r="J333" s="4" t="s">
        <v>34</v>
      </c>
      <c r="K333" s="4" t="s">
        <v>45</v>
      </c>
      <c r="L333" s="4" t="s">
        <v>99</v>
      </c>
      <c r="M333" s="4" t="s">
        <v>1641</v>
      </c>
      <c r="N333" s="5">
        <v>658.22</v>
      </c>
      <c r="O333" s="6">
        <v>7</v>
      </c>
      <c r="P333" s="7">
        <v>0.3</v>
      </c>
      <c r="Q333" s="18">
        <v>-22.29</v>
      </c>
      <c r="R333" s="45" t="str">
        <f t="shared" si="20"/>
        <v>OK</v>
      </c>
      <c r="S333" s="45">
        <f t="shared" si="21"/>
        <v>681.33444444444444</v>
      </c>
      <c r="T333" s="45">
        <f t="shared" si="22"/>
        <v>9</v>
      </c>
      <c r="U333" s="45">
        <f t="shared" si="23"/>
        <v>6132.01</v>
      </c>
    </row>
    <row r="334" spans="1:21" x14ac:dyDescent="0.3">
      <c r="A334" s="16" t="s">
        <v>1851</v>
      </c>
      <c r="B334" s="31">
        <v>44693</v>
      </c>
      <c r="C334" s="31">
        <v>44694</v>
      </c>
      <c r="D334" s="2" t="s">
        <v>18</v>
      </c>
      <c r="E334" s="2" t="s">
        <v>289</v>
      </c>
      <c r="F334" s="4" t="s">
        <v>290</v>
      </c>
      <c r="G334" s="4" t="s">
        <v>51</v>
      </c>
      <c r="H334" s="4" t="s">
        <v>115</v>
      </c>
      <c r="I334" s="4" t="s">
        <v>116</v>
      </c>
      <c r="J334" s="4" t="s">
        <v>54</v>
      </c>
      <c r="K334" s="4" t="s">
        <v>25</v>
      </c>
      <c r="L334" s="4" t="s">
        <v>74</v>
      </c>
      <c r="M334" s="4" t="s">
        <v>1003</v>
      </c>
      <c r="N334" s="5">
        <v>806.52</v>
      </c>
      <c r="O334" s="6">
        <v>2</v>
      </c>
      <c r="P334" s="7">
        <v>0</v>
      </c>
      <c r="Q334" s="18">
        <v>300.23</v>
      </c>
      <c r="R334" s="45" t="str">
        <f t="shared" si="20"/>
        <v>OK</v>
      </c>
      <c r="S334" s="45">
        <f t="shared" si="21"/>
        <v>681.33444444444444</v>
      </c>
      <c r="T334" s="45">
        <f t="shared" si="22"/>
        <v>9</v>
      </c>
      <c r="U334" s="45">
        <f t="shared" si="23"/>
        <v>6132.01</v>
      </c>
    </row>
    <row r="335" spans="1:21" x14ac:dyDescent="0.3">
      <c r="A335" s="16" t="s">
        <v>2386</v>
      </c>
      <c r="B335" s="31">
        <v>44697</v>
      </c>
      <c r="C335" s="31">
        <v>44700</v>
      </c>
      <c r="D335" s="2" t="s">
        <v>39</v>
      </c>
      <c r="E335" s="2" t="s">
        <v>214</v>
      </c>
      <c r="F335" s="4"/>
      <c r="G335" s="4" t="s">
        <v>21</v>
      </c>
      <c r="H335" s="4" t="s">
        <v>52</v>
      </c>
      <c r="I335" s="4" t="s">
        <v>53</v>
      </c>
      <c r="J335" s="4" t="s">
        <v>54</v>
      </c>
      <c r="K335" s="4" t="s">
        <v>35</v>
      </c>
      <c r="L335" s="4" t="s">
        <v>229</v>
      </c>
      <c r="M335" s="4" t="s">
        <v>1366</v>
      </c>
      <c r="N335" s="5">
        <v>153.01</v>
      </c>
      <c r="O335" s="6">
        <v>9</v>
      </c>
      <c r="P335" s="7">
        <v>0.1</v>
      </c>
      <c r="Q335" s="18">
        <v>54.57</v>
      </c>
      <c r="R335" s="45" t="str">
        <f t="shared" si="20"/>
        <v>OK</v>
      </c>
      <c r="S335" s="45">
        <f t="shared" si="21"/>
        <v>681.33444444444444</v>
      </c>
      <c r="T335" s="45">
        <f t="shared" si="22"/>
        <v>9</v>
      </c>
      <c r="U335" s="45">
        <f t="shared" si="23"/>
        <v>6132.01</v>
      </c>
    </row>
    <row r="336" spans="1:21" x14ac:dyDescent="0.3">
      <c r="A336" s="17" t="s">
        <v>521</v>
      </c>
      <c r="B336" s="32">
        <v>44702</v>
      </c>
      <c r="C336" s="32">
        <v>44705</v>
      </c>
      <c r="D336" s="8" t="s">
        <v>18</v>
      </c>
      <c r="E336" s="8" t="s">
        <v>512</v>
      </c>
      <c r="F336" s="10" t="s">
        <v>513</v>
      </c>
      <c r="G336" s="10" t="s">
        <v>21</v>
      </c>
      <c r="H336" s="10" t="s">
        <v>104</v>
      </c>
      <c r="I336" s="10" t="s">
        <v>105</v>
      </c>
      <c r="J336" s="10" t="s">
        <v>88</v>
      </c>
      <c r="K336" s="10" t="s">
        <v>35</v>
      </c>
      <c r="L336" s="10" t="s">
        <v>229</v>
      </c>
      <c r="M336" s="10" t="s">
        <v>522</v>
      </c>
      <c r="N336" s="11">
        <v>17.34</v>
      </c>
      <c r="O336" s="12">
        <v>2</v>
      </c>
      <c r="P336" s="13">
        <v>0.15</v>
      </c>
      <c r="Q336" s="19">
        <v>7.54</v>
      </c>
      <c r="R336" s="45" t="str">
        <f t="shared" si="20"/>
        <v>OK</v>
      </c>
      <c r="S336" s="45">
        <f t="shared" si="21"/>
        <v>681.33444444444444</v>
      </c>
      <c r="T336" s="45">
        <f t="shared" si="22"/>
        <v>9</v>
      </c>
      <c r="U336" s="45">
        <f t="shared" si="23"/>
        <v>6132.01</v>
      </c>
    </row>
    <row r="337" spans="1:21" x14ac:dyDescent="0.3">
      <c r="A337" s="17" t="s">
        <v>2231</v>
      </c>
      <c r="B337" s="32">
        <v>44705</v>
      </c>
      <c r="C337" s="32">
        <v>44709</v>
      </c>
      <c r="D337" s="8" t="s">
        <v>39</v>
      </c>
      <c r="E337" s="8" t="s">
        <v>384</v>
      </c>
      <c r="F337" s="10" t="s">
        <v>385</v>
      </c>
      <c r="G337" s="10" t="s">
        <v>51</v>
      </c>
      <c r="H337" s="10" t="s">
        <v>386</v>
      </c>
      <c r="I337" s="10" t="s">
        <v>347</v>
      </c>
      <c r="J337" s="10" t="s">
        <v>88</v>
      </c>
      <c r="K337" s="10" t="s">
        <v>45</v>
      </c>
      <c r="L337" s="10" t="s">
        <v>46</v>
      </c>
      <c r="M337" s="10" t="s">
        <v>2232</v>
      </c>
      <c r="N337" s="11">
        <v>1372.46</v>
      </c>
      <c r="O337" s="12">
        <v>5</v>
      </c>
      <c r="P337" s="13">
        <v>0.05</v>
      </c>
      <c r="Q337" s="19">
        <v>406.2</v>
      </c>
      <c r="R337" s="45" t="str">
        <f t="shared" si="20"/>
        <v>OK</v>
      </c>
      <c r="S337" s="45">
        <f t="shared" si="21"/>
        <v>681.33444444444444</v>
      </c>
      <c r="T337" s="45">
        <f t="shared" si="22"/>
        <v>9</v>
      </c>
      <c r="U337" s="45">
        <f t="shared" si="23"/>
        <v>6132.01</v>
      </c>
    </row>
    <row r="338" spans="1:21" x14ac:dyDescent="0.3">
      <c r="A338" s="16" t="s">
        <v>2296</v>
      </c>
      <c r="B338" s="31">
        <v>44705</v>
      </c>
      <c r="C338" s="31">
        <v>44708</v>
      </c>
      <c r="D338" s="2" t="s">
        <v>39</v>
      </c>
      <c r="E338" s="2" t="s">
        <v>248</v>
      </c>
      <c r="F338" s="4" t="s">
        <v>249</v>
      </c>
      <c r="G338" s="4" t="s">
        <v>51</v>
      </c>
      <c r="H338" s="4" t="s">
        <v>250</v>
      </c>
      <c r="I338" s="4" t="s">
        <v>251</v>
      </c>
      <c r="J338" s="4" t="s">
        <v>88</v>
      </c>
      <c r="K338" s="4" t="s">
        <v>35</v>
      </c>
      <c r="L338" s="4" t="s">
        <v>36</v>
      </c>
      <c r="M338" s="4" t="s">
        <v>2297</v>
      </c>
      <c r="N338" s="5">
        <v>463.8</v>
      </c>
      <c r="O338" s="6">
        <v>6</v>
      </c>
      <c r="P338" s="7">
        <v>0</v>
      </c>
      <c r="Q338" s="18">
        <v>225.13</v>
      </c>
      <c r="R338" s="45" t="str">
        <f t="shared" si="20"/>
        <v>OK</v>
      </c>
      <c r="S338" s="45">
        <f t="shared" si="21"/>
        <v>681.33444444444444</v>
      </c>
      <c r="T338" s="45">
        <f t="shared" si="22"/>
        <v>9</v>
      </c>
      <c r="U338" s="45">
        <f t="shared" si="23"/>
        <v>6132.01</v>
      </c>
    </row>
    <row r="339" spans="1:21" x14ac:dyDescent="0.3">
      <c r="A339" s="16" t="s">
        <v>728</v>
      </c>
      <c r="B339" s="31">
        <v>44708</v>
      </c>
      <c r="C339" s="31">
        <v>44713</v>
      </c>
      <c r="D339" s="2" t="s">
        <v>29</v>
      </c>
      <c r="E339" s="2" t="s">
        <v>729</v>
      </c>
      <c r="F339" s="4" t="s">
        <v>730</v>
      </c>
      <c r="G339" s="4" t="s">
        <v>42</v>
      </c>
      <c r="H339" s="4" t="s">
        <v>165</v>
      </c>
      <c r="I339" s="4" t="s">
        <v>44</v>
      </c>
      <c r="J339" s="4" t="s">
        <v>24</v>
      </c>
      <c r="K339" s="4" t="s">
        <v>45</v>
      </c>
      <c r="L339" s="4" t="s">
        <v>117</v>
      </c>
      <c r="M339" s="4" t="s">
        <v>731</v>
      </c>
      <c r="N339" s="5">
        <v>2030.14</v>
      </c>
      <c r="O339" s="6">
        <v>7</v>
      </c>
      <c r="P339" s="7">
        <v>0.15</v>
      </c>
      <c r="Q339" s="18">
        <v>253.34</v>
      </c>
      <c r="R339" s="45" t="str">
        <f t="shared" si="20"/>
        <v>OK</v>
      </c>
      <c r="S339" s="45">
        <f t="shared" si="21"/>
        <v>681.33444444444444</v>
      </c>
      <c r="T339" s="45">
        <f t="shared" si="22"/>
        <v>9</v>
      </c>
      <c r="U339" s="45">
        <f t="shared" si="23"/>
        <v>6132.01</v>
      </c>
    </row>
    <row r="340" spans="1:21" x14ac:dyDescent="0.3">
      <c r="A340" s="16" t="s">
        <v>2066</v>
      </c>
      <c r="B340" s="31">
        <v>44708</v>
      </c>
      <c r="C340" s="31">
        <v>44710</v>
      </c>
      <c r="D340" s="2" t="s">
        <v>39</v>
      </c>
      <c r="E340" s="2" t="s">
        <v>265</v>
      </c>
      <c r="F340" s="4" t="s">
        <v>266</v>
      </c>
      <c r="G340" s="4" t="s">
        <v>21</v>
      </c>
      <c r="H340" s="4" t="s">
        <v>171</v>
      </c>
      <c r="I340" s="4" t="s">
        <v>172</v>
      </c>
      <c r="J340" s="4" t="s">
        <v>24</v>
      </c>
      <c r="K340" s="4" t="s">
        <v>25</v>
      </c>
      <c r="L340" s="4" t="s">
        <v>124</v>
      </c>
      <c r="M340" s="4" t="s">
        <v>2067</v>
      </c>
      <c r="N340" s="5">
        <v>13410.77</v>
      </c>
      <c r="O340" s="6">
        <v>4</v>
      </c>
      <c r="P340" s="7">
        <v>0.05</v>
      </c>
      <c r="Q340" s="18">
        <v>3494.67</v>
      </c>
      <c r="R340" s="45" t="str">
        <f t="shared" si="20"/>
        <v>OK</v>
      </c>
      <c r="S340" s="45">
        <f t="shared" si="21"/>
        <v>681.33444444444444</v>
      </c>
      <c r="T340" s="45">
        <f t="shared" si="22"/>
        <v>9</v>
      </c>
      <c r="U340" s="45">
        <f t="shared" si="23"/>
        <v>6132.01</v>
      </c>
    </row>
    <row r="341" spans="1:21" x14ac:dyDescent="0.3">
      <c r="A341" s="16" t="s">
        <v>1230</v>
      </c>
      <c r="B341" s="31">
        <v>44710</v>
      </c>
      <c r="C341" s="31">
        <v>44715</v>
      </c>
      <c r="D341" s="2" t="s">
        <v>29</v>
      </c>
      <c r="E341" s="2" t="s">
        <v>143</v>
      </c>
      <c r="F341" s="4" t="s">
        <v>144</v>
      </c>
      <c r="G341" s="4" t="s">
        <v>21</v>
      </c>
      <c r="H341" s="4" t="s">
        <v>145</v>
      </c>
      <c r="I341" s="4" t="s">
        <v>140</v>
      </c>
      <c r="J341" s="4" t="s">
        <v>24</v>
      </c>
      <c r="K341" s="4" t="s">
        <v>35</v>
      </c>
      <c r="L341" s="4" t="s">
        <v>295</v>
      </c>
      <c r="M341" s="4" t="s">
        <v>1231</v>
      </c>
      <c r="N341" s="5">
        <v>33.57</v>
      </c>
      <c r="O341" s="6">
        <v>5</v>
      </c>
      <c r="P341" s="7">
        <v>0.15</v>
      </c>
      <c r="Q341" s="18">
        <v>15.28</v>
      </c>
      <c r="R341" s="45" t="str">
        <f t="shared" si="20"/>
        <v>OK</v>
      </c>
      <c r="S341" s="45">
        <f t="shared" si="21"/>
        <v>681.33444444444444</v>
      </c>
      <c r="T341" s="45">
        <f t="shared" si="22"/>
        <v>9</v>
      </c>
      <c r="U341" s="45">
        <f t="shared" si="23"/>
        <v>6132.01</v>
      </c>
    </row>
    <row r="342" spans="1:21" x14ac:dyDescent="0.3">
      <c r="A342" s="16" t="s">
        <v>471</v>
      </c>
      <c r="B342" s="31">
        <v>44713</v>
      </c>
      <c r="C342" s="31">
        <v>44716</v>
      </c>
      <c r="D342" s="2" t="s">
        <v>39</v>
      </c>
      <c r="E342" s="2" t="s">
        <v>472</v>
      </c>
      <c r="F342" s="4" t="s">
        <v>473</v>
      </c>
      <c r="G342" s="4" t="s">
        <v>51</v>
      </c>
      <c r="H342" s="4" t="s">
        <v>32</v>
      </c>
      <c r="I342" s="4" t="s">
        <v>33</v>
      </c>
      <c r="J342" s="4" t="s">
        <v>34</v>
      </c>
      <c r="K342" s="4" t="s">
        <v>45</v>
      </c>
      <c r="L342" s="4" t="s">
        <v>46</v>
      </c>
      <c r="M342" s="4" t="s">
        <v>474</v>
      </c>
      <c r="N342" s="5">
        <v>1738.73</v>
      </c>
      <c r="O342" s="6">
        <v>4</v>
      </c>
      <c r="P342" s="7">
        <v>0.05</v>
      </c>
      <c r="Q342" s="18">
        <v>514</v>
      </c>
      <c r="R342" s="45" t="str">
        <f t="shared" si="20"/>
        <v>OK</v>
      </c>
      <c r="S342" s="45">
        <f t="shared" si="21"/>
        <v>681.33444444444444</v>
      </c>
      <c r="T342" s="45">
        <f t="shared" si="22"/>
        <v>9</v>
      </c>
      <c r="U342" s="45">
        <f t="shared" si="23"/>
        <v>6132.01</v>
      </c>
    </row>
    <row r="343" spans="1:21" x14ac:dyDescent="0.3">
      <c r="A343" s="17" t="s">
        <v>1694</v>
      </c>
      <c r="B343" s="32">
        <v>44714</v>
      </c>
      <c r="C343" s="32">
        <v>44716</v>
      </c>
      <c r="D343" s="8" t="s">
        <v>18</v>
      </c>
      <c r="E343" s="8" t="s">
        <v>741</v>
      </c>
      <c r="F343" s="10" t="s">
        <v>742</v>
      </c>
      <c r="G343" s="10" t="s">
        <v>51</v>
      </c>
      <c r="H343" s="10" t="s">
        <v>260</v>
      </c>
      <c r="I343" s="10" t="s">
        <v>151</v>
      </c>
      <c r="J343" s="10" t="s">
        <v>34</v>
      </c>
      <c r="K343" s="10" t="s">
        <v>25</v>
      </c>
      <c r="L343" s="10" t="s">
        <v>74</v>
      </c>
      <c r="M343" s="10" t="s">
        <v>1695</v>
      </c>
      <c r="N343" s="11">
        <v>1924.62</v>
      </c>
      <c r="O343" s="12">
        <v>10</v>
      </c>
      <c r="P343" s="13">
        <v>0.4</v>
      </c>
      <c r="Q343" s="19">
        <v>89.95</v>
      </c>
      <c r="R343" s="45" t="str">
        <f t="shared" si="20"/>
        <v>OK</v>
      </c>
      <c r="S343" s="45">
        <f t="shared" si="21"/>
        <v>681.33444444444444</v>
      </c>
      <c r="T343" s="45">
        <f t="shared" si="22"/>
        <v>9</v>
      </c>
      <c r="U343" s="45">
        <f t="shared" si="23"/>
        <v>6132.01</v>
      </c>
    </row>
    <row r="344" spans="1:21" x14ac:dyDescent="0.3">
      <c r="A344" s="17" t="s">
        <v>1653</v>
      </c>
      <c r="B344" s="32">
        <v>44716</v>
      </c>
      <c r="C344" s="32">
        <v>44720</v>
      </c>
      <c r="D344" s="8" t="s">
        <v>39</v>
      </c>
      <c r="E344" s="8" t="s">
        <v>864</v>
      </c>
      <c r="F344" s="10" t="s">
        <v>865</v>
      </c>
      <c r="G344" s="10" t="s">
        <v>21</v>
      </c>
      <c r="H344" s="10" t="s">
        <v>177</v>
      </c>
      <c r="I344" s="10" t="s">
        <v>178</v>
      </c>
      <c r="J344" s="10" t="s">
        <v>24</v>
      </c>
      <c r="K344" s="10" t="s">
        <v>35</v>
      </c>
      <c r="L344" s="10" t="s">
        <v>295</v>
      </c>
      <c r="M344" s="10" t="s">
        <v>1654</v>
      </c>
      <c r="N344" s="11">
        <v>77.209999999999994</v>
      </c>
      <c r="O344" s="12">
        <v>3</v>
      </c>
      <c r="P344" s="13">
        <v>0.2</v>
      </c>
      <c r="Q344" s="19">
        <v>26.61</v>
      </c>
      <c r="R344" s="45" t="str">
        <f t="shared" si="20"/>
        <v>OK</v>
      </c>
      <c r="S344" s="45">
        <f t="shared" si="21"/>
        <v>681.33444444444444</v>
      </c>
      <c r="T344" s="45">
        <f t="shared" si="22"/>
        <v>9</v>
      </c>
      <c r="U344" s="45">
        <f t="shared" si="23"/>
        <v>6132.01</v>
      </c>
    </row>
    <row r="345" spans="1:21" x14ac:dyDescent="0.3">
      <c r="A345" s="17" t="s">
        <v>456</v>
      </c>
      <c r="B345" s="32">
        <v>44718</v>
      </c>
      <c r="C345" s="32">
        <v>44719</v>
      </c>
      <c r="D345" s="8" t="s">
        <v>18</v>
      </c>
      <c r="E345" s="8" t="s">
        <v>457</v>
      </c>
      <c r="F345" s="10" t="s">
        <v>458</v>
      </c>
      <c r="G345" s="10" t="s">
        <v>51</v>
      </c>
      <c r="H345" s="10" t="s">
        <v>459</v>
      </c>
      <c r="I345" s="10" t="s">
        <v>460</v>
      </c>
      <c r="J345" s="10" t="s">
        <v>54</v>
      </c>
      <c r="K345" s="10" t="s">
        <v>35</v>
      </c>
      <c r="L345" s="10" t="s">
        <v>110</v>
      </c>
      <c r="M345" s="10" t="s">
        <v>461</v>
      </c>
      <c r="N345" s="11">
        <v>243.8</v>
      </c>
      <c r="O345" s="12">
        <v>10</v>
      </c>
      <c r="P345" s="13">
        <v>0</v>
      </c>
      <c r="Q345" s="19">
        <v>112.62</v>
      </c>
      <c r="R345" s="45" t="str">
        <f t="shared" si="20"/>
        <v>OK</v>
      </c>
      <c r="S345" s="45">
        <f t="shared" si="21"/>
        <v>681.33444444444444</v>
      </c>
      <c r="T345" s="45">
        <f t="shared" si="22"/>
        <v>9</v>
      </c>
      <c r="U345" s="45">
        <f t="shared" si="23"/>
        <v>6132.01</v>
      </c>
    </row>
    <row r="346" spans="1:21" x14ac:dyDescent="0.3">
      <c r="A346" s="16" t="s">
        <v>523</v>
      </c>
      <c r="B346" s="31">
        <v>44720</v>
      </c>
      <c r="C346" s="31">
        <v>44719</v>
      </c>
      <c r="D346" s="2" t="s">
        <v>29</v>
      </c>
      <c r="E346" s="2" t="s">
        <v>344</v>
      </c>
      <c r="F346" s="4" t="s">
        <v>345</v>
      </c>
      <c r="G346" s="4" t="s">
        <v>51</v>
      </c>
      <c r="H346" s="4" t="s">
        <v>346</v>
      </c>
      <c r="I346" s="4" t="s">
        <v>347</v>
      </c>
      <c r="J346" s="4" t="s">
        <v>88</v>
      </c>
      <c r="K346" s="4" t="s">
        <v>25</v>
      </c>
      <c r="L346" s="4" t="s">
        <v>124</v>
      </c>
      <c r="M346" s="4" t="s">
        <v>524</v>
      </c>
      <c r="N346" s="5">
        <v>604.55999999999995</v>
      </c>
      <c r="O346" s="6">
        <v>1</v>
      </c>
      <c r="P346" s="7">
        <v>0.2</v>
      </c>
      <c r="Q346" s="18">
        <v>-7.74</v>
      </c>
      <c r="R346" s="45" t="str">
        <f t="shared" si="20"/>
        <v>Error</v>
      </c>
      <c r="S346" s="45">
        <f t="shared" si="21"/>
        <v>681.33444444444444</v>
      </c>
      <c r="T346" s="45">
        <f t="shared" si="22"/>
        <v>9</v>
      </c>
      <c r="U346" s="45">
        <f t="shared" si="23"/>
        <v>6132.01</v>
      </c>
    </row>
    <row r="347" spans="1:21" x14ac:dyDescent="0.3">
      <c r="A347" s="16" t="s">
        <v>1498</v>
      </c>
      <c r="B347" s="31">
        <v>44721</v>
      </c>
      <c r="C347" s="31">
        <v>44727</v>
      </c>
      <c r="D347" s="2" t="s">
        <v>29</v>
      </c>
      <c r="E347" s="2" t="s">
        <v>588</v>
      </c>
      <c r="F347" s="4" t="s">
        <v>589</v>
      </c>
      <c r="G347" s="4" t="s">
        <v>42</v>
      </c>
      <c r="H347" s="4" t="s">
        <v>397</v>
      </c>
      <c r="I347" s="4" t="s">
        <v>33</v>
      </c>
      <c r="J347" s="4" t="s">
        <v>34</v>
      </c>
      <c r="K347" s="4" t="s">
        <v>45</v>
      </c>
      <c r="L347" s="4" t="s">
        <v>61</v>
      </c>
      <c r="M347" s="4" t="s">
        <v>1499</v>
      </c>
      <c r="N347" s="5">
        <v>2818.53</v>
      </c>
      <c r="O347" s="6">
        <v>9</v>
      </c>
      <c r="P347" s="7">
        <v>0.5</v>
      </c>
      <c r="Q347" s="18">
        <v>-2436.4</v>
      </c>
      <c r="R347" s="45" t="str">
        <f t="shared" si="20"/>
        <v>OK</v>
      </c>
      <c r="S347" s="45">
        <f t="shared" si="21"/>
        <v>681.33444444444444</v>
      </c>
      <c r="T347" s="45">
        <f t="shared" si="22"/>
        <v>9</v>
      </c>
      <c r="U347" s="45">
        <f t="shared" si="23"/>
        <v>6132.01</v>
      </c>
    </row>
    <row r="348" spans="1:21" x14ac:dyDescent="0.3">
      <c r="A348" s="16" t="s">
        <v>762</v>
      </c>
      <c r="B348" s="31">
        <v>44722</v>
      </c>
      <c r="C348" s="31">
        <v>44726</v>
      </c>
      <c r="D348" s="2" t="s">
        <v>73</v>
      </c>
      <c r="E348" s="2" t="s">
        <v>763</v>
      </c>
      <c r="F348" s="4" t="s">
        <v>764</v>
      </c>
      <c r="G348" s="4" t="s">
        <v>21</v>
      </c>
      <c r="H348" s="4" t="s">
        <v>765</v>
      </c>
      <c r="I348" s="4" t="s">
        <v>105</v>
      </c>
      <c r="J348" s="4" t="s">
        <v>88</v>
      </c>
      <c r="K348" s="4" t="s">
        <v>25</v>
      </c>
      <c r="L348" s="4" t="s">
        <v>124</v>
      </c>
      <c r="M348" s="4" t="s">
        <v>766</v>
      </c>
      <c r="N348" s="5">
        <v>15435.36</v>
      </c>
      <c r="O348" s="6">
        <v>5</v>
      </c>
      <c r="P348" s="7">
        <v>0.1</v>
      </c>
      <c r="Q348" s="18">
        <v>2171.81</v>
      </c>
      <c r="R348" s="45" t="str">
        <f t="shared" si="20"/>
        <v>OK</v>
      </c>
      <c r="S348" s="45">
        <f t="shared" si="21"/>
        <v>681.33444444444444</v>
      </c>
      <c r="T348" s="45">
        <f t="shared" si="22"/>
        <v>9</v>
      </c>
      <c r="U348" s="45">
        <f t="shared" si="23"/>
        <v>6132.01</v>
      </c>
    </row>
    <row r="349" spans="1:21" x14ac:dyDescent="0.3">
      <c r="A349" s="17" t="s">
        <v>1642</v>
      </c>
      <c r="B349" s="32">
        <v>44725</v>
      </c>
      <c r="C349" s="32">
        <v>44729</v>
      </c>
      <c r="D349" s="8" t="s">
        <v>39</v>
      </c>
      <c r="E349" s="8" t="s">
        <v>132</v>
      </c>
      <c r="F349" s="10" t="s">
        <v>133</v>
      </c>
      <c r="G349" s="10" t="s">
        <v>21</v>
      </c>
      <c r="H349" s="10" t="s">
        <v>134</v>
      </c>
      <c r="I349" s="10" t="s">
        <v>87</v>
      </c>
      <c r="J349" s="10" t="s">
        <v>88</v>
      </c>
      <c r="K349" s="10" t="s">
        <v>45</v>
      </c>
      <c r="L349" s="10" t="s">
        <v>46</v>
      </c>
      <c r="M349" s="10" t="s">
        <v>1643</v>
      </c>
      <c r="N349" s="11">
        <v>1790.46</v>
      </c>
      <c r="O349" s="12">
        <v>7</v>
      </c>
      <c r="P349" s="13">
        <v>0.3</v>
      </c>
      <c r="Q349" s="19">
        <v>105.73</v>
      </c>
      <c r="R349" s="45" t="str">
        <f t="shared" si="20"/>
        <v>OK</v>
      </c>
      <c r="S349" s="45">
        <f t="shared" si="21"/>
        <v>681.33444444444444</v>
      </c>
      <c r="T349" s="45">
        <f t="shared" si="22"/>
        <v>9</v>
      </c>
      <c r="U349" s="45">
        <f t="shared" si="23"/>
        <v>6132.01</v>
      </c>
    </row>
    <row r="350" spans="1:21" x14ac:dyDescent="0.3">
      <c r="A350" s="16" t="s">
        <v>758</v>
      </c>
      <c r="B350" s="31">
        <v>44726</v>
      </c>
      <c r="C350" s="31">
        <v>44729</v>
      </c>
      <c r="D350" s="2" t="s">
        <v>18</v>
      </c>
      <c r="E350" s="2" t="s">
        <v>592</v>
      </c>
      <c r="F350" s="4" t="s">
        <v>593</v>
      </c>
      <c r="G350" s="4" t="s">
        <v>21</v>
      </c>
      <c r="H350" s="4" t="s">
        <v>207</v>
      </c>
      <c r="I350" s="4" t="s">
        <v>60</v>
      </c>
      <c r="J350" s="4" t="s">
        <v>54</v>
      </c>
      <c r="K350" s="4" t="s">
        <v>35</v>
      </c>
      <c r="L350" s="4" t="s">
        <v>81</v>
      </c>
      <c r="M350" s="4" t="s">
        <v>759</v>
      </c>
      <c r="N350" s="5">
        <v>86.34</v>
      </c>
      <c r="O350" s="6">
        <v>4</v>
      </c>
      <c r="P350" s="7">
        <v>0.05</v>
      </c>
      <c r="Q350" s="18">
        <v>40.22</v>
      </c>
      <c r="R350" s="45" t="str">
        <f t="shared" si="20"/>
        <v>OK</v>
      </c>
      <c r="S350" s="45">
        <f t="shared" si="21"/>
        <v>681.33444444444444</v>
      </c>
      <c r="T350" s="45">
        <f t="shared" si="22"/>
        <v>9</v>
      </c>
      <c r="U350" s="45">
        <f t="shared" si="23"/>
        <v>6132.01</v>
      </c>
    </row>
    <row r="351" spans="1:21" x14ac:dyDescent="0.3">
      <c r="A351" s="17" t="s">
        <v>898</v>
      </c>
      <c r="B351" s="32">
        <v>44728</v>
      </c>
      <c r="C351" s="32">
        <v>44733</v>
      </c>
      <c r="D351" s="8" t="s">
        <v>73</v>
      </c>
      <c r="E351" s="8" t="s">
        <v>899</v>
      </c>
      <c r="F351" s="10" t="s">
        <v>900</v>
      </c>
      <c r="G351" s="10" t="s">
        <v>51</v>
      </c>
      <c r="H351" s="10" t="s">
        <v>319</v>
      </c>
      <c r="I351" s="10" t="s">
        <v>194</v>
      </c>
      <c r="J351" s="10" t="s">
        <v>34</v>
      </c>
      <c r="K351" s="10" t="s">
        <v>25</v>
      </c>
      <c r="L351" s="10" t="s">
        <v>124</v>
      </c>
      <c r="M351" s="10" t="s">
        <v>901</v>
      </c>
      <c r="N351" s="11">
        <v>2896.6</v>
      </c>
      <c r="O351" s="12">
        <v>2</v>
      </c>
      <c r="P351" s="13">
        <v>0.15</v>
      </c>
      <c r="Q351" s="19">
        <v>416.24</v>
      </c>
      <c r="R351" s="45" t="str">
        <f t="shared" si="20"/>
        <v>OK</v>
      </c>
      <c r="S351" s="45">
        <f t="shared" si="21"/>
        <v>681.33444444444444</v>
      </c>
      <c r="T351" s="45">
        <f t="shared" si="22"/>
        <v>9</v>
      </c>
      <c r="U351" s="45">
        <f t="shared" si="23"/>
        <v>6132.01</v>
      </c>
    </row>
    <row r="352" spans="1:21" x14ac:dyDescent="0.3">
      <c r="A352" s="16" t="s">
        <v>2120</v>
      </c>
      <c r="B352" s="31">
        <v>44731</v>
      </c>
      <c r="C352" s="31">
        <v>44736</v>
      </c>
      <c r="D352" s="2" t="s">
        <v>29</v>
      </c>
      <c r="E352" s="2" t="s">
        <v>191</v>
      </c>
      <c r="F352" s="4" t="s">
        <v>192</v>
      </c>
      <c r="G352" s="4" t="s">
        <v>21</v>
      </c>
      <c r="H352" s="4" t="s">
        <v>193</v>
      </c>
      <c r="I352" s="4" t="s">
        <v>194</v>
      </c>
      <c r="J352" s="4" t="s">
        <v>34</v>
      </c>
      <c r="K352" s="4" t="s">
        <v>35</v>
      </c>
      <c r="L352" s="4" t="s">
        <v>216</v>
      </c>
      <c r="M352" s="4" t="s">
        <v>2121</v>
      </c>
      <c r="N352" s="5">
        <v>43.7</v>
      </c>
      <c r="O352" s="6">
        <v>1</v>
      </c>
      <c r="P352" s="7">
        <v>0.1</v>
      </c>
      <c r="Q352" s="18">
        <v>20.73</v>
      </c>
      <c r="R352" s="45" t="str">
        <f t="shared" si="20"/>
        <v>OK</v>
      </c>
      <c r="S352" s="45">
        <f t="shared" si="21"/>
        <v>681.33444444444444</v>
      </c>
      <c r="T352" s="45">
        <f t="shared" si="22"/>
        <v>9</v>
      </c>
      <c r="U352" s="45">
        <f t="shared" si="23"/>
        <v>6132.01</v>
      </c>
    </row>
    <row r="353" spans="1:21" x14ac:dyDescent="0.3">
      <c r="A353" s="16" t="s">
        <v>988</v>
      </c>
      <c r="B353" s="31">
        <v>44736</v>
      </c>
      <c r="C353" s="31">
        <v>44739</v>
      </c>
      <c r="D353" s="2" t="s">
        <v>18</v>
      </c>
      <c r="E353" s="2" t="s">
        <v>618</v>
      </c>
      <c r="F353" s="4" t="s">
        <v>619</v>
      </c>
      <c r="G353" s="4" t="s">
        <v>42</v>
      </c>
      <c r="H353" s="4" t="s">
        <v>260</v>
      </c>
      <c r="I353" s="4" t="s">
        <v>151</v>
      </c>
      <c r="J353" s="4" t="s">
        <v>34</v>
      </c>
      <c r="K353" s="4" t="s">
        <v>35</v>
      </c>
      <c r="L353" s="4" t="s">
        <v>89</v>
      </c>
      <c r="M353" s="4" t="s">
        <v>989</v>
      </c>
      <c r="N353" s="5">
        <v>315.43</v>
      </c>
      <c r="O353" s="6">
        <v>3</v>
      </c>
      <c r="P353" s="7">
        <v>0.4</v>
      </c>
      <c r="Q353" s="18">
        <v>11.08</v>
      </c>
      <c r="R353" s="45" t="str">
        <f t="shared" si="20"/>
        <v>OK</v>
      </c>
      <c r="S353" s="45">
        <f t="shared" si="21"/>
        <v>681.33444444444444</v>
      </c>
      <c r="T353" s="45">
        <f t="shared" si="22"/>
        <v>9</v>
      </c>
      <c r="U353" s="45">
        <f t="shared" si="23"/>
        <v>6132.01</v>
      </c>
    </row>
    <row r="354" spans="1:21" x14ac:dyDescent="0.3">
      <c r="A354" s="16" t="s">
        <v>1524</v>
      </c>
      <c r="B354" s="31">
        <v>44736</v>
      </c>
      <c r="C354" s="31">
        <v>44738</v>
      </c>
      <c r="D354" s="2" t="s">
        <v>18</v>
      </c>
      <c r="E354" s="2" t="s">
        <v>484</v>
      </c>
      <c r="F354" s="4" t="s">
        <v>485</v>
      </c>
      <c r="G354" s="4" t="s">
        <v>21</v>
      </c>
      <c r="H354" s="4" t="s">
        <v>86</v>
      </c>
      <c r="I354" s="4" t="s">
        <v>87</v>
      </c>
      <c r="J354" s="4" t="s">
        <v>88</v>
      </c>
      <c r="K354" s="4" t="s">
        <v>45</v>
      </c>
      <c r="L354" s="4" t="s">
        <v>99</v>
      </c>
      <c r="M354" s="4" t="s">
        <v>1525</v>
      </c>
      <c r="N354" s="5">
        <v>1069.44</v>
      </c>
      <c r="O354" s="6">
        <v>6</v>
      </c>
      <c r="P354" s="7">
        <v>0</v>
      </c>
      <c r="Q354" s="18">
        <v>351.5</v>
      </c>
      <c r="R354" s="45" t="str">
        <f t="shared" si="20"/>
        <v>OK</v>
      </c>
      <c r="S354" s="45">
        <f t="shared" si="21"/>
        <v>681.33444444444444</v>
      </c>
      <c r="T354" s="45">
        <f t="shared" si="22"/>
        <v>9</v>
      </c>
      <c r="U354" s="45">
        <f t="shared" si="23"/>
        <v>6132.01</v>
      </c>
    </row>
    <row r="355" spans="1:21" x14ac:dyDescent="0.3">
      <c r="A355" s="16" t="s">
        <v>1906</v>
      </c>
      <c r="B355" s="31">
        <v>44737</v>
      </c>
      <c r="C355" s="31">
        <v>44742</v>
      </c>
      <c r="D355" s="2" t="s">
        <v>29</v>
      </c>
      <c r="E355" s="2" t="s">
        <v>187</v>
      </c>
      <c r="F355" s="4" t="s">
        <v>188</v>
      </c>
      <c r="G355" s="4" t="s">
        <v>21</v>
      </c>
      <c r="H355" s="4" t="s">
        <v>22</v>
      </c>
      <c r="I355" s="4" t="s">
        <v>23</v>
      </c>
      <c r="J355" s="4" t="s">
        <v>24</v>
      </c>
      <c r="K355" s="4" t="s">
        <v>45</v>
      </c>
      <c r="L355" s="4" t="s">
        <v>46</v>
      </c>
      <c r="M355" s="4" t="s">
        <v>1907</v>
      </c>
      <c r="N355" s="5">
        <v>3329.26</v>
      </c>
      <c r="O355" s="6">
        <v>7</v>
      </c>
      <c r="P355" s="7">
        <v>0.15</v>
      </c>
      <c r="Q355" s="18">
        <v>1083.6400000000001</v>
      </c>
      <c r="R355" s="45" t="str">
        <f t="shared" si="20"/>
        <v>OK</v>
      </c>
      <c r="S355" s="45">
        <f t="shared" si="21"/>
        <v>681.33444444444444</v>
      </c>
      <c r="T355" s="45">
        <f t="shared" si="22"/>
        <v>9</v>
      </c>
      <c r="U355" s="45">
        <f t="shared" si="23"/>
        <v>6132.01</v>
      </c>
    </row>
    <row r="356" spans="1:21" x14ac:dyDescent="0.3">
      <c r="A356" s="17" t="s">
        <v>1933</v>
      </c>
      <c r="B356" s="32">
        <v>44737</v>
      </c>
      <c r="C356" s="32">
        <v>44740</v>
      </c>
      <c r="D356" s="8" t="s">
        <v>18</v>
      </c>
      <c r="E356" s="8" t="s">
        <v>406</v>
      </c>
      <c r="F356" s="10" t="s">
        <v>407</v>
      </c>
      <c r="G356" s="10" t="s">
        <v>42</v>
      </c>
      <c r="H356" s="10" t="s">
        <v>165</v>
      </c>
      <c r="I356" s="10" t="s">
        <v>44</v>
      </c>
      <c r="J356" s="10" t="s">
        <v>24</v>
      </c>
      <c r="K356" s="10" t="s">
        <v>35</v>
      </c>
      <c r="L356" s="10" t="s">
        <v>166</v>
      </c>
      <c r="M356" s="10" t="s">
        <v>1934</v>
      </c>
      <c r="N356" s="11">
        <v>277.13</v>
      </c>
      <c r="O356" s="12">
        <v>9</v>
      </c>
      <c r="P356" s="13">
        <v>0.4</v>
      </c>
      <c r="Q356" s="19">
        <v>-66.790000000000006</v>
      </c>
      <c r="R356" s="45" t="str">
        <f t="shared" si="20"/>
        <v>OK</v>
      </c>
      <c r="S356" s="45">
        <f t="shared" si="21"/>
        <v>681.33444444444444</v>
      </c>
      <c r="T356" s="45">
        <f t="shared" si="22"/>
        <v>9</v>
      </c>
      <c r="U356" s="45">
        <f t="shared" si="23"/>
        <v>6132.01</v>
      </c>
    </row>
    <row r="357" spans="1:21" x14ac:dyDescent="0.3">
      <c r="A357" s="17" t="s">
        <v>499</v>
      </c>
      <c r="B357" s="32">
        <v>44739</v>
      </c>
      <c r="C357" s="32">
        <v>44743</v>
      </c>
      <c r="D357" s="8" t="s">
        <v>39</v>
      </c>
      <c r="E357" s="8" t="s">
        <v>500</v>
      </c>
      <c r="F357" s="10" t="s">
        <v>501</v>
      </c>
      <c r="G357" s="10" t="s">
        <v>21</v>
      </c>
      <c r="H357" s="10" t="s">
        <v>104</v>
      </c>
      <c r="I357" s="10" t="s">
        <v>105</v>
      </c>
      <c r="J357" s="10" t="s">
        <v>88</v>
      </c>
      <c r="K357" s="10" t="s">
        <v>25</v>
      </c>
      <c r="L357" s="10" t="s">
        <v>124</v>
      </c>
      <c r="M357" s="10" t="s">
        <v>502</v>
      </c>
      <c r="N357" s="11">
        <v>4412.25</v>
      </c>
      <c r="O357" s="12">
        <v>8</v>
      </c>
      <c r="P357" s="13">
        <v>0.15</v>
      </c>
      <c r="Q357" s="19">
        <v>804.71</v>
      </c>
      <c r="R357" s="45" t="str">
        <f t="shared" si="20"/>
        <v>OK</v>
      </c>
      <c r="S357" s="45">
        <f t="shared" si="21"/>
        <v>681.33444444444444</v>
      </c>
      <c r="T357" s="45">
        <f t="shared" si="22"/>
        <v>9</v>
      </c>
      <c r="U357" s="45">
        <f t="shared" si="23"/>
        <v>6132.01</v>
      </c>
    </row>
    <row r="358" spans="1:21" x14ac:dyDescent="0.3">
      <c r="A358" s="17" t="s">
        <v>820</v>
      </c>
      <c r="B358" s="32">
        <v>44739</v>
      </c>
      <c r="C358" s="32">
        <v>44744</v>
      </c>
      <c r="D358" s="8" t="s">
        <v>29</v>
      </c>
      <c r="E358" s="8" t="s">
        <v>57</v>
      </c>
      <c r="F358" s="10" t="s">
        <v>58</v>
      </c>
      <c r="G358" s="10" t="s">
        <v>42</v>
      </c>
      <c r="H358" s="10" t="s">
        <v>59</v>
      </c>
      <c r="I358" s="10" t="s">
        <v>60</v>
      </c>
      <c r="J358" s="10" t="s">
        <v>54</v>
      </c>
      <c r="K358" s="10" t="s">
        <v>35</v>
      </c>
      <c r="L358" s="10" t="s">
        <v>216</v>
      </c>
      <c r="M358" s="10" t="s">
        <v>821</v>
      </c>
      <c r="N358" s="11">
        <v>93.94</v>
      </c>
      <c r="O358" s="12">
        <v>4</v>
      </c>
      <c r="P358" s="13">
        <v>0.3</v>
      </c>
      <c r="Q358" s="19">
        <v>24.25</v>
      </c>
      <c r="R358" s="45" t="str">
        <f t="shared" si="20"/>
        <v>OK</v>
      </c>
      <c r="S358" s="45">
        <f t="shared" si="21"/>
        <v>681.33444444444444</v>
      </c>
      <c r="T358" s="45">
        <f t="shared" si="22"/>
        <v>9</v>
      </c>
      <c r="U358" s="45">
        <f t="shared" si="23"/>
        <v>6132.01</v>
      </c>
    </row>
    <row r="359" spans="1:21" x14ac:dyDescent="0.3">
      <c r="A359" s="16" t="s">
        <v>1848</v>
      </c>
      <c r="B359" s="31">
        <v>44739</v>
      </c>
      <c r="C359" s="31">
        <v>44741</v>
      </c>
      <c r="D359" s="2" t="s">
        <v>39</v>
      </c>
      <c r="E359" s="2" t="s">
        <v>313</v>
      </c>
      <c r="F359" s="4" t="s">
        <v>314</v>
      </c>
      <c r="G359" s="4" t="s">
        <v>42</v>
      </c>
      <c r="H359" s="4" t="s">
        <v>193</v>
      </c>
      <c r="I359" s="4" t="s">
        <v>194</v>
      </c>
      <c r="J359" s="4" t="s">
        <v>34</v>
      </c>
      <c r="K359" s="4" t="s">
        <v>35</v>
      </c>
      <c r="L359" s="4" t="s">
        <v>110</v>
      </c>
      <c r="M359" s="4" t="s">
        <v>1662</v>
      </c>
      <c r="N359" s="5">
        <v>136.13999999999999</v>
      </c>
      <c r="O359" s="6">
        <v>8</v>
      </c>
      <c r="P359" s="7">
        <v>0.3</v>
      </c>
      <c r="Q359" s="18">
        <v>25.32</v>
      </c>
      <c r="R359" s="45" t="str">
        <f t="shared" si="20"/>
        <v>OK</v>
      </c>
      <c r="S359" s="45">
        <f t="shared" si="21"/>
        <v>681.33444444444444</v>
      </c>
      <c r="T359" s="45">
        <f t="shared" si="22"/>
        <v>9</v>
      </c>
      <c r="U359" s="45">
        <f t="shared" si="23"/>
        <v>6132.01</v>
      </c>
    </row>
    <row r="360" spans="1:21" x14ac:dyDescent="0.3">
      <c r="A360" s="17" t="s">
        <v>83</v>
      </c>
      <c r="B360" s="32">
        <v>44742</v>
      </c>
      <c r="C360" s="32">
        <v>44746</v>
      </c>
      <c r="D360" s="8" t="s">
        <v>39</v>
      </c>
      <c r="E360" s="8" t="s">
        <v>84</v>
      </c>
      <c r="F360" s="10" t="s">
        <v>85</v>
      </c>
      <c r="G360" s="10" t="s">
        <v>21</v>
      </c>
      <c r="H360" s="10" t="s">
        <v>86</v>
      </c>
      <c r="I360" s="10" t="s">
        <v>87</v>
      </c>
      <c r="J360" s="10" t="s">
        <v>88</v>
      </c>
      <c r="K360" s="10" t="s">
        <v>35</v>
      </c>
      <c r="L360" s="10" t="s">
        <v>89</v>
      </c>
      <c r="M360" s="10" t="s">
        <v>90</v>
      </c>
      <c r="N360" s="11">
        <v>185.36</v>
      </c>
      <c r="O360" s="12">
        <v>4</v>
      </c>
      <c r="P360" s="13">
        <v>0.05</v>
      </c>
      <c r="Q360" s="19">
        <v>44.61</v>
      </c>
      <c r="R360" s="45" t="str">
        <f t="shared" si="20"/>
        <v>OK</v>
      </c>
      <c r="S360" s="45">
        <f t="shared" si="21"/>
        <v>681.33444444444444</v>
      </c>
      <c r="T360" s="45">
        <f t="shared" si="22"/>
        <v>9</v>
      </c>
      <c r="U360" s="45">
        <f t="shared" si="23"/>
        <v>6132.01</v>
      </c>
    </row>
    <row r="361" spans="1:21" x14ac:dyDescent="0.3">
      <c r="A361" s="16" t="s">
        <v>1548</v>
      </c>
      <c r="B361" s="31">
        <v>44744</v>
      </c>
      <c r="C361" s="31">
        <v>44745</v>
      </c>
      <c r="D361" s="2" t="s">
        <v>18</v>
      </c>
      <c r="E361" s="2" t="s">
        <v>838</v>
      </c>
      <c r="F361" s="4" t="s">
        <v>839</v>
      </c>
      <c r="G361" s="4" t="s">
        <v>51</v>
      </c>
      <c r="H361" s="4" t="s">
        <v>438</v>
      </c>
      <c r="I361" s="4" t="s">
        <v>157</v>
      </c>
      <c r="J361" s="4" t="s">
        <v>88</v>
      </c>
      <c r="K361" s="4" t="s">
        <v>35</v>
      </c>
      <c r="L361" s="4" t="s">
        <v>166</v>
      </c>
      <c r="M361" s="4" t="s">
        <v>1549</v>
      </c>
      <c r="N361" s="5">
        <v>396.66</v>
      </c>
      <c r="O361" s="6">
        <v>6</v>
      </c>
      <c r="P361" s="7">
        <v>0.05</v>
      </c>
      <c r="Q361" s="18">
        <v>106.62</v>
      </c>
      <c r="R361" s="45" t="str">
        <f t="shared" si="20"/>
        <v>OK</v>
      </c>
      <c r="S361" s="45">
        <f t="shared" si="21"/>
        <v>681.33444444444444</v>
      </c>
      <c r="T361" s="45">
        <f t="shared" si="22"/>
        <v>9</v>
      </c>
      <c r="U361" s="45">
        <f t="shared" si="23"/>
        <v>6132.01</v>
      </c>
    </row>
    <row r="362" spans="1:21" x14ac:dyDescent="0.3">
      <c r="A362" s="17" t="s">
        <v>1622</v>
      </c>
      <c r="B362" s="32">
        <v>44744</v>
      </c>
      <c r="C362" s="32">
        <v>44751</v>
      </c>
      <c r="D362" s="8" t="s">
        <v>29</v>
      </c>
      <c r="E362" s="8" t="s">
        <v>813</v>
      </c>
      <c r="F362" s="10" t="s">
        <v>814</v>
      </c>
      <c r="G362" s="10" t="s">
        <v>51</v>
      </c>
      <c r="H362" s="10" t="s">
        <v>134</v>
      </c>
      <c r="I362" s="10" t="s">
        <v>87</v>
      </c>
      <c r="J362" s="10" t="s">
        <v>88</v>
      </c>
      <c r="K362" s="10" t="s">
        <v>45</v>
      </c>
      <c r="L362" s="10" t="s">
        <v>117</v>
      </c>
      <c r="M362" s="10" t="s">
        <v>1623</v>
      </c>
      <c r="N362" s="11">
        <v>987.98</v>
      </c>
      <c r="O362" s="12">
        <v>3</v>
      </c>
      <c r="P362" s="13">
        <v>0.2</v>
      </c>
      <c r="Q362" s="19">
        <v>85.44</v>
      </c>
      <c r="R362" s="45" t="str">
        <f t="shared" si="20"/>
        <v>OK</v>
      </c>
      <c r="S362" s="45">
        <f t="shared" si="21"/>
        <v>681.33444444444444</v>
      </c>
      <c r="T362" s="45">
        <f t="shared" si="22"/>
        <v>9</v>
      </c>
      <c r="U362" s="45">
        <f t="shared" si="23"/>
        <v>6132.01</v>
      </c>
    </row>
    <row r="363" spans="1:21" x14ac:dyDescent="0.3">
      <c r="A363" s="16" t="s">
        <v>2205</v>
      </c>
      <c r="B363" s="31">
        <v>44747</v>
      </c>
      <c r="C363" s="31">
        <v>44752</v>
      </c>
      <c r="D363" s="2" t="s">
        <v>73</v>
      </c>
      <c r="E363" s="2" t="s">
        <v>1330</v>
      </c>
      <c r="F363" s="4" t="s">
        <v>1331</v>
      </c>
      <c r="G363" s="4" t="s">
        <v>51</v>
      </c>
      <c r="H363" s="4" t="s">
        <v>52</v>
      </c>
      <c r="I363" s="4" t="s">
        <v>53</v>
      </c>
      <c r="J363" s="4" t="s">
        <v>54</v>
      </c>
      <c r="K363" s="4" t="s">
        <v>35</v>
      </c>
      <c r="L363" s="4" t="s">
        <v>216</v>
      </c>
      <c r="M363" s="4" t="s">
        <v>2206</v>
      </c>
      <c r="N363" s="5">
        <v>78.459999999999994</v>
      </c>
      <c r="O363" s="6">
        <v>10</v>
      </c>
      <c r="P363" s="7">
        <v>0.15</v>
      </c>
      <c r="Q363" s="18">
        <v>23.05</v>
      </c>
      <c r="R363" s="45" t="str">
        <f t="shared" si="20"/>
        <v>OK</v>
      </c>
      <c r="S363" s="45">
        <f t="shared" si="21"/>
        <v>681.33444444444444</v>
      </c>
      <c r="T363" s="45">
        <f t="shared" si="22"/>
        <v>9</v>
      </c>
      <c r="U363" s="45">
        <f t="shared" si="23"/>
        <v>6132.01</v>
      </c>
    </row>
    <row r="364" spans="1:21" x14ac:dyDescent="0.3">
      <c r="A364" s="17" t="s">
        <v>255</v>
      </c>
      <c r="B364" s="32">
        <v>44748</v>
      </c>
      <c r="C364" s="32">
        <v>44754</v>
      </c>
      <c r="D364" s="8" t="s">
        <v>29</v>
      </c>
      <c r="E364" s="8" t="s">
        <v>201</v>
      </c>
      <c r="F364" s="10" t="s">
        <v>202</v>
      </c>
      <c r="G364" s="10" t="s">
        <v>21</v>
      </c>
      <c r="H364" s="10" t="s">
        <v>98</v>
      </c>
      <c r="I364" s="10" t="s">
        <v>80</v>
      </c>
      <c r="J364" s="10" t="s">
        <v>54</v>
      </c>
      <c r="K364" s="10" t="s">
        <v>25</v>
      </c>
      <c r="L364" s="10" t="s">
        <v>124</v>
      </c>
      <c r="M364" s="10" t="s">
        <v>256</v>
      </c>
      <c r="N364" s="11">
        <v>15292.94</v>
      </c>
      <c r="O364" s="12">
        <v>9</v>
      </c>
      <c r="P364" s="13">
        <v>0.2</v>
      </c>
      <c r="Q364" s="19">
        <v>-418.59</v>
      </c>
      <c r="R364" s="45" t="str">
        <f t="shared" si="20"/>
        <v>OK</v>
      </c>
      <c r="S364" s="45">
        <f t="shared" si="21"/>
        <v>681.33444444444444</v>
      </c>
      <c r="T364" s="45">
        <f t="shared" si="22"/>
        <v>9</v>
      </c>
      <c r="U364" s="45">
        <f t="shared" si="23"/>
        <v>6132.01</v>
      </c>
    </row>
    <row r="365" spans="1:21" x14ac:dyDescent="0.3">
      <c r="A365" s="17" t="s">
        <v>2419</v>
      </c>
      <c r="B365" s="32">
        <v>44749</v>
      </c>
      <c r="C365" s="32">
        <v>44754</v>
      </c>
      <c r="D365" s="8" t="s">
        <v>29</v>
      </c>
      <c r="E365" s="8" t="s">
        <v>1136</v>
      </c>
      <c r="F365" s="10" t="s">
        <v>1137</v>
      </c>
      <c r="G365" s="10" t="s">
        <v>51</v>
      </c>
      <c r="H365" s="10" t="s">
        <v>386</v>
      </c>
      <c r="I365" s="10" t="s">
        <v>347</v>
      </c>
      <c r="J365" s="10" t="s">
        <v>88</v>
      </c>
      <c r="K365" s="10" t="s">
        <v>35</v>
      </c>
      <c r="L365" s="10" t="s">
        <v>216</v>
      </c>
      <c r="M365" s="10" t="s">
        <v>2420</v>
      </c>
      <c r="N365" s="11">
        <v>28.77</v>
      </c>
      <c r="O365" s="12">
        <v>5</v>
      </c>
      <c r="P365" s="13">
        <v>0.3</v>
      </c>
      <c r="Q365" s="19">
        <v>7.09</v>
      </c>
      <c r="R365" s="45" t="str">
        <f t="shared" si="20"/>
        <v>OK</v>
      </c>
      <c r="S365" s="45">
        <f t="shared" si="21"/>
        <v>681.33444444444444</v>
      </c>
      <c r="T365" s="45">
        <f t="shared" si="22"/>
        <v>9</v>
      </c>
      <c r="U365" s="45">
        <f t="shared" si="23"/>
        <v>6132.01</v>
      </c>
    </row>
    <row r="366" spans="1:21" x14ac:dyDescent="0.3">
      <c r="A366" s="17" t="s">
        <v>2368</v>
      </c>
      <c r="B366" s="32">
        <v>44753</v>
      </c>
      <c r="C366" s="32">
        <v>44754</v>
      </c>
      <c r="D366" s="8" t="s">
        <v>18</v>
      </c>
      <c r="E366" s="8" t="s">
        <v>309</v>
      </c>
      <c r="F366" s="10" t="s">
        <v>310</v>
      </c>
      <c r="G366" s="10" t="s">
        <v>21</v>
      </c>
      <c r="H366" s="10" t="s">
        <v>115</v>
      </c>
      <c r="I366" s="10" t="s">
        <v>116</v>
      </c>
      <c r="J366" s="10" t="s">
        <v>54</v>
      </c>
      <c r="K366" s="10" t="s">
        <v>25</v>
      </c>
      <c r="L366" s="10" t="s">
        <v>68</v>
      </c>
      <c r="M366" s="10" t="s">
        <v>2369</v>
      </c>
      <c r="N366" s="11">
        <v>740.65</v>
      </c>
      <c r="O366" s="12">
        <v>5</v>
      </c>
      <c r="P366" s="13">
        <v>0.15</v>
      </c>
      <c r="Q366" s="19">
        <v>188.58</v>
      </c>
      <c r="R366" s="45" t="str">
        <f t="shared" si="20"/>
        <v>OK</v>
      </c>
      <c r="S366" s="45">
        <f t="shared" si="21"/>
        <v>681.33444444444444</v>
      </c>
      <c r="T366" s="45">
        <f t="shared" si="22"/>
        <v>9</v>
      </c>
      <c r="U366" s="45">
        <f t="shared" si="23"/>
        <v>6132.01</v>
      </c>
    </row>
    <row r="367" spans="1:21" x14ac:dyDescent="0.3">
      <c r="A367" s="17" t="s">
        <v>750</v>
      </c>
      <c r="B367" s="32">
        <v>44755</v>
      </c>
      <c r="C367" s="32">
        <v>44758</v>
      </c>
      <c r="D367" s="8" t="s">
        <v>39</v>
      </c>
      <c r="E367" s="8" t="s">
        <v>733</v>
      </c>
      <c r="F367" s="10" t="s">
        <v>734</v>
      </c>
      <c r="G367" s="10" t="s">
        <v>51</v>
      </c>
      <c r="H367" s="10" t="s">
        <v>324</v>
      </c>
      <c r="I367" s="10" t="s">
        <v>116</v>
      </c>
      <c r="J367" s="10" t="s">
        <v>54</v>
      </c>
      <c r="K367" s="10" t="s">
        <v>45</v>
      </c>
      <c r="L367" s="10" t="s">
        <v>117</v>
      </c>
      <c r="M367" s="10" t="s">
        <v>751</v>
      </c>
      <c r="N367" s="11">
        <v>575.84</v>
      </c>
      <c r="O367" s="12">
        <v>3</v>
      </c>
      <c r="P367" s="13">
        <v>0.15</v>
      </c>
      <c r="Q367" s="19">
        <v>124.56</v>
      </c>
      <c r="R367" s="45" t="str">
        <f t="shared" si="20"/>
        <v>OK</v>
      </c>
      <c r="S367" s="45">
        <f t="shared" si="21"/>
        <v>681.33444444444444</v>
      </c>
      <c r="T367" s="45">
        <f t="shared" si="22"/>
        <v>9</v>
      </c>
      <c r="U367" s="45">
        <f t="shared" si="23"/>
        <v>6132.01</v>
      </c>
    </row>
    <row r="368" spans="1:21" x14ac:dyDescent="0.3">
      <c r="A368" s="17" t="s">
        <v>2411</v>
      </c>
      <c r="B368" s="32">
        <v>44756</v>
      </c>
      <c r="C368" s="32">
        <v>44763</v>
      </c>
      <c r="D368" s="8" t="s">
        <v>29</v>
      </c>
      <c r="E368" s="8" t="s">
        <v>175</v>
      </c>
      <c r="F368" s="10" t="s">
        <v>176</v>
      </c>
      <c r="G368" s="10" t="s">
        <v>51</v>
      </c>
      <c r="H368" s="10" t="s">
        <v>177</v>
      </c>
      <c r="I368" s="10" t="s">
        <v>178</v>
      </c>
      <c r="J368" s="10" t="s">
        <v>24</v>
      </c>
      <c r="K368" s="10" t="s">
        <v>25</v>
      </c>
      <c r="L368" s="10" t="s">
        <v>68</v>
      </c>
      <c r="M368" s="10" t="s">
        <v>2412</v>
      </c>
      <c r="N368" s="11">
        <v>1463.6</v>
      </c>
      <c r="O368" s="12">
        <v>10</v>
      </c>
      <c r="P368" s="13">
        <v>0</v>
      </c>
      <c r="Q368" s="19">
        <v>563.92999999999995</v>
      </c>
      <c r="R368" s="45" t="str">
        <f t="shared" si="20"/>
        <v>OK</v>
      </c>
      <c r="S368" s="45">
        <f t="shared" si="21"/>
        <v>681.33444444444444</v>
      </c>
      <c r="T368" s="45">
        <f t="shared" si="22"/>
        <v>9</v>
      </c>
      <c r="U368" s="45">
        <f t="shared" si="23"/>
        <v>6132.01</v>
      </c>
    </row>
    <row r="369" spans="1:21" x14ac:dyDescent="0.3">
      <c r="A369" s="17" t="s">
        <v>1581</v>
      </c>
      <c r="B369" s="32">
        <v>44758</v>
      </c>
      <c r="C369" s="32">
        <v>44762</v>
      </c>
      <c r="D369" s="8" t="s">
        <v>73</v>
      </c>
      <c r="E369" s="8" t="s">
        <v>1582</v>
      </c>
      <c r="F369" s="10" t="s">
        <v>1583</v>
      </c>
      <c r="G369" s="10" t="s">
        <v>21</v>
      </c>
      <c r="H369" s="10" t="s">
        <v>52</v>
      </c>
      <c r="I369" s="10" t="s">
        <v>53</v>
      </c>
      <c r="J369" s="10" t="s">
        <v>54</v>
      </c>
      <c r="K369" s="10" t="s">
        <v>35</v>
      </c>
      <c r="L369" s="10" t="s">
        <v>166</v>
      </c>
      <c r="M369" s="10" t="s">
        <v>1584</v>
      </c>
      <c r="N369" s="11">
        <v>1008.9</v>
      </c>
      <c r="O369" s="12">
        <v>9</v>
      </c>
      <c r="P369" s="13">
        <v>0</v>
      </c>
      <c r="Q369" s="19">
        <v>356.43</v>
      </c>
      <c r="R369" s="45" t="str">
        <f t="shared" si="20"/>
        <v>OK</v>
      </c>
      <c r="S369" s="45">
        <f t="shared" si="21"/>
        <v>583.55124999999998</v>
      </c>
      <c r="T369" s="45">
        <f t="shared" si="22"/>
        <v>8</v>
      </c>
      <c r="U369" s="45">
        <f t="shared" si="23"/>
        <v>4668.41</v>
      </c>
    </row>
    <row r="370" spans="1:21" x14ac:dyDescent="0.3">
      <c r="A370" s="16" t="s">
        <v>2106</v>
      </c>
      <c r="B370" s="31">
        <v>44758</v>
      </c>
      <c r="C370" s="31">
        <v>44763</v>
      </c>
      <c r="D370" s="2" t="s">
        <v>29</v>
      </c>
      <c r="E370" s="2" t="s">
        <v>1309</v>
      </c>
      <c r="F370" s="4" t="s">
        <v>1310</v>
      </c>
      <c r="G370" s="4" t="s">
        <v>51</v>
      </c>
      <c r="H370" s="4" t="s">
        <v>98</v>
      </c>
      <c r="I370" s="4" t="s">
        <v>80</v>
      </c>
      <c r="J370" s="4" t="s">
        <v>54</v>
      </c>
      <c r="K370" s="4" t="s">
        <v>25</v>
      </c>
      <c r="L370" s="4" t="s">
        <v>124</v>
      </c>
      <c r="M370" s="4" t="s">
        <v>2107</v>
      </c>
      <c r="N370" s="5">
        <v>709.14</v>
      </c>
      <c r="O370" s="6">
        <v>1</v>
      </c>
      <c r="P370" s="7">
        <v>0.1</v>
      </c>
      <c r="Q370" s="18">
        <v>80.42</v>
      </c>
      <c r="R370" s="45" t="str">
        <f t="shared" si="20"/>
        <v>OK</v>
      </c>
      <c r="S370" s="45">
        <f t="shared" si="21"/>
        <v>583.55124999999998</v>
      </c>
      <c r="T370" s="45">
        <f t="shared" si="22"/>
        <v>8</v>
      </c>
      <c r="U370" s="45">
        <f t="shared" si="23"/>
        <v>4668.41</v>
      </c>
    </row>
    <row r="371" spans="1:21" x14ac:dyDescent="0.3">
      <c r="A371" s="16" t="s">
        <v>808</v>
      </c>
      <c r="B371" s="31">
        <v>44759</v>
      </c>
      <c r="C371" s="31">
        <v>44764</v>
      </c>
      <c r="D371" s="2" t="s">
        <v>29</v>
      </c>
      <c r="E371" s="2" t="s">
        <v>809</v>
      </c>
      <c r="F371" s="4" t="s">
        <v>810</v>
      </c>
      <c r="G371" s="4" t="s">
        <v>42</v>
      </c>
      <c r="H371" s="4" t="s">
        <v>352</v>
      </c>
      <c r="I371" s="4" t="s">
        <v>306</v>
      </c>
      <c r="J371" s="4" t="s">
        <v>34</v>
      </c>
      <c r="K371" s="4" t="s">
        <v>35</v>
      </c>
      <c r="L371" s="4" t="s">
        <v>36</v>
      </c>
      <c r="M371" s="4" t="s">
        <v>811</v>
      </c>
      <c r="N371" s="5">
        <v>569.70000000000005</v>
      </c>
      <c r="O371" s="6">
        <v>6</v>
      </c>
      <c r="P371" s="7">
        <v>0.5</v>
      </c>
      <c r="Q371" s="18">
        <v>-181.97</v>
      </c>
      <c r="R371" s="45" t="str">
        <f t="shared" si="20"/>
        <v>OK</v>
      </c>
      <c r="S371" s="45">
        <f t="shared" si="21"/>
        <v>583.55124999999998</v>
      </c>
      <c r="T371" s="45">
        <f t="shared" si="22"/>
        <v>8</v>
      </c>
      <c r="U371" s="45">
        <f t="shared" si="23"/>
        <v>4668.41</v>
      </c>
    </row>
    <row r="372" spans="1:21" x14ac:dyDescent="0.3">
      <c r="A372" s="17" t="s">
        <v>1321</v>
      </c>
      <c r="B372" s="32">
        <v>44760</v>
      </c>
      <c r="C372" s="32">
        <v>44765</v>
      </c>
      <c r="D372" s="8" t="s">
        <v>29</v>
      </c>
      <c r="E372" s="8" t="s">
        <v>1158</v>
      </c>
      <c r="F372" s="10" t="s">
        <v>1159</v>
      </c>
      <c r="G372" s="10" t="s">
        <v>42</v>
      </c>
      <c r="H372" s="10" t="s">
        <v>346</v>
      </c>
      <c r="I372" s="10" t="s">
        <v>347</v>
      </c>
      <c r="J372" s="10" t="s">
        <v>88</v>
      </c>
      <c r="K372" s="10" t="s">
        <v>45</v>
      </c>
      <c r="L372" s="10" t="s">
        <v>117</v>
      </c>
      <c r="M372" s="10" t="s">
        <v>1322</v>
      </c>
      <c r="N372" s="11">
        <v>2831.66</v>
      </c>
      <c r="O372" s="12">
        <v>7</v>
      </c>
      <c r="P372" s="13">
        <v>0.1</v>
      </c>
      <c r="Q372" s="19">
        <v>486.16</v>
      </c>
      <c r="R372" s="45" t="str">
        <f t="shared" si="20"/>
        <v>OK</v>
      </c>
      <c r="S372" s="45">
        <f t="shared" si="21"/>
        <v>583.55124999999998</v>
      </c>
      <c r="T372" s="45">
        <f t="shared" si="22"/>
        <v>8</v>
      </c>
      <c r="U372" s="45">
        <f t="shared" si="23"/>
        <v>4668.41</v>
      </c>
    </row>
    <row r="373" spans="1:21" x14ac:dyDescent="0.3">
      <c r="A373" s="16" t="s">
        <v>2217</v>
      </c>
      <c r="B373" s="31">
        <v>44762</v>
      </c>
      <c r="C373" s="31">
        <v>44764</v>
      </c>
      <c r="D373" s="2" t="s">
        <v>18</v>
      </c>
      <c r="E373" s="2" t="s">
        <v>1052</v>
      </c>
      <c r="F373" s="4" t="s">
        <v>1053</v>
      </c>
      <c r="G373" s="4" t="s">
        <v>42</v>
      </c>
      <c r="H373" s="4" t="s">
        <v>694</v>
      </c>
      <c r="I373" s="4" t="s">
        <v>67</v>
      </c>
      <c r="J373" s="4" t="s">
        <v>34</v>
      </c>
      <c r="K373" s="4" t="s">
        <v>45</v>
      </c>
      <c r="L373" s="4" t="s">
        <v>99</v>
      </c>
      <c r="M373" s="4" t="s">
        <v>2218</v>
      </c>
      <c r="N373" s="5">
        <v>55.46</v>
      </c>
      <c r="O373" s="6">
        <v>1</v>
      </c>
      <c r="P373" s="7">
        <v>0</v>
      </c>
      <c r="Q373" s="18">
        <v>21.41</v>
      </c>
      <c r="R373" s="45" t="str">
        <f t="shared" si="20"/>
        <v>OK</v>
      </c>
      <c r="S373" s="45">
        <f t="shared" si="21"/>
        <v>583.55124999999998</v>
      </c>
      <c r="T373" s="45">
        <f t="shared" si="22"/>
        <v>8</v>
      </c>
      <c r="U373" s="45">
        <f t="shared" si="23"/>
        <v>4668.41</v>
      </c>
    </row>
    <row r="374" spans="1:21" x14ac:dyDescent="0.3">
      <c r="A374" s="17" t="s">
        <v>927</v>
      </c>
      <c r="B374" s="32">
        <v>44763</v>
      </c>
      <c r="C374" s="32">
        <v>44766</v>
      </c>
      <c r="D374" s="8" t="s">
        <v>18</v>
      </c>
      <c r="E374" s="8" t="s">
        <v>614</v>
      </c>
      <c r="F374" s="10" t="s">
        <v>615</v>
      </c>
      <c r="G374" s="10" t="s">
        <v>21</v>
      </c>
      <c r="H374" s="10" t="s">
        <v>139</v>
      </c>
      <c r="I374" s="10" t="s">
        <v>140</v>
      </c>
      <c r="J374" s="10" t="s">
        <v>24</v>
      </c>
      <c r="K374" s="10" t="s">
        <v>25</v>
      </c>
      <c r="L374" s="10" t="s">
        <v>124</v>
      </c>
      <c r="M374" s="10" t="s">
        <v>928</v>
      </c>
      <c r="N374" s="11">
        <v>9898.7199999999993</v>
      </c>
      <c r="O374" s="12">
        <v>8</v>
      </c>
      <c r="P374" s="13">
        <v>0</v>
      </c>
      <c r="Q374" s="19">
        <v>2254.88</v>
      </c>
      <c r="R374" s="45" t="str">
        <f t="shared" si="20"/>
        <v>OK</v>
      </c>
      <c r="S374" s="45">
        <f t="shared" si="21"/>
        <v>583.55124999999998</v>
      </c>
      <c r="T374" s="45">
        <f t="shared" si="22"/>
        <v>8</v>
      </c>
      <c r="U374" s="45">
        <f t="shared" si="23"/>
        <v>4668.41</v>
      </c>
    </row>
    <row r="375" spans="1:21" x14ac:dyDescent="0.3">
      <c r="A375" s="17" t="s">
        <v>958</v>
      </c>
      <c r="B375" s="32">
        <v>44763</v>
      </c>
      <c r="C375" s="32">
        <v>44765</v>
      </c>
      <c r="D375" s="8" t="s">
        <v>39</v>
      </c>
      <c r="E375" s="8" t="s">
        <v>670</v>
      </c>
      <c r="F375" s="10" t="s">
        <v>671</v>
      </c>
      <c r="G375" s="10" t="s">
        <v>21</v>
      </c>
      <c r="H375" s="10" t="s">
        <v>465</v>
      </c>
      <c r="I375" s="10" t="s">
        <v>423</v>
      </c>
      <c r="J375" s="10" t="s">
        <v>88</v>
      </c>
      <c r="K375" s="10" t="s">
        <v>35</v>
      </c>
      <c r="L375" s="10" t="s">
        <v>166</v>
      </c>
      <c r="M375" s="10" t="s">
        <v>959</v>
      </c>
      <c r="N375" s="11">
        <v>15.03</v>
      </c>
      <c r="O375" s="12">
        <v>1</v>
      </c>
      <c r="P375" s="13">
        <v>0.5</v>
      </c>
      <c r="Q375" s="19">
        <v>-8.11</v>
      </c>
      <c r="R375" s="45" t="str">
        <f t="shared" si="20"/>
        <v>OK</v>
      </c>
      <c r="S375" s="45">
        <f t="shared" si="21"/>
        <v>583.55124999999998</v>
      </c>
      <c r="T375" s="45">
        <f t="shared" si="22"/>
        <v>8</v>
      </c>
      <c r="U375" s="45">
        <f t="shared" si="23"/>
        <v>4668.41</v>
      </c>
    </row>
    <row r="376" spans="1:21" x14ac:dyDescent="0.3">
      <c r="A376" s="17" t="s">
        <v>738</v>
      </c>
      <c r="B376" s="32">
        <v>44765</v>
      </c>
      <c r="C376" s="32">
        <v>44769</v>
      </c>
      <c r="D376" s="8" t="s">
        <v>73</v>
      </c>
      <c r="E376" s="8" t="s">
        <v>364</v>
      </c>
      <c r="F376" s="10" t="s">
        <v>365</v>
      </c>
      <c r="G376" s="10" t="s">
        <v>42</v>
      </c>
      <c r="H376" s="10" t="s">
        <v>193</v>
      </c>
      <c r="I376" s="10" t="s">
        <v>194</v>
      </c>
      <c r="J376" s="10" t="s">
        <v>34</v>
      </c>
      <c r="K376" s="10" t="s">
        <v>25</v>
      </c>
      <c r="L376" s="10" t="s">
        <v>68</v>
      </c>
      <c r="M376" s="10" t="s">
        <v>739</v>
      </c>
      <c r="N376" s="11">
        <v>343.64</v>
      </c>
      <c r="O376" s="12">
        <v>7</v>
      </c>
      <c r="P376" s="13">
        <v>0.3</v>
      </c>
      <c r="Q376" s="19">
        <v>34.74</v>
      </c>
      <c r="R376" s="45" t="str">
        <f t="shared" si="20"/>
        <v>OK</v>
      </c>
      <c r="S376" s="45">
        <f t="shared" si="21"/>
        <v>583.55124999999998</v>
      </c>
      <c r="T376" s="45">
        <f t="shared" si="22"/>
        <v>8</v>
      </c>
      <c r="U376" s="45">
        <f t="shared" si="23"/>
        <v>4668.41</v>
      </c>
    </row>
    <row r="377" spans="1:21" x14ac:dyDescent="0.3">
      <c r="A377" s="16" t="s">
        <v>1385</v>
      </c>
      <c r="B377" s="31">
        <v>44766</v>
      </c>
      <c r="C377" s="31">
        <v>44768</v>
      </c>
      <c r="D377" s="2" t="s">
        <v>39</v>
      </c>
      <c r="E377" s="2" t="s">
        <v>890</v>
      </c>
      <c r="F377" s="4" t="s">
        <v>891</v>
      </c>
      <c r="G377" s="4" t="s">
        <v>42</v>
      </c>
      <c r="H377" s="4" t="s">
        <v>22</v>
      </c>
      <c r="I377" s="4" t="s">
        <v>23</v>
      </c>
      <c r="J377" s="4" t="s">
        <v>24</v>
      </c>
      <c r="K377" s="4" t="s">
        <v>35</v>
      </c>
      <c r="L377" s="4" t="s">
        <v>36</v>
      </c>
      <c r="M377" s="4" t="s">
        <v>1386</v>
      </c>
      <c r="N377" s="5">
        <v>186.2</v>
      </c>
      <c r="O377" s="6">
        <v>2</v>
      </c>
      <c r="P377" s="7">
        <v>0</v>
      </c>
      <c r="Q377" s="18">
        <v>78.040000000000006</v>
      </c>
      <c r="R377" s="45" t="str">
        <f t="shared" si="20"/>
        <v>OK</v>
      </c>
      <c r="S377" s="45">
        <f t="shared" si="21"/>
        <v>583.55124999999998</v>
      </c>
      <c r="T377" s="45">
        <f t="shared" si="22"/>
        <v>8</v>
      </c>
      <c r="U377" s="45">
        <f t="shared" si="23"/>
        <v>4668.41</v>
      </c>
    </row>
    <row r="378" spans="1:21" x14ac:dyDescent="0.3">
      <c r="A378" s="17" t="s">
        <v>483</v>
      </c>
      <c r="B378" s="32">
        <v>44767</v>
      </c>
      <c r="C378" s="32">
        <v>44770</v>
      </c>
      <c r="D378" s="8" t="s">
        <v>73</v>
      </c>
      <c r="E378" s="8" t="s">
        <v>484</v>
      </c>
      <c r="F378" s="10" t="s">
        <v>485</v>
      </c>
      <c r="G378" s="10" t="s">
        <v>21</v>
      </c>
      <c r="H378" s="10" t="s">
        <v>86</v>
      </c>
      <c r="I378" s="10" t="s">
        <v>87</v>
      </c>
      <c r="J378" s="10" t="s">
        <v>88</v>
      </c>
      <c r="K378" s="10" t="s">
        <v>35</v>
      </c>
      <c r="L378" s="10" t="s">
        <v>89</v>
      </c>
      <c r="M378" s="10" t="s">
        <v>486</v>
      </c>
      <c r="N378" s="11">
        <v>247.18</v>
      </c>
      <c r="O378" s="12">
        <v>2</v>
      </c>
      <c r="P378" s="13">
        <v>0.5</v>
      </c>
      <c r="Q378" s="19">
        <v>-68.42</v>
      </c>
      <c r="R378" s="45" t="str">
        <f t="shared" si="20"/>
        <v>OK</v>
      </c>
      <c r="S378" s="45">
        <f t="shared" si="21"/>
        <v>583.55124999999998</v>
      </c>
      <c r="T378" s="45">
        <f t="shared" si="22"/>
        <v>8</v>
      </c>
      <c r="U378" s="45">
        <f t="shared" si="23"/>
        <v>4668.41</v>
      </c>
    </row>
    <row r="379" spans="1:21" x14ac:dyDescent="0.3">
      <c r="A379" s="17" t="s">
        <v>1109</v>
      </c>
      <c r="B379" s="32">
        <v>44769</v>
      </c>
      <c r="C379" s="32">
        <v>44770</v>
      </c>
      <c r="D379" s="8" t="s">
        <v>18</v>
      </c>
      <c r="E379" s="8" t="s">
        <v>30</v>
      </c>
      <c r="F379" s="10" t="s">
        <v>31</v>
      </c>
      <c r="G379" s="10" t="s">
        <v>21</v>
      </c>
      <c r="H379" s="10" t="s">
        <v>32</v>
      </c>
      <c r="I379" s="10" t="s">
        <v>33</v>
      </c>
      <c r="J379" s="10" t="s">
        <v>34</v>
      </c>
      <c r="K379" s="10" t="s">
        <v>35</v>
      </c>
      <c r="L379" s="10" t="s">
        <v>89</v>
      </c>
      <c r="M379" s="10" t="s">
        <v>1110</v>
      </c>
      <c r="N379" s="11">
        <v>834.25</v>
      </c>
      <c r="O379" s="12">
        <v>9</v>
      </c>
      <c r="P379" s="13">
        <v>0.3</v>
      </c>
      <c r="Q379" s="19">
        <v>143.31</v>
      </c>
      <c r="R379" s="45" t="str">
        <f t="shared" si="20"/>
        <v>OK</v>
      </c>
      <c r="S379" s="45">
        <f t="shared" si="21"/>
        <v>583.55124999999998</v>
      </c>
      <c r="T379" s="45">
        <f t="shared" si="22"/>
        <v>8</v>
      </c>
      <c r="U379" s="45">
        <f t="shared" si="23"/>
        <v>4668.41</v>
      </c>
    </row>
    <row r="380" spans="1:21" x14ac:dyDescent="0.3">
      <c r="A380" s="16" t="s">
        <v>1173</v>
      </c>
      <c r="B380" s="31">
        <v>44770</v>
      </c>
      <c r="C380" s="31">
        <v>44773</v>
      </c>
      <c r="D380" s="2" t="s">
        <v>39</v>
      </c>
      <c r="E380" s="2" t="s">
        <v>244</v>
      </c>
      <c r="F380" s="4" t="s">
        <v>245</v>
      </c>
      <c r="G380" s="4" t="s">
        <v>42</v>
      </c>
      <c r="H380" s="4" t="s">
        <v>79</v>
      </c>
      <c r="I380" s="4" t="s">
        <v>80</v>
      </c>
      <c r="J380" s="4" t="s">
        <v>54</v>
      </c>
      <c r="K380" s="4" t="s">
        <v>35</v>
      </c>
      <c r="L380" s="4" t="s">
        <v>216</v>
      </c>
      <c r="M380" s="4" t="s">
        <v>1174</v>
      </c>
      <c r="N380" s="5">
        <v>78.08</v>
      </c>
      <c r="O380" s="6">
        <v>3</v>
      </c>
      <c r="P380" s="7">
        <v>0.1</v>
      </c>
      <c r="Q380" s="18">
        <v>35.06</v>
      </c>
      <c r="R380" s="45" t="str">
        <f t="shared" si="20"/>
        <v>OK</v>
      </c>
      <c r="S380" s="45">
        <f t="shared" si="21"/>
        <v>583.55124999999998</v>
      </c>
      <c r="T380" s="45">
        <f t="shared" si="22"/>
        <v>8</v>
      </c>
      <c r="U380" s="45">
        <f t="shared" si="23"/>
        <v>4668.41</v>
      </c>
    </row>
    <row r="381" spans="1:21" x14ac:dyDescent="0.3">
      <c r="A381" s="16" t="s">
        <v>2096</v>
      </c>
      <c r="B381" s="31">
        <v>44770</v>
      </c>
      <c r="C381" s="31">
        <v>44776</v>
      </c>
      <c r="D381" s="2" t="s">
        <v>29</v>
      </c>
      <c r="E381" s="2" t="s">
        <v>1246</v>
      </c>
      <c r="F381" s="4" t="s">
        <v>1247</v>
      </c>
      <c r="G381" s="4" t="s">
        <v>42</v>
      </c>
      <c r="H381" s="4" t="s">
        <v>1091</v>
      </c>
      <c r="I381" s="4" t="s">
        <v>23</v>
      </c>
      <c r="J381" s="4" t="s">
        <v>24</v>
      </c>
      <c r="K381" s="4" t="s">
        <v>45</v>
      </c>
      <c r="L381" s="4" t="s">
        <v>46</v>
      </c>
      <c r="M381" s="4" t="s">
        <v>2097</v>
      </c>
      <c r="N381" s="5">
        <v>458.22</v>
      </c>
      <c r="O381" s="6">
        <v>6</v>
      </c>
      <c r="P381" s="7">
        <v>0.05</v>
      </c>
      <c r="Q381" s="18">
        <v>161.27000000000001</v>
      </c>
      <c r="R381" s="45" t="str">
        <f t="shared" si="20"/>
        <v>OK</v>
      </c>
      <c r="S381" s="45">
        <f t="shared" si="21"/>
        <v>583.55124999999998</v>
      </c>
      <c r="T381" s="45">
        <f t="shared" si="22"/>
        <v>8</v>
      </c>
      <c r="U381" s="45">
        <f t="shared" si="23"/>
        <v>4668.41</v>
      </c>
    </row>
    <row r="382" spans="1:21" x14ac:dyDescent="0.3">
      <c r="A382" s="17" t="s">
        <v>2140</v>
      </c>
      <c r="B382" s="32">
        <v>44774</v>
      </c>
      <c r="C382" s="32">
        <v>44777</v>
      </c>
      <c r="D382" s="8" t="s">
        <v>18</v>
      </c>
      <c r="E382" s="8" t="s">
        <v>1521</v>
      </c>
      <c r="F382" s="10" t="s">
        <v>1522</v>
      </c>
      <c r="G382" s="10" t="s">
        <v>51</v>
      </c>
      <c r="H382" s="10" t="s">
        <v>305</v>
      </c>
      <c r="I382" s="10" t="s">
        <v>306</v>
      </c>
      <c r="J382" s="10" t="s">
        <v>34</v>
      </c>
      <c r="K382" s="10" t="s">
        <v>35</v>
      </c>
      <c r="L382" s="10" t="s">
        <v>81</v>
      </c>
      <c r="M382" s="10" t="s">
        <v>2141</v>
      </c>
      <c r="N382" s="11">
        <v>86.1</v>
      </c>
      <c r="O382" s="12">
        <v>10</v>
      </c>
      <c r="P382" s="13">
        <v>0.3</v>
      </c>
      <c r="Q382" s="19">
        <v>25.35</v>
      </c>
      <c r="R382" s="45" t="str">
        <f t="shared" si="20"/>
        <v>OK</v>
      </c>
      <c r="S382" s="45">
        <f t="shared" si="21"/>
        <v>583.55124999999998</v>
      </c>
      <c r="T382" s="45">
        <f t="shared" si="22"/>
        <v>8</v>
      </c>
      <c r="U382" s="45">
        <f t="shared" si="23"/>
        <v>4668.41</v>
      </c>
    </row>
    <row r="383" spans="1:21" x14ac:dyDescent="0.3">
      <c r="A383" s="16" t="s">
        <v>1467</v>
      </c>
      <c r="B383" s="31">
        <v>44775</v>
      </c>
      <c r="C383" s="31">
        <v>44778</v>
      </c>
      <c r="D383" s="2" t="s">
        <v>18</v>
      </c>
      <c r="E383" s="2" t="s">
        <v>370</v>
      </c>
      <c r="F383" s="4" t="s">
        <v>371</v>
      </c>
      <c r="G383" s="4" t="s">
        <v>51</v>
      </c>
      <c r="H383" s="4" t="s">
        <v>372</v>
      </c>
      <c r="I383" s="4" t="s">
        <v>373</v>
      </c>
      <c r="J383" s="4" t="s">
        <v>34</v>
      </c>
      <c r="K383" s="4" t="s">
        <v>45</v>
      </c>
      <c r="L383" s="4" t="s">
        <v>99</v>
      </c>
      <c r="M383" s="4" t="s">
        <v>1468</v>
      </c>
      <c r="N383" s="5">
        <v>138.55000000000001</v>
      </c>
      <c r="O383" s="6">
        <v>5</v>
      </c>
      <c r="P383" s="7">
        <v>0</v>
      </c>
      <c r="Q383" s="18">
        <v>33.68</v>
      </c>
      <c r="R383" s="45" t="str">
        <f t="shared" si="20"/>
        <v>OK</v>
      </c>
      <c r="S383" s="45">
        <f t="shared" si="21"/>
        <v>583.55124999999998</v>
      </c>
      <c r="T383" s="45">
        <f t="shared" si="22"/>
        <v>8</v>
      </c>
      <c r="U383" s="45">
        <f t="shared" si="23"/>
        <v>4668.41</v>
      </c>
    </row>
    <row r="384" spans="1:21" x14ac:dyDescent="0.3">
      <c r="A384" s="16" t="s">
        <v>1779</v>
      </c>
      <c r="B384" s="31">
        <v>44775</v>
      </c>
      <c r="C384" s="31">
        <v>44777</v>
      </c>
      <c r="D384" s="2" t="s">
        <v>39</v>
      </c>
      <c r="E384" s="2" t="s">
        <v>1448</v>
      </c>
      <c r="F384" s="4" t="s">
        <v>1449</v>
      </c>
      <c r="G384" s="4" t="s">
        <v>21</v>
      </c>
      <c r="H384" s="4" t="s">
        <v>122</v>
      </c>
      <c r="I384" s="4" t="s">
        <v>123</v>
      </c>
      <c r="J384" s="4" t="s">
        <v>24</v>
      </c>
      <c r="K384" s="4" t="s">
        <v>25</v>
      </c>
      <c r="L384" s="4" t="s">
        <v>68</v>
      </c>
      <c r="M384" s="4" t="s">
        <v>1780</v>
      </c>
      <c r="N384" s="5">
        <v>310.8</v>
      </c>
      <c r="O384" s="6">
        <v>10</v>
      </c>
      <c r="P384" s="7">
        <v>0</v>
      </c>
      <c r="Q384" s="18">
        <v>143.86000000000001</v>
      </c>
      <c r="R384" s="45" t="str">
        <f t="shared" si="20"/>
        <v>OK</v>
      </c>
      <c r="S384" s="45">
        <f t="shared" si="21"/>
        <v>583.55124999999998</v>
      </c>
      <c r="T384" s="45">
        <f t="shared" si="22"/>
        <v>8</v>
      </c>
      <c r="U384" s="45">
        <f t="shared" si="23"/>
        <v>4668.41</v>
      </c>
    </row>
    <row r="385" spans="1:21" x14ac:dyDescent="0.3">
      <c r="A385" s="17" t="s">
        <v>280</v>
      </c>
      <c r="B385" s="32">
        <v>44776</v>
      </c>
      <c r="C385" s="32">
        <v>44780</v>
      </c>
      <c r="D385" s="8" t="s">
        <v>73</v>
      </c>
      <c r="E385" s="8" t="s">
        <v>281</v>
      </c>
      <c r="F385" s="10" t="s">
        <v>282</v>
      </c>
      <c r="G385" s="10" t="s">
        <v>21</v>
      </c>
      <c r="H385" s="10" t="s">
        <v>250</v>
      </c>
      <c r="I385" s="10" t="s">
        <v>251</v>
      </c>
      <c r="J385" s="10" t="s">
        <v>88</v>
      </c>
      <c r="K385" s="10" t="s">
        <v>45</v>
      </c>
      <c r="L385" s="10" t="s">
        <v>61</v>
      </c>
      <c r="M385" s="10" t="s">
        <v>283</v>
      </c>
      <c r="N385" s="11">
        <v>7458.16</v>
      </c>
      <c r="O385" s="12">
        <v>10</v>
      </c>
      <c r="P385" s="13">
        <v>0.05</v>
      </c>
      <c r="Q385" s="19">
        <v>-229.51</v>
      </c>
      <c r="R385" s="45" t="str">
        <f t="shared" si="20"/>
        <v>OK</v>
      </c>
      <c r="S385" s="45">
        <f t="shared" si="21"/>
        <v>583.55124999999998</v>
      </c>
      <c r="T385" s="45">
        <f t="shared" si="22"/>
        <v>8</v>
      </c>
      <c r="U385" s="45">
        <f t="shared" si="23"/>
        <v>4668.41</v>
      </c>
    </row>
    <row r="386" spans="1:21" x14ac:dyDescent="0.3">
      <c r="A386" s="17" t="s">
        <v>2195</v>
      </c>
      <c r="B386" s="32">
        <v>44776</v>
      </c>
      <c r="C386" s="32">
        <v>44783</v>
      </c>
      <c r="D386" s="8" t="s">
        <v>29</v>
      </c>
      <c r="E386" s="8" t="s">
        <v>273</v>
      </c>
      <c r="F386" s="10" t="s">
        <v>274</v>
      </c>
      <c r="G386" s="10" t="s">
        <v>42</v>
      </c>
      <c r="H386" s="10" t="s">
        <v>171</v>
      </c>
      <c r="I386" s="10" t="s">
        <v>172</v>
      </c>
      <c r="J386" s="10" t="s">
        <v>24</v>
      </c>
      <c r="K386" s="10" t="s">
        <v>25</v>
      </c>
      <c r="L386" s="10" t="s">
        <v>26</v>
      </c>
      <c r="M386" s="10" t="s">
        <v>2196</v>
      </c>
      <c r="N386" s="11">
        <v>1368.86</v>
      </c>
      <c r="O386" s="12">
        <v>2</v>
      </c>
      <c r="P386" s="13">
        <v>0.2</v>
      </c>
      <c r="Q386" s="19">
        <v>66.63</v>
      </c>
      <c r="R386" s="45" t="str">
        <f t="shared" ref="R386:R449" si="24">IF(C386&lt;B386,"Error","OK")</f>
        <v>OK</v>
      </c>
      <c r="S386" s="45">
        <f t="shared" ref="S386:S449" si="25">AVERAGEIF(E386:E1384,"CU-1057",N386:N1384)</f>
        <v>583.55124999999998</v>
      </c>
      <c r="T386" s="45">
        <f t="shared" ref="T386:T449" si="26">COUNTIF(E386:E1384,"CU-1057")</f>
        <v>8</v>
      </c>
      <c r="U386" s="45">
        <f t="shared" ref="U386:U449" si="27">SUMIF(E386:E1384,"CU-1057",N386:N1384)</f>
        <v>4668.41</v>
      </c>
    </row>
    <row r="387" spans="1:21" x14ac:dyDescent="0.3">
      <c r="A387" s="17" t="s">
        <v>2306</v>
      </c>
      <c r="B387" s="32">
        <v>44776</v>
      </c>
      <c r="C387" s="32">
        <v>44780</v>
      </c>
      <c r="D387" s="8" t="s">
        <v>39</v>
      </c>
      <c r="E387" s="8" t="s">
        <v>723</v>
      </c>
      <c r="F387" s="10" t="s">
        <v>724</v>
      </c>
      <c r="G387" s="10" t="s">
        <v>21</v>
      </c>
      <c r="H387" s="10" t="s">
        <v>98</v>
      </c>
      <c r="I387" s="10" t="s">
        <v>80</v>
      </c>
      <c r="J387" s="10" t="s">
        <v>54</v>
      </c>
      <c r="K387" s="10" t="s">
        <v>35</v>
      </c>
      <c r="L387" s="10" t="s">
        <v>110</v>
      </c>
      <c r="M387" s="10" t="s">
        <v>2307</v>
      </c>
      <c r="N387" s="11">
        <v>215.53</v>
      </c>
      <c r="O387" s="12">
        <v>7</v>
      </c>
      <c r="P387" s="13">
        <v>0</v>
      </c>
      <c r="Q387" s="19">
        <v>96.03</v>
      </c>
      <c r="R387" s="45" t="str">
        <f t="shared" si="24"/>
        <v>OK</v>
      </c>
      <c r="S387" s="45">
        <f t="shared" si="25"/>
        <v>583.55124999999998</v>
      </c>
      <c r="T387" s="45">
        <f t="shared" si="26"/>
        <v>8</v>
      </c>
      <c r="U387" s="45">
        <f t="shared" si="27"/>
        <v>4668.41</v>
      </c>
    </row>
    <row r="388" spans="1:21" x14ac:dyDescent="0.3">
      <c r="A388" s="17" t="s">
        <v>2161</v>
      </c>
      <c r="B388" s="32">
        <v>44777</v>
      </c>
      <c r="C388" s="32">
        <v>44782</v>
      </c>
      <c r="D388" s="8" t="s">
        <v>73</v>
      </c>
      <c r="E388" s="8" t="s">
        <v>57</v>
      </c>
      <c r="F388" s="10" t="s">
        <v>58</v>
      </c>
      <c r="G388" s="10" t="s">
        <v>42</v>
      </c>
      <c r="H388" s="10" t="s">
        <v>59</v>
      </c>
      <c r="I388" s="10" t="s">
        <v>60</v>
      </c>
      <c r="J388" s="10" t="s">
        <v>54</v>
      </c>
      <c r="K388" s="10" t="s">
        <v>45</v>
      </c>
      <c r="L388" s="10" t="s">
        <v>99</v>
      </c>
      <c r="M388" s="10" t="s">
        <v>2162</v>
      </c>
      <c r="N388" s="11">
        <v>946.79</v>
      </c>
      <c r="O388" s="12">
        <v>8</v>
      </c>
      <c r="P388" s="13">
        <v>0.3</v>
      </c>
      <c r="Q388" s="19">
        <v>103.35</v>
      </c>
      <c r="R388" s="45" t="str">
        <f t="shared" si="24"/>
        <v>OK</v>
      </c>
      <c r="S388" s="45">
        <f t="shared" si="25"/>
        <v>583.55124999999998</v>
      </c>
      <c r="T388" s="45">
        <f t="shared" si="26"/>
        <v>8</v>
      </c>
      <c r="U388" s="45">
        <f t="shared" si="27"/>
        <v>4668.41</v>
      </c>
    </row>
    <row r="389" spans="1:21" x14ac:dyDescent="0.3">
      <c r="A389" s="16" t="s">
        <v>359</v>
      </c>
      <c r="B389" s="31">
        <v>44780</v>
      </c>
      <c r="C389" s="31">
        <v>44783</v>
      </c>
      <c r="D389" s="2" t="s">
        <v>18</v>
      </c>
      <c r="E389" s="2" t="s">
        <v>360</v>
      </c>
      <c r="F389" s="4" t="s">
        <v>361</v>
      </c>
      <c r="G389" s="4" t="s">
        <v>42</v>
      </c>
      <c r="H389" s="4" t="s">
        <v>346</v>
      </c>
      <c r="I389" s="4" t="s">
        <v>347</v>
      </c>
      <c r="J389" s="4" t="s">
        <v>88</v>
      </c>
      <c r="K389" s="4" t="s">
        <v>35</v>
      </c>
      <c r="L389" s="4" t="s">
        <v>158</v>
      </c>
      <c r="M389" s="4" t="s">
        <v>362</v>
      </c>
      <c r="N389" s="5">
        <v>150.86000000000001</v>
      </c>
      <c r="O389" s="6">
        <v>3</v>
      </c>
      <c r="P389" s="7">
        <v>0.4</v>
      </c>
      <c r="Q389" s="18">
        <v>-2.4500000000000002</v>
      </c>
      <c r="R389" s="45" t="str">
        <f t="shared" si="24"/>
        <v>OK</v>
      </c>
      <c r="S389" s="45">
        <f t="shared" si="25"/>
        <v>583.55124999999998</v>
      </c>
      <c r="T389" s="45">
        <f t="shared" si="26"/>
        <v>8</v>
      </c>
      <c r="U389" s="45">
        <f t="shared" si="27"/>
        <v>4668.41</v>
      </c>
    </row>
    <row r="390" spans="1:21" x14ac:dyDescent="0.3">
      <c r="A390" s="16" t="s">
        <v>405</v>
      </c>
      <c r="B390" s="31">
        <v>44782</v>
      </c>
      <c r="C390" s="31">
        <v>44783</v>
      </c>
      <c r="D390" s="2" t="s">
        <v>18</v>
      </c>
      <c r="E390" s="2" t="s">
        <v>406</v>
      </c>
      <c r="F390" s="4" t="s">
        <v>407</v>
      </c>
      <c r="G390" s="4" t="s">
        <v>42</v>
      </c>
      <c r="H390" s="4" t="s">
        <v>165</v>
      </c>
      <c r="I390" s="4" t="s">
        <v>44</v>
      </c>
      <c r="J390" s="4" t="s">
        <v>24</v>
      </c>
      <c r="K390" s="4" t="s">
        <v>25</v>
      </c>
      <c r="L390" s="4" t="s">
        <v>124</v>
      </c>
      <c r="M390" s="4" t="s">
        <v>408</v>
      </c>
      <c r="N390" s="5">
        <v>5694.02</v>
      </c>
      <c r="O390" s="6">
        <v>3</v>
      </c>
      <c r="P390" s="7">
        <v>0.5</v>
      </c>
      <c r="Q390" s="18">
        <v>-2040.57</v>
      </c>
      <c r="R390" s="45" t="str">
        <f t="shared" si="24"/>
        <v>OK</v>
      </c>
      <c r="S390" s="45">
        <f t="shared" si="25"/>
        <v>583.55124999999998</v>
      </c>
      <c r="T390" s="45">
        <f t="shared" si="26"/>
        <v>8</v>
      </c>
      <c r="U390" s="45">
        <f t="shared" si="27"/>
        <v>4668.41</v>
      </c>
    </row>
    <row r="391" spans="1:21" x14ac:dyDescent="0.3">
      <c r="A391" s="17" t="s">
        <v>806</v>
      </c>
      <c r="B391" s="32">
        <v>44784</v>
      </c>
      <c r="C391" s="32">
        <v>44791</v>
      </c>
      <c r="D391" s="8" t="s">
        <v>29</v>
      </c>
      <c r="E391" s="8" t="s">
        <v>219</v>
      </c>
      <c r="F391" s="10" t="s">
        <v>220</v>
      </c>
      <c r="G391" s="10" t="s">
        <v>51</v>
      </c>
      <c r="H391" s="10" t="s">
        <v>171</v>
      </c>
      <c r="I391" s="10" t="s">
        <v>172</v>
      </c>
      <c r="J391" s="10" t="s">
        <v>24</v>
      </c>
      <c r="K391" s="10" t="s">
        <v>45</v>
      </c>
      <c r="L391" s="10" t="s">
        <v>61</v>
      </c>
      <c r="M391" s="10" t="s">
        <v>807</v>
      </c>
      <c r="N391" s="11">
        <v>886.79</v>
      </c>
      <c r="O391" s="12">
        <v>9</v>
      </c>
      <c r="P391" s="13">
        <v>0.1</v>
      </c>
      <c r="Q391" s="19">
        <v>-5.63</v>
      </c>
      <c r="R391" s="45" t="str">
        <f t="shared" si="24"/>
        <v>OK</v>
      </c>
      <c r="S391" s="45">
        <f t="shared" si="25"/>
        <v>583.55124999999998</v>
      </c>
      <c r="T391" s="45">
        <f t="shared" si="26"/>
        <v>8</v>
      </c>
      <c r="U391" s="45">
        <f t="shared" si="27"/>
        <v>4668.41</v>
      </c>
    </row>
    <row r="392" spans="1:21" x14ac:dyDescent="0.3">
      <c r="A392" s="17" t="s">
        <v>777</v>
      </c>
      <c r="B392" s="32">
        <v>44785</v>
      </c>
      <c r="C392" s="32">
        <v>44788</v>
      </c>
      <c r="D392" s="8" t="s">
        <v>39</v>
      </c>
      <c r="E392" s="8" t="s">
        <v>463</v>
      </c>
      <c r="F392" s="10" t="s">
        <v>464</v>
      </c>
      <c r="G392" s="10" t="s">
        <v>51</v>
      </c>
      <c r="H392" s="10" t="s">
        <v>465</v>
      </c>
      <c r="I392" s="10" t="s">
        <v>423</v>
      </c>
      <c r="J392" s="10" t="s">
        <v>88</v>
      </c>
      <c r="K392" s="10" t="s">
        <v>25</v>
      </c>
      <c r="L392" s="10" t="s">
        <v>124</v>
      </c>
      <c r="M392" s="10" t="s">
        <v>778</v>
      </c>
      <c r="N392" s="11">
        <v>10111.14</v>
      </c>
      <c r="O392" s="12">
        <v>8</v>
      </c>
      <c r="P392" s="13">
        <v>0.3</v>
      </c>
      <c r="Q392" s="19">
        <v>-1070.1300000000001</v>
      </c>
      <c r="R392" s="45" t="str">
        <f t="shared" si="24"/>
        <v>OK</v>
      </c>
      <c r="S392" s="45">
        <f t="shared" si="25"/>
        <v>583.55124999999998</v>
      </c>
      <c r="T392" s="45">
        <f t="shared" si="26"/>
        <v>8</v>
      </c>
      <c r="U392" s="45">
        <f t="shared" si="27"/>
        <v>4668.41</v>
      </c>
    </row>
    <row r="393" spans="1:21" x14ac:dyDescent="0.3">
      <c r="A393" s="16" t="s">
        <v>1345</v>
      </c>
      <c r="B393" s="31">
        <v>44786</v>
      </c>
      <c r="C393" s="31">
        <v>44790</v>
      </c>
      <c r="D393" s="2" t="s">
        <v>39</v>
      </c>
      <c r="E393" s="2" t="s">
        <v>588</v>
      </c>
      <c r="F393" s="4" t="s">
        <v>589</v>
      </c>
      <c r="G393" s="4" t="s">
        <v>42</v>
      </c>
      <c r="H393" s="4" t="s">
        <v>397</v>
      </c>
      <c r="I393" s="4" t="s">
        <v>33</v>
      </c>
      <c r="J393" s="4" t="s">
        <v>34</v>
      </c>
      <c r="K393" s="4" t="s">
        <v>45</v>
      </c>
      <c r="L393" s="4" t="s">
        <v>99</v>
      </c>
      <c r="M393" s="4" t="s">
        <v>1346</v>
      </c>
      <c r="N393" s="5">
        <v>296.63</v>
      </c>
      <c r="O393" s="6">
        <v>3</v>
      </c>
      <c r="P393" s="7">
        <v>0.05</v>
      </c>
      <c r="Q393" s="18">
        <v>91.92</v>
      </c>
      <c r="R393" s="45" t="str">
        <f t="shared" si="24"/>
        <v>OK</v>
      </c>
      <c r="S393" s="45">
        <f t="shared" si="25"/>
        <v>583.55124999999998</v>
      </c>
      <c r="T393" s="45">
        <f t="shared" si="26"/>
        <v>8</v>
      </c>
      <c r="U393" s="45">
        <f t="shared" si="27"/>
        <v>4668.41</v>
      </c>
    </row>
    <row r="394" spans="1:21" x14ac:dyDescent="0.3">
      <c r="A394" s="16" t="s">
        <v>2197</v>
      </c>
      <c r="B394" s="31">
        <v>44786</v>
      </c>
      <c r="C394" s="31">
        <v>44787</v>
      </c>
      <c r="D394" s="2" t="s">
        <v>18</v>
      </c>
      <c r="E394" s="2" t="s">
        <v>1270</v>
      </c>
      <c r="F394" s="4" t="s">
        <v>1271</v>
      </c>
      <c r="G394" s="4" t="s">
        <v>51</v>
      </c>
      <c r="H394" s="4" t="s">
        <v>412</v>
      </c>
      <c r="I394" s="4" t="s">
        <v>178</v>
      </c>
      <c r="J394" s="4" t="s">
        <v>24</v>
      </c>
      <c r="K394" s="4" t="s">
        <v>45</v>
      </c>
      <c r="L394" s="4" t="s">
        <v>99</v>
      </c>
      <c r="M394" s="4" t="s">
        <v>2198</v>
      </c>
      <c r="N394" s="5">
        <v>536.24</v>
      </c>
      <c r="O394" s="6">
        <v>8</v>
      </c>
      <c r="P394" s="7">
        <v>0</v>
      </c>
      <c r="Q394" s="18">
        <v>158.4</v>
      </c>
      <c r="R394" s="45" t="str">
        <f t="shared" si="24"/>
        <v>OK</v>
      </c>
      <c r="S394" s="45">
        <f t="shared" si="25"/>
        <v>583.55124999999998</v>
      </c>
      <c r="T394" s="45">
        <f t="shared" si="26"/>
        <v>8</v>
      </c>
      <c r="U394" s="45">
        <f t="shared" si="27"/>
        <v>4668.41</v>
      </c>
    </row>
    <row r="395" spans="1:21" x14ac:dyDescent="0.3">
      <c r="A395" s="17" t="s">
        <v>2448</v>
      </c>
      <c r="B395" s="32">
        <v>44787</v>
      </c>
      <c r="C395" s="32">
        <v>44792</v>
      </c>
      <c r="D395" s="8" t="s">
        <v>29</v>
      </c>
      <c r="E395" s="8" t="s">
        <v>380</v>
      </c>
      <c r="F395" s="10" t="s">
        <v>381</v>
      </c>
      <c r="G395" s="10" t="s">
        <v>51</v>
      </c>
      <c r="H395" s="10" t="s">
        <v>156</v>
      </c>
      <c r="I395" s="10" t="s">
        <v>157</v>
      </c>
      <c r="J395" s="10" t="s">
        <v>88</v>
      </c>
      <c r="K395" s="10" t="s">
        <v>45</v>
      </c>
      <c r="L395" s="10" t="s">
        <v>99</v>
      </c>
      <c r="M395" s="10" t="s">
        <v>2449</v>
      </c>
      <c r="N395" s="11">
        <v>202.49</v>
      </c>
      <c r="O395" s="12">
        <v>5</v>
      </c>
      <c r="P395" s="13">
        <v>0.05</v>
      </c>
      <c r="Q395" s="19"/>
      <c r="R395" s="45" t="str">
        <f t="shared" si="24"/>
        <v>OK</v>
      </c>
      <c r="S395" s="45">
        <f t="shared" si="25"/>
        <v>583.55124999999998</v>
      </c>
      <c r="T395" s="45">
        <f t="shared" si="26"/>
        <v>8</v>
      </c>
      <c r="U395" s="45">
        <f t="shared" si="27"/>
        <v>4668.41</v>
      </c>
    </row>
    <row r="396" spans="1:21" x14ac:dyDescent="0.3">
      <c r="A396" s="16" t="s">
        <v>1257</v>
      </c>
      <c r="B396" s="31">
        <v>44788</v>
      </c>
      <c r="C396" s="31">
        <v>44791</v>
      </c>
      <c r="D396" s="2" t="s">
        <v>73</v>
      </c>
      <c r="E396" s="2" t="s">
        <v>1258</v>
      </c>
      <c r="F396" s="4" t="s">
        <v>1259</v>
      </c>
      <c r="G396" s="4" t="s">
        <v>21</v>
      </c>
      <c r="H396" s="4" t="s">
        <v>438</v>
      </c>
      <c r="I396" s="4" t="s">
        <v>157</v>
      </c>
      <c r="J396" s="4" t="s">
        <v>88</v>
      </c>
      <c r="K396" s="4" t="s">
        <v>45</v>
      </c>
      <c r="L396" s="4" t="s">
        <v>61</v>
      </c>
      <c r="M396" s="4" t="s">
        <v>1260</v>
      </c>
      <c r="N396" s="5">
        <v>1095.1199999999999</v>
      </c>
      <c r="O396" s="6">
        <v>3</v>
      </c>
      <c r="P396" s="7">
        <v>0.4</v>
      </c>
      <c r="Q396" s="18">
        <v>-450.27</v>
      </c>
      <c r="R396" s="45" t="str">
        <f t="shared" si="24"/>
        <v>OK</v>
      </c>
      <c r="S396" s="45">
        <f t="shared" si="25"/>
        <v>583.55124999999998</v>
      </c>
      <c r="T396" s="45">
        <f t="shared" si="26"/>
        <v>8</v>
      </c>
      <c r="U396" s="45">
        <f t="shared" si="27"/>
        <v>4668.41</v>
      </c>
    </row>
    <row r="397" spans="1:21" x14ac:dyDescent="0.3">
      <c r="A397" s="17" t="s">
        <v>1189</v>
      </c>
      <c r="B397" s="32">
        <v>44789</v>
      </c>
      <c r="C397" s="32">
        <v>44792</v>
      </c>
      <c r="D397" s="8" t="s">
        <v>39</v>
      </c>
      <c r="E397" s="8" t="s">
        <v>197</v>
      </c>
      <c r="F397" s="10" t="s">
        <v>198</v>
      </c>
      <c r="G397" s="10" t="s">
        <v>21</v>
      </c>
      <c r="H397" s="10" t="s">
        <v>129</v>
      </c>
      <c r="I397" s="10" t="s">
        <v>33</v>
      </c>
      <c r="J397" s="10" t="s">
        <v>34</v>
      </c>
      <c r="K397" s="10" t="s">
        <v>25</v>
      </c>
      <c r="L397" s="10" t="s">
        <v>26</v>
      </c>
      <c r="M397" s="10" t="s">
        <v>1190</v>
      </c>
      <c r="N397" s="11">
        <v>9448.7999999999993</v>
      </c>
      <c r="O397" s="12">
        <v>10</v>
      </c>
      <c r="P397" s="13">
        <v>0</v>
      </c>
      <c r="Q397" s="19">
        <v>1989.04</v>
      </c>
      <c r="R397" s="45" t="str">
        <f t="shared" si="24"/>
        <v>OK</v>
      </c>
      <c r="S397" s="45">
        <f t="shared" si="25"/>
        <v>583.55124999999998</v>
      </c>
      <c r="T397" s="45">
        <f t="shared" si="26"/>
        <v>8</v>
      </c>
      <c r="U397" s="45">
        <f t="shared" si="27"/>
        <v>4668.41</v>
      </c>
    </row>
    <row r="398" spans="1:21" x14ac:dyDescent="0.3">
      <c r="A398" s="17" t="s">
        <v>2149</v>
      </c>
      <c r="B398" s="32">
        <v>44789</v>
      </c>
      <c r="C398" s="32">
        <v>44794</v>
      </c>
      <c r="D398" s="8" t="s">
        <v>73</v>
      </c>
      <c r="E398" s="8" t="s">
        <v>566</v>
      </c>
      <c r="F398" s="10" t="s">
        <v>567</v>
      </c>
      <c r="G398" s="10" t="s">
        <v>21</v>
      </c>
      <c r="H398" s="10" t="s">
        <v>156</v>
      </c>
      <c r="I398" s="10" t="s">
        <v>157</v>
      </c>
      <c r="J398" s="10" t="s">
        <v>88</v>
      </c>
      <c r="K398" s="10" t="s">
        <v>35</v>
      </c>
      <c r="L398" s="10" t="s">
        <v>81</v>
      </c>
      <c r="M398" s="10" t="s">
        <v>2150</v>
      </c>
      <c r="N398" s="11">
        <v>17.11</v>
      </c>
      <c r="O398" s="12">
        <v>1</v>
      </c>
      <c r="P398" s="13">
        <v>0</v>
      </c>
      <c r="Q398" s="19">
        <v>8.5399999999999991</v>
      </c>
      <c r="R398" s="45" t="str">
        <f t="shared" si="24"/>
        <v>OK</v>
      </c>
      <c r="S398" s="45">
        <f t="shared" si="25"/>
        <v>583.55124999999998</v>
      </c>
      <c r="T398" s="45">
        <f t="shared" si="26"/>
        <v>8</v>
      </c>
      <c r="U398" s="45">
        <f t="shared" si="27"/>
        <v>4668.41</v>
      </c>
    </row>
    <row r="399" spans="1:21" x14ac:dyDescent="0.3">
      <c r="A399" s="17" t="s">
        <v>1379</v>
      </c>
      <c r="B399" s="32">
        <v>44790</v>
      </c>
      <c r="C399" s="32">
        <v>44793</v>
      </c>
      <c r="D399" s="8" t="s">
        <v>73</v>
      </c>
      <c r="E399" s="8" t="s">
        <v>566</v>
      </c>
      <c r="F399" s="10" t="s">
        <v>567</v>
      </c>
      <c r="G399" s="10" t="s">
        <v>21</v>
      </c>
      <c r="H399" s="10" t="s">
        <v>156</v>
      </c>
      <c r="I399" s="10" t="s">
        <v>157</v>
      </c>
      <c r="J399" s="10" t="s">
        <v>88</v>
      </c>
      <c r="K399" s="10" t="s">
        <v>45</v>
      </c>
      <c r="L399" s="10" t="s">
        <v>46</v>
      </c>
      <c r="M399" s="10" t="s">
        <v>1380</v>
      </c>
      <c r="N399" s="11">
        <v>2058.36</v>
      </c>
      <c r="O399" s="12">
        <v>6</v>
      </c>
      <c r="P399" s="13">
        <v>0</v>
      </c>
      <c r="Q399" s="19">
        <v>608.05999999999995</v>
      </c>
      <c r="R399" s="45" t="str">
        <f t="shared" si="24"/>
        <v>OK</v>
      </c>
      <c r="S399" s="45">
        <f t="shared" si="25"/>
        <v>583.55124999999998</v>
      </c>
      <c r="T399" s="45">
        <f t="shared" si="26"/>
        <v>8</v>
      </c>
      <c r="U399" s="45">
        <f t="shared" si="27"/>
        <v>4668.41</v>
      </c>
    </row>
    <row r="400" spans="1:21" x14ac:dyDescent="0.3">
      <c r="A400" s="17" t="s">
        <v>2108</v>
      </c>
      <c r="B400" s="32">
        <v>44790</v>
      </c>
      <c r="C400" s="32">
        <v>44793</v>
      </c>
      <c r="D400" s="8" t="s">
        <v>39</v>
      </c>
      <c r="E400" s="8" t="s">
        <v>102</v>
      </c>
      <c r="F400" s="10" t="s">
        <v>103</v>
      </c>
      <c r="G400" s="10" t="s">
        <v>42</v>
      </c>
      <c r="H400" s="10" t="s">
        <v>104</v>
      </c>
      <c r="I400" s="10" t="s">
        <v>105</v>
      </c>
      <c r="J400" s="10" t="s">
        <v>88</v>
      </c>
      <c r="K400" s="10" t="s">
        <v>45</v>
      </c>
      <c r="L400" s="10" t="s">
        <v>46</v>
      </c>
      <c r="M400" s="10" t="s">
        <v>2109</v>
      </c>
      <c r="N400" s="11">
        <v>3078.42</v>
      </c>
      <c r="O400" s="12">
        <v>6</v>
      </c>
      <c r="P400" s="13">
        <v>0</v>
      </c>
      <c r="Q400" s="19">
        <v>1213.3800000000001</v>
      </c>
      <c r="R400" s="45" t="str">
        <f t="shared" si="24"/>
        <v>OK</v>
      </c>
      <c r="S400" s="45">
        <f t="shared" si="25"/>
        <v>583.55124999999998</v>
      </c>
      <c r="T400" s="45">
        <f t="shared" si="26"/>
        <v>8</v>
      </c>
      <c r="U400" s="45">
        <f t="shared" si="27"/>
        <v>4668.41</v>
      </c>
    </row>
    <row r="401" spans="1:21" x14ac:dyDescent="0.3">
      <c r="A401" s="17" t="s">
        <v>1669</v>
      </c>
      <c r="B401" s="32">
        <v>44791</v>
      </c>
      <c r="C401" s="32">
        <v>44794</v>
      </c>
      <c r="D401" s="8" t="s">
        <v>73</v>
      </c>
      <c r="E401" s="8" t="s">
        <v>1284</v>
      </c>
      <c r="F401" s="10" t="s">
        <v>1285</v>
      </c>
      <c r="G401" s="10" t="s">
        <v>21</v>
      </c>
      <c r="H401" s="10" t="s">
        <v>150</v>
      </c>
      <c r="I401" s="10" t="s">
        <v>151</v>
      </c>
      <c r="J401" s="10" t="s">
        <v>34</v>
      </c>
      <c r="K401" s="10" t="s">
        <v>25</v>
      </c>
      <c r="L401" s="10" t="s">
        <v>74</v>
      </c>
      <c r="M401" s="10" t="s">
        <v>106</v>
      </c>
      <c r="N401" s="11">
        <v>613.85</v>
      </c>
      <c r="O401" s="12">
        <v>3</v>
      </c>
      <c r="P401" s="13">
        <v>0.5</v>
      </c>
      <c r="Q401" s="19">
        <v>-94.82</v>
      </c>
      <c r="R401" s="45" t="str">
        <f t="shared" si="24"/>
        <v>OK</v>
      </c>
      <c r="S401" s="45">
        <f t="shared" si="25"/>
        <v>583.55124999999998</v>
      </c>
      <c r="T401" s="45">
        <f t="shared" si="26"/>
        <v>8</v>
      </c>
      <c r="U401" s="45">
        <f t="shared" si="27"/>
        <v>4668.41</v>
      </c>
    </row>
    <row r="402" spans="1:21" x14ac:dyDescent="0.3">
      <c r="A402" s="16" t="s">
        <v>794</v>
      </c>
      <c r="B402" s="31">
        <v>44792</v>
      </c>
      <c r="C402" s="31">
        <v>44795</v>
      </c>
      <c r="D402" s="2" t="s">
        <v>18</v>
      </c>
      <c r="E402" s="2" t="s">
        <v>197</v>
      </c>
      <c r="F402" s="4" t="s">
        <v>198</v>
      </c>
      <c r="G402" s="4" t="s">
        <v>21</v>
      </c>
      <c r="H402" s="4" t="s">
        <v>129</v>
      </c>
      <c r="I402" s="4" t="s">
        <v>33</v>
      </c>
      <c r="J402" s="4" t="s">
        <v>34</v>
      </c>
      <c r="K402" s="4" t="s">
        <v>45</v>
      </c>
      <c r="L402" s="4" t="s">
        <v>46</v>
      </c>
      <c r="M402" s="4" t="s">
        <v>795</v>
      </c>
      <c r="N402" s="5">
        <v>466.7</v>
      </c>
      <c r="O402" s="6">
        <v>2</v>
      </c>
      <c r="P402" s="7">
        <v>0.15</v>
      </c>
      <c r="Q402" s="18">
        <v>101.52</v>
      </c>
      <c r="R402" s="45" t="str">
        <f t="shared" si="24"/>
        <v>OK</v>
      </c>
      <c r="S402" s="45">
        <f t="shared" si="25"/>
        <v>583.55124999999998</v>
      </c>
      <c r="T402" s="45">
        <f t="shared" si="26"/>
        <v>8</v>
      </c>
      <c r="U402" s="45">
        <f t="shared" si="27"/>
        <v>4668.41</v>
      </c>
    </row>
    <row r="403" spans="1:21" x14ac:dyDescent="0.3">
      <c r="A403" s="17" t="s">
        <v>657</v>
      </c>
      <c r="B403" s="32">
        <v>44793</v>
      </c>
      <c r="C403" s="32">
        <v>44794</v>
      </c>
      <c r="D403" s="8" t="s">
        <v>18</v>
      </c>
      <c r="E403" s="8" t="s">
        <v>102</v>
      </c>
      <c r="F403" s="10" t="s">
        <v>103</v>
      </c>
      <c r="G403" s="10" t="s">
        <v>42</v>
      </c>
      <c r="H403" s="10" t="s">
        <v>104</v>
      </c>
      <c r="I403" s="10" t="s">
        <v>105</v>
      </c>
      <c r="J403" s="10" t="s">
        <v>88</v>
      </c>
      <c r="K403" s="10" t="s">
        <v>25</v>
      </c>
      <c r="L403" s="10" t="s">
        <v>68</v>
      </c>
      <c r="M403" s="10" t="s">
        <v>658</v>
      </c>
      <c r="N403" s="11">
        <v>1235.6600000000001</v>
      </c>
      <c r="O403" s="12">
        <v>10</v>
      </c>
      <c r="P403" s="13">
        <v>0.05</v>
      </c>
      <c r="Q403" s="19">
        <v>409.76</v>
      </c>
      <c r="R403" s="45" t="str">
        <f t="shared" si="24"/>
        <v>OK</v>
      </c>
      <c r="S403" s="45">
        <f t="shared" si="25"/>
        <v>583.55124999999998</v>
      </c>
      <c r="T403" s="45">
        <f t="shared" si="26"/>
        <v>8</v>
      </c>
      <c r="U403" s="45">
        <f t="shared" si="27"/>
        <v>4668.41</v>
      </c>
    </row>
    <row r="404" spans="1:21" x14ac:dyDescent="0.3">
      <c r="A404" s="17" t="s">
        <v>1529</v>
      </c>
      <c r="B404" s="32">
        <v>44793</v>
      </c>
      <c r="C404" s="32">
        <v>44799</v>
      </c>
      <c r="D404" s="8" t="s">
        <v>29</v>
      </c>
      <c r="E404" s="8" t="s">
        <v>969</v>
      </c>
      <c r="F404" s="10" t="s">
        <v>970</v>
      </c>
      <c r="G404" s="10" t="s">
        <v>42</v>
      </c>
      <c r="H404" s="10" t="s">
        <v>79</v>
      </c>
      <c r="I404" s="10" t="s">
        <v>80</v>
      </c>
      <c r="J404" s="10" t="s">
        <v>54</v>
      </c>
      <c r="K404" s="10" t="s">
        <v>45</v>
      </c>
      <c r="L404" s="10" t="s">
        <v>117</v>
      </c>
      <c r="M404" s="10" t="s">
        <v>217</v>
      </c>
      <c r="N404" s="11">
        <v>555.79</v>
      </c>
      <c r="O404" s="12">
        <v>7</v>
      </c>
      <c r="P404" s="13">
        <v>0.1</v>
      </c>
      <c r="Q404" s="19">
        <v>140.22</v>
      </c>
      <c r="R404" s="45" t="str">
        <f t="shared" si="24"/>
        <v>OK</v>
      </c>
      <c r="S404" s="45">
        <f t="shared" si="25"/>
        <v>583.55124999999998</v>
      </c>
      <c r="T404" s="45">
        <f t="shared" si="26"/>
        <v>8</v>
      </c>
      <c r="U404" s="45">
        <f t="shared" si="27"/>
        <v>4668.41</v>
      </c>
    </row>
    <row r="405" spans="1:21" x14ac:dyDescent="0.3">
      <c r="A405" s="17" t="s">
        <v>1603</v>
      </c>
      <c r="B405" s="32">
        <v>44797</v>
      </c>
      <c r="C405" s="32">
        <v>44798</v>
      </c>
      <c r="D405" s="8" t="s">
        <v>18</v>
      </c>
      <c r="E405" s="8" t="s">
        <v>628</v>
      </c>
      <c r="F405" s="10" t="s">
        <v>629</v>
      </c>
      <c r="G405" s="10" t="s">
        <v>42</v>
      </c>
      <c r="H405" s="10" t="s">
        <v>32</v>
      </c>
      <c r="I405" s="10" t="s">
        <v>33</v>
      </c>
      <c r="J405" s="10" t="s">
        <v>34</v>
      </c>
      <c r="K405" s="10" t="s">
        <v>35</v>
      </c>
      <c r="L405" s="10" t="s">
        <v>36</v>
      </c>
      <c r="M405" s="10" t="s">
        <v>1604</v>
      </c>
      <c r="N405" s="11">
        <v>50.78</v>
      </c>
      <c r="O405" s="12">
        <v>1</v>
      </c>
      <c r="P405" s="13">
        <v>0.4</v>
      </c>
      <c r="Q405" s="19">
        <v>-3.78</v>
      </c>
      <c r="R405" s="45" t="str">
        <f t="shared" si="24"/>
        <v>OK</v>
      </c>
      <c r="S405" s="45">
        <f t="shared" si="25"/>
        <v>583.55124999999998</v>
      </c>
      <c r="T405" s="45">
        <f t="shared" si="26"/>
        <v>8</v>
      </c>
      <c r="U405" s="45">
        <f t="shared" si="27"/>
        <v>4668.41</v>
      </c>
    </row>
    <row r="406" spans="1:21" x14ac:dyDescent="0.3">
      <c r="A406" s="17" t="s">
        <v>1165</v>
      </c>
      <c r="B406" s="32">
        <v>44799</v>
      </c>
      <c r="C406" s="32">
        <v>44803</v>
      </c>
      <c r="D406" s="8" t="s">
        <v>73</v>
      </c>
      <c r="E406" s="8" t="s">
        <v>1166</v>
      </c>
      <c r="F406" s="10" t="s">
        <v>1167</v>
      </c>
      <c r="G406" s="10" t="s">
        <v>21</v>
      </c>
      <c r="H406" s="10" t="s">
        <v>98</v>
      </c>
      <c r="I406" s="10" t="s">
        <v>80</v>
      </c>
      <c r="J406" s="10" t="s">
        <v>54</v>
      </c>
      <c r="K406" s="10" t="s">
        <v>45</v>
      </c>
      <c r="L406" s="10" t="s">
        <v>46</v>
      </c>
      <c r="M406" s="10" t="s">
        <v>1168</v>
      </c>
      <c r="N406" s="11">
        <v>5979.49</v>
      </c>
      <c r="O406" s="12">
        <v>10</v>
      </c>
      <c r="P406" s="13">
        <v>0.05</v>
      </c>
      <c r="Q406" s="19">
        <v>1531.32</v>
      </c>
      <c r="R406" s="45" t="str">
        <f t="shared" si="24"/>
        <v>OK</v>
      </c>
      <c r="S406" s="45">
        <f t="shared" si="25"/>
        <v>583.55124999999998</v>
      </c>
      <c r="T406" s="45">
        <f t="shared" si="26"/>
        <v>8</v>
      </c>
      <c r="U406" s="45">
        <f t="shared" si="27"/>
        <v>4668.41</v>
      </c>
    </row>
    <row r="407" spans="1:21" x14ac:dyDescent="0.3">
      <c r="A407" s="16" t="s">
        <v>2044</v>
      </c>
      <c r="B407" s="31">
        <v>44800</v>
      </c>
      <c r="C407" s="31">
        <v>44806</v>
      </c>
      <c r="D407" s="2" t="s">
        <v>29</v>
      </c>
      <c r="E407" s="2" t="s">
        <v>969</v>
      </c>
      <c r="F407" s="4" t="s">
        <v>970</v>
      </c>
      <c r="G407" s="4" t="s">
        <v>42</v>
      </c>
      <c r="H407" s="4" t="s">
        <v>79</v>
      </c>
      <c r="I407" s="4" t="s">
        <v>80</v>
      </c>
      <c r="J407" s="4" t="s">
        <v>54</v>
      </c>
      <c r="K407" s="4" t="s">
        <v>45</v>
      </c>
      <c r="L407" s="4" t="s">
        <v>61</v>
      </c>
      <c r="M407" s="4" t="s">
        <v>2045</v>
      </c>
      <c r="N407" s="5">
        <v>487.95</v>
      </c>
      <c r="O407" s="6">
        <v>2</v>
      </c>
      <c r="P407" s="7">
        <v>0.15</v>
      </c>
      <c r="Q407" s="18">
        <v>-65.58</v>
      </c>
      <c r="R407" s="45" t="str">
        <f t="shared" si="24"/>
        <v>OK</v>
      </c>
      <c r="S407" s="45">
        <f t="shared" si="25"/>
        <v>583.55124999999998</v>
      </c>
      <c r="T407" s="45">
        <f t="shared" si="26"/>
        <v>8</v>
      </c>
      <c r="U407" s="45">
        <f t="shared" si="27"/>
        <v>4668.41</v>
      </c>
    </row>
    <row r="408" spans="1:21" x14ac:dyDescent="0.3">
      <c r="A408" s="16" t="s">
        <v>2139</v>
      </c>
      <c r="B408" s="31">
        <v>44802</v>
      </c>
      <c r="C408" s="31">
        <v>44809</v>
      </c>
      <c r="D408" s="2" t="s">
        <v>29</v>
      </c>
      <c r="E408" s="2" t="s">
        <v>1158</v>
      </c>
      <c r="F408" s="4" t="s">
        <v>1159</v>
      </c>
      <c r="G408" s="4" t="s">
        <v>42</v>
      </c>
      <c r="H408" s="4" t="s">
        <v>346</v>
      </c>
      <c r="I408" s="4" t="s">
        <v>347</v>
      </c>
      <c r="J408" s="4" t="s">
        <v>88</v>
      </c>
      <c r="K408" s="4" t="s">
        <v>45</v>
      </c>
      <c r="L408" s="4" t="s">
        <v>117</v>
      </c>
      <c r="M408" s="4" t="s">
        <v>1009</v>
      </c>
      <c r="N408" s="5">
        <v>2025.26</v>
      </c>
      <c r="O408" s="6">
        <v>5</v>
      </c>
      <c r="P408" s="7">
        <v>0.05</v>
      </c>
      <c r="Q408" s="18">
        <v>482.45</v>
      </c>
      <c r="R408" s="45" t="str">
        <f t="shared" si="24"/>
        <v>OK</v>
      </c>
      <c r="S408" s="45">
        <f t="shared" si="25"/>
        <v>583.55124999999998</v>
      </c>
      <c r="T408" s="45">
        <f t="shared" si="26"/>
        <v>8</v>
      </c>
      <c r="U408" s="45">
        <f t="shared" si="27"/>
        <v>4668.41</v>
      </c>
    </row>
    <row r="409" spans="1:21" x14ac:dyDescent="0.3">
      <c r="A409" s="17" t="s">
        <v>2147</v>
      </c>
      <c r="B409" s="32">
        <v>44810</v>
      </c>
      <c r="C409" s="32">
        <v>44813</v>
      </c>
      <c r="D409" s="8" t="s">
        <v>39</v>
      </c>
      <c r="E409" s="8" t="s">
        <v>864</v>
      </c>
      <c r="F409" s="10" t="s">
        <v>865</v>
      </c>
      <c r="G409" s="10" t="s">
        <v>21</v>
      </c>
      <c r="H409" s="10" t="s">
        <v>177</v>
      </c>
      <c r="I409" s="10" t="s">
        <v>178</v>
      </c>
      <c r="J409" s="10" t="s">
        <v>24</v>
      </c>
      <c r="K409" s="10" t="s">
        <v>25</v>
      </c>
      <c r="L409" s="10" t="s">
        <v>124</v>
      </c>
      <c r="M409" s="10" t="s">
        <v>1952</v>
      </c>
      <c r="N409" s="11">
        <v>11804.56</v>
      </c>
      <c r="O409" s="12">
        <v>9</v>
      </c>
      <c r="P409" s="13">
        <v>0.15</v>
      </c>
      <c r="Q409" s="19">
        <v>2129.54</v>
      </c>
      <c r="R409" s="45" t="str">
        <f t="shared" si="24"/>
        <v>OK</v>
      </c>
      <c r="S409" s="45">
        <f t="shared" si="25"/>
        <v>583.55124999999998</v>
      </c>
      <c r="T409" s="45">
        <f t="shared" si="26"/>
        <v>8</v>
      </c>
      <c r="U409" s="45">
        <f t="shared" si="27"/>
        <v>4668.41</v>
      </c>
    </row>
    <row r="410" spans="1:21" x14ac:dyDescent="0.3">
      <c r="A410" s="17" t="s">
        <v>704</v>
      </c>
      <c r="B410" s="32">
        <v>44811</v>
      </c>
      <c r="C410" s="32">
        <v>44814</v>
      </c>
      <c r="D410" s="8" t="s">
        <v>18</v>
      </c>
      <c r="E410" s="8" t="s">
        <v>504</v>
      </c>
      <c r="F410" s="10" t="s">
        <v>505</v>
      </c>
      <c r="G410" s="10" t="s">
        <v>42</v>
      </c>
      <c r="H410" s="10" t="s">
        <v>150</v>
      </c>
      <c r="I410" s="10" t="s">
        <v>151</v>
      </c>
      <c r="J410" s="10" t="s">
        <v>34</v>
      </c>
      <c r="K410" s="10" t="s">
        <v>35</v>
      </c>
      <c r="L410" s="10" t="s">
        <v>81</v>
      </c>
      <c r="M410" s="10" t="s">
        <v>705</v>
      </c>
      <c r="N410" s="11">
        <v>21.1</v>
      </c>
      <c r="O410" s="12">
        <v>2</v>
      </c>
      <c r="P410" s="13">
        <v>0.1</v>
      </c>
      <c r="Q410" s="19">
        <v>9.36</v>
      </c>
      <c r="R410" s="45" t="str">
        <f t="shared" si="24"/>
        <v>OK</v>
      </c>
      <c r="S410" s="45">
        <f t="shared" si="25"/>
        <v>583.55124999999998</v>
      </c>
      <c r="T410" s="45">
        <f t="shared" si="26"/>
        <v>8</v>
      </c>
      <c r="U410" s="45">
        <f t="shared" si="27"/>
        <v>4668.41</v>
      </c>
    </row>
    <row r="411" spans="1:21" x14ac:dyDescent="0.3">
      <c r="A411" s="17" t="s">
        <v>2026</v>
      </c>
      <c r="B411" s="32">
        <v>44811</v>
      </c>
      <c r="C411" s="32">
        <v>44813</v>
      </c>
      <c r="D411" s="8" t="s">
        <v>18</v>
      </c>
      <c r="E411" s="8" t="s">
        <v>1284</v>
      </c>
      <c r="F411" s="10" t="s">
        <v>1285</v>
      </c>
      <c r="G411" s="10" t="s">
        <v>21</v>
      </c>
      <c r="H411" s="10" t="s">
        <v>150</v>
      </c>
      <c r="I411" s="10" t="s">
        <v>151</v>
      </c>
      <c r="J411" s="10" t="s">
        <v>34</v>
      </c>
      <c r="K411" s="10" t="s">
        <v>45</v>
      </c>
      <c r="L411" s="10" t="s">
        <v>99</v>
      </c>
      <c r="M411" s="10" t="s">
        <v>2027</v>
      </c>
      <c r="N411" s="11">
        <v>391.48</v>
      </c>
      <c r="O411" s="12">
        <v>4</v>
      </c>
      <c r="P411" s="13">
        <v>0</v>
      </c>
      <c r="Q411" s="19">
        <v>109.84</v>
      </c>
      <c r="R411" s="45" t="str">
        <f t="shared" si="24"/>
        <v>OK</v>
      </c>
      <c r="S411" s="45">
        <f t="shared" si="25"/>
        <v>583.55124999999998</v>
      </c>
      <c r="T411" s="45">
        <f t="shared" si="26"/>
        <v>8</v>
      </c>
      <c r="U411" s="45">
        <f t="shared" si="27"/>
        <v>4668.41</v>
      </c>
    </row>
    <row r="412" spans="1:21" x14ac:dyDescent="0.3">
      <c r="A412" s="16" t="s">
        <v>2229</v>
      </c>
      <c r="B412" s="31">
        <v>44812</v>
      </c>
      <c r="C412" s="31">
        <v>44817</v>
      </c>
      <c r="D412" s="2" t="s">
        <v>29</v>
      </c>
      <c r="E412" s="2" t="s">
        <v>445</v>
      </c>
      <c r="F412" s="4" t="s">
        <v>446</v>
      </c>
      <c r="G412" s="4" t="s">
        <v>51</v>
      </c>
      <c r="H412" s="4" t="s">
        <v>183</v>
      </c>
      <c r="I412" s="4" t="s">
        <v>184</v>
      </c>
      <c r="J412" s="4" t="s">
        <v>54</v>
      </c>
      <c r="K412" s="4" t="s">
        <v>45</v>
      </c>
      <c r="L412" s="4" t="s">
        <v>61</v>
      </c>
      <c r="M412" s="4" t="s">
        <v>2230</v>
      </c>
      <c r="N412" s="5">
        <v>3460.77</v>
      </c>
      <c r="O412" s="6">
        <v>5</v>
      </c>
      <c r="P412" s="7">
        <v>0.1</v>
      </c>
      <c r="Q412" s="18">
        <v>-54.29</v>
      </c>
      <c r="R412" s="45" t="str">
        <f t="shared" si="24"/>
        <v>OK</v>
      </c>
      <c r="S412" s="45">
        <f t="shared" si="25"/>
        <v>583.55124999999998</v>
      </c>
      <c r="T412" s="45">
        <f t="shared" si="26"/>
        <v>8</v>
      </c>
      <c r="U412" s="45">
        <f t="shared" si="27"/>
        <v>4668.41</v>
      </c>
    </row>
    <row r="413" spans="1:21" x14ac:dyDescent="0.3">
      <c r="A413" s="16" t="s">
        <v>2248</v>
      </c>
      <c r="B413" s="31">
        <v>44812</v>
      </c>
      <c r="C413" s="31">
        <v>44814</v>
      </c>
      <c r="D413" s="2" t="s">
        <v>39</v>
      </c>
      <c r="E413" s="2" t="s">
        <v>817</v>
      </c>
      <c r="F413" s="4" t="s">
        <v>818</v>
      </c>
      <c r="G413" s="4" t="s">
        <v>42</v>
      </c>
      <c r="H413" s="4" t="s">
        <v>98</v>
      </c>
      <c r="I413" s="4" t="s">
        <v>80</v>
      </c>
      <c r="J413" s="4" t="s">
        <v>54</v>
      </c>
      <c r="K413" s="4" t="s">
        <v>25</v>
      </c>
      <c r="L413" s="4" t="s">
        <v>26</v>
      </c>
      <c r="M413" s="4" t="s">
        <v>2249</v>
      </c>
      <c r="N413" s="5">
        <v>1058.8900000000001</v>
      </c>
      <c r="O413" s="6">
        <v>3</v>
      </c>
      <c r="P413" s="7">
        <v>0.4</v>
      </c>
      <c r="Q413" s="18">
        <v>-274.19</v>
      </c>
      <c r="R413" s="45" t="str">
        <f t="shared" si="24"/>
        <v>OK</v>
      </c>
      <c r="S413" s="45">
        <f t="shared" si="25"/>
        <v>583.55124999999998</v>
      </c>
      <c r="T413" s="45">
        <f t="shared" si="26"/>
        <v>8</v>
      </c>
      <c r="U413" s="45">
        <f t="shared" si="27"/>
        <v>4668.41</v>
      </c>
    </row>
    <row r="414" spans="1:21" x14ac:dyDescent="0.3">
      <c r="A414" s="17" t="s">
        <v>1773</v>
      </c>
      <c r="B414" s="32">
        <v>44813</v>
      </c>
      <c r="C414" s="32">
        <v>44814</v>
      </c>
      <c r="D414" s="8" t="s">
        <v>18</v>
      </c>
      <c r="E414" s="8" t="s">
        <v>1582</v>
      </c>
      <c r="F414" s="10" t="s">
        <v>1583</v>
      </c>
      <c r="G414" s="10" t="s">
        <v>21</v>
      </c>
      <c r="H414" s="10" t="s">
        <v>52</v>
      </c>
      <c r="I414" s="10" t="s">
        <v>53</v>
      </c>
      <c r="J414" s="10" t="s">
        <v>54</v>
      </c>
      <c r="K414" s="10" t="s">
        <v>25</v>
      </c>
      <c r="L414" s="10" t="s">
        <v>124</v>
      </c>
      <c r="M414" s="10" t="s">
        <v>1774</v>
      </c>
      <c r="N414" s="11">
        <v>11356.97</v>
      </c>
      <c r="O414" s="12">
        <v>-7</v>
      </c>
      <c r="P414" s="13">
        <v>0.4</v>
      </c>
      <c r="Q414" s="19">
        <v>-1903.17</v>
      </c>
      <c r="R414" s="45" t="str">
        <f t="shared" si="24"/>
        <v>OK</v>
      </c>
      <c r="S414" s="45">
        <f t="shared" si="25"/>
        <v>583.55124999999998</v>
      </c>
      <c r="T414" s="45">
        <f t="shared" si="26"/>
        <v>8</v>
      </c>
      <c r="U414" s="45">
        <f t="shared" si="27"/>
        <v>4668.41</v>
      </c>
    </row>
    <row r="415" spans="1:21" x14ac:dyDescent="0.3">
      <c r="A415" s="16" t="s">
        <v>2256</v>
      </c>
      <c r="B415" s="31">
        <v>44813</v>
      </c>
      <c r="C415" s="31">
        <v>44817</v>
      </c>
      <c r="D415" s="2" t="s">
        <v>39</v>
      </c>
      <c r="E415" s="2" t="s">
        <v>210</v>
      </c>
      <c r="F415" s="4" t="s">
        <v>211</v>
      </c>
      <c r="G415" s="4" t="s">
        <v>42</v>
      </c>
      <c r="H415" s="4" t="s">
        <v>86</v>
      </c>
      <c r="I415" s="4" t="s">
        <v>87</v>
      </c>
      <c r="J415" s="4" t="s">
        <v>88</v>
      </c>
      <c r="K415" s="4" t="s">
        <v>35</v>
      </c>
      <c r="L415" s="4" t="s">
        <v>89</v>
      </c>
      <c r="M415" s="4" t="s">
        <v>2257</v>
      </c>
      <c r="N415" s="5">
        <v>698.08</v>
      </c>
      <c r="O415" s="6">
        <v>8</v>
      </c>
      <c r="P415" s="7">
        <v>0</v>
      </c>
      <c r="Q415" s="18">
        <v>207.72</v>
      </c>
      <c r="R415" s="45" t="str">
        <f t="shared" si="24"/>
        <v>OK</v>
      </c>
      <c r="S415" s="45">
        <f t="shared" si="25"/>
        <v>583.55124999999998</v>
      </c>
      <c r="T415" s="45">
        <f t="shared" si="26"/>
        <v>8</v>
      </c>
      <c r="U415" s="45">
        <f t="shared" si="27"/>
        <v>4668.41</v>
      </c>
    </row>
    <row r="416" spans="1:21" x14ac:dyDescent="0.3">
      <c r="A416" s="16" t="s">
        <v>673</v>
      </c>
      <c r="B416" s="31">
        <v>44817</v>
      </c>
      <c r="C416" s="31">
        <v>44821</v>
      </c>
      <c r="D416" s="2" t="s">
        <v>39</v>
      </c>
      <c r="E416" s="2" t="s">
        <v>628</v>
      </c>
      <c r="F416" s="4" t="s">
        <v>629</v>
      </c>
      <c r="G416" s="4" t="s">
        <v>42</v>
      </c>
      <c r="H416" s="4" t="s">
        <v>32</v>
      </c>
      <c r="I416" s="4" t="s">
        <v>33</v>
      </c>
      <c r="J416" s="4" t="s">
        <v>34</v>
      </c>
      <c r="K416" s="4" t="s">
        <v>25</v>
      </c>
      <c r="L416" s="4" t="s">
        <v>74</v>
      </c>
      <c r="M416" s="4" t="s">
        <v>674</v>
      </c>
      <c r="N416" s="5">
        <v>1345.15</v>
      </c>
      <c r="O416" s="6">
        <v>7</v>
      </c>
      <c r="P416" s="7">
        <v>0.5</v>
      </c>
      <c r="Q416" s="18">
        <v>-420.09</v>
      </c>
      <c r="R416" s="45" t="str">
        <f t="shared" si="24"/>
        <v>OK</v>
      </c>
      <c r="S416" s="45">
        <f t="shared" si="25"/>
        <v>583.55124999999998</v>
      </c>
      <c r="T416" s="45">
        <f t="shared" si="26"/>
        <v>8</v>
      </c>
      <c r="U416" s="45">
        <f t="shared" si="27"/>
        <v>4668.41</v>
      </c>
    </row>
    <row r="417" spans="1:21" x14ac:dyDescent="0.3">
      <c r="A417" s="16" t="s">
        <v>1814</v>
      </c>
      <c r="B417" s="31">
        <v>44817</v>
      </c>
      <c r="C417" s="31">
        <v>44824</v>
      </c>
      <c r="D417" s="2" t="s">
        <v>29</v>
      </c>
      <c r="E417" s="2" t="s">
        <v>40</v>
      </c>
      <c r="F417" s="4" t="s">
        <v>41</v>
      </c>
      <c r="G417" s="4" t="s">
        <v>42</v>
      </c>
      <c r="H417" s="4" t="s">
        <v>43</v>
      </c>
      <c r="I417" s="4" t="s">
        <v>44</v>
      </c>
      <c r="J417" s="4" t="s">
        <v>24</v>
      </c>
      <c r="K417" s="4" t="s">
        <v>45</v>
      </c>
      <c r="L417" s="4" t="s">
        <v>99</v>
      </c>
      <c r="M417" s="4" t="s">
        <v>1815</v>
      </c>
      <c r="N417" s="5">
        <v>383.13</v>
      </c>
      <c r="O417" s="6">
        <v>9</v>
      </c>
      <c r="P417" s="7">
        <v>0.1</v>
      </c>
      <c r="Q417" s="18">
        <v>119.18</v>
      </c>
      <c r="R417" s="45" t="str">
        <f t="shared" si="24"/>
        <v>OK</v>
      </c>
      <c r="S417" s="45">
        <f t="shared" si="25"/>
        <v>583.55124999999998</v>
      </c>
      <c r="T417" s="45">
        <f t="shared" si="26"/>
        <v>8</v>
      </c>
      <c r="U417" s="45">
        <f t="shared" si="27"/>
        <v>4668.41</v>
      </c>
    </row>
    <row r="418" spans="1:21" x14ac:dyDescent="0.3">
      <c r="A418" s="17" t="s">
        <v>1279</v>
      </c>
      <c r="B418" s="32">
        <v>44819</v>
      </c>
      <c r="C418" s="32">
        <v>44823</v>
      </c>
      <c r="D418" s="8" t="s">
        <v>73</v>
      </c>
      <c r="E418" s="8" t="s">
        <v>289</v>
      </c>
      <c r="F418" s="10" t="s">
        <v>290</v>
      </c>
      <c r="G418" s="10" t="s">
        <v>51</v>
      </c>
      <c r="H418" s="10" t="s">
        <v>115</v>
      </c>
      <c r="I418" s="10" t="s">
        <v>116</v>
      </c>
      <c r="J418" s="10" t="s">
        <v>54</v>
      </c>
      <c r="K418" s="10" t="s">
        <v>45</v>
      </c>
      <c r="L418" s="10" t="s">
        <v>61</v>
      </c>
      <c r="M418" s="10" t="s">
        <v>1280</v>
      </c>
      <c r="N418" s="11">
        <v>382.97</v>
      </c>
      <c r="O418" s="12">
        <v>4</v>
      </c>
      <c r="P418" s="13">
        <v>0.1</v>
      </c>
      <c r="Q418" s="19">
        <v>-4.34</v>
      </c>
      <c r="R418" s="45" t="str">
        <f t="shared" si="24"/>
        <v>OK</v>
      </c>
      <c r="S418" s="45">
        <f t="shared" si="25"/>
        <v>583.55124999999998</v>
      </c>
      <c r="T418" s="45">
        <f t="shared" si="26"/>
        <v>8</v>
      </c>
      <c r="U418" s="45">
        <f t="shared" si="27"/>
        <v>4668.41</v>
      </c>
    </row>
    <row r="419" spans="1:21" x14ac:dyDescent="0.3">
      <c r="A419" s="16" t="s">
        <v>1044</v>
      </c>
      <c r="B419" s="31">
        <v>44820</v>
      </c>
      <c r="C419" s="31">
        <v>44826</v>
      </c>
      <c r="D419" s="2" t="s">
        <v>29</v>
      </c>
      <c r="E419" s="2" t="s">
        <v>864</v>
      </c>
      <c r="F419" s="4" t="s">
        <v>865</v>
      </c>
      <c r="G419" s="4" t="s">
        <v>21</v>
      </c>
      <c r="H419" s="4" t="s">
        <v>177</v>
      </c>
      <c r="I419" s="4" t="s">
        <v>178</v>
      </c>
      <c r="J419" s="4" t="s">
        <v>24</v>
      </c>
      <c r="K419" s="4" t="s">
        <v>45</v>
      </c>
      <c r="L419" s="4" t="s">
        <v>99</v>
      </c>
      <c r="M419" s="4" t="s">
        <v>1045</v>
      </c>
      <c r="N419" s="5">
        <v>177.83</v>
      </c>
      <c r="O419" s="6">
        <v>1</v>
      </c>
      <c r="P419" s="7">
        <v>0</v>
      </c>
      <c r="Q419" s="18">
        <v>69.77</v>
      </c>
      <c r="R419" s="45" t="str">
        <f t="shared" si="24"/>
        <v>OK</v>
      </c>
      <c r="S419" s="45">
        <f t="shared" si="25"/>
        <v>583.55124999999998</v>
      </c>
      <c r="T419" s="45">
        <f t="shared" si="26"/>
        <v>8</v>
      </c>
      <c r="U419" s="45">
        <f t="shared" si="27"/>
        <v>4668.41</v>
      </c>
    </row>
    <row r="420" spans="1:21" x14ac:dyDescent="0.3">
      <c r="A420" s="17" t="s">
        <v>1975</v>
      </c>
      <c r="B420" s="32">
        <v>44821</v>
      </c>
      <c r="C420" s="32">
        <v>44823</v>
      </c>
      <c r="D420" s="8" t="s">
        <v>39</v>
      </c>
      <c r="E420" s="8" t="s">
        <v>143</v>
      </c>
      <c r="F420" s="10" t="s">
        <v>144</v>
      </c>
      <c r="G420" s="10" t="s">
        <v>21</v>
      </c>
      <c r="H420" s="10" t="s">
        <v>145</v>
      </c>
      <c r="I420" s="10" t="s">
        <v>140</v>
      </c>
      <c r="J420" s="10" t="s">
        <v>24</v>
      </c>
      <c r="K420" s="10" t="s">
        <v>35</v>
      </c>
      <c r="L420" s="10" t="s">
        <v>36</v>
      </c>
      <c r="M420" s="10" t="s">
        <v>1976</v>
      </c>
      <c r="N420" s="11">
        <v>306.08999999999997</v>
      </c>
      <c r="O420" s="12">
        <v>3</v>
      </c>
      <c r="P420" s="13">
        <v>0.5</v>
      </c>
      <c r="Q420" s="19">
        <v>-41.31</v>
      </c>
      <c r="R420" s="45" t="str">
        <f t="shared" si="24"/>
        <v>OK</v>
      </c>
      <c r="S420" s="45">
        <f t="shared" si="25"/>
        <v>583.55124999999998</v>
      </c>
      <c r="T420" s="45">
        <f t="shared" si="26"/>
        <v>8</v>
      </c>
      <c r="U420" s="45">
        <f t="shared" si="27"/>
        <v>4668.41</v>
      </c>
    </row>
    <row r="421" spans="1:21" x14ac:dyDescent="0.3">
      <c r="A421" s="17" t="s">
        <v>2009</v>
      </c>
      <c r="B421" s="32">
        <v>44821</v>
      </c>
      <c r="C421" s="32">
        <v>44827</v>
      </c>
      <c r="D421" s="8" t="s">
        <v>29</v>
      </c>
      <c r="E421" s="8" t="s">
        <v>143</v>
      </c>
      <c r="F421" s="10" t="s">
        <v>144</v>
      </c>
      <c r="G421" s="10" t="s">
        <v>21</v>
      </c>
      <c r="H421" s="10" t="s">
        <v>145</v>
      </c>
      <c r="I421" s="10" t="s">
        <v>140</v>
      </c>
      <c r="J421" s="10" t="s">
        <v>24</v>
      </c>
      <c r="K421" s="10" t="s">
        <v>35</v>
      </c>
      <c r="L421" s="10" t="s">
        <v>81</v>
      </c>
      <c r="M421" s="10" t="s">
        <v>1750</v>
      </c>
      <c r="N421" s="11">
        <v>16.48</v>
      </c>
      <c r="O421" s="12">
        <v>10</v>
      </c>
      <c r="P421" s="13">
        <v>0.2</v>
      </c>
      <c r="Q421" s="19"/>
      <c r="R421" s="45" t="str">
        <f t="shared" si="24"/>
        <v>OK</v>
      </c>
      <c r="S421" s="45">
        <f t="shared" si="25"/>
        <v>583.55124999999998</v>
      </c>
      <c r="T421" s="45">
        <f t="shared" si="26"/>
        <v>8</v>
      </c>
      <c r="U421" s="45">
        <f t="shared" si="27"/>
        <v>4668.41</v>
      </c>
    </row>
    <row r="422" spans="1:21" x14ac:dyDescent="0.3">
      <c r="A422" s="17" t="s">
        <v>2219</v>
      </c>
      <c r="B422" s="32">
        <v>44821</v>
      </c>
      <c r="C422" s="32">
        <v>44825</v>
      </c>
      <c r="D422" s="8" t="s">
        <v>73</v>
      </c>
      <c r="E422" s="8" t="s">
        <v>1258</v>
      </c>
      <c r="F422" s="10" t="s">
        <v>1259</v>
      </c>
      <c r="G422" s="10" t="s">
        <v>21</v>
      </c>
      <c r="H422" s="10" t="s">
        <v>438</v>
      </c>
      <c r="I422" s="10" t="s">
        <v>157</v>
      </c>
      <c r="J422" s="10" t="s">
        <v>88</v>
      </c>
      <c r="K422" s="10" t="s">
        <v>35</v>
      </c>
      <c r="L422" s="10" t="s">
        <v>110</v>
      </c>
      <c r="M422" s="10" t="s">
        <v>2220</v>
      </c>
      <c r="N422" s="11">
        <v>27.72</v>
      </c>
      <c r="O422" s="12">
        <v>6</v>
      </c>
      <c r="P422" s="13">
        <v>0.5</v>
      </c>
      <c r="Q422" s="19">
        <v>-4.1500000000000004</v>
      </c>
      <c r="R422" s="45" t="str">
        <f t="shared" si="24"/>
        <v>OK</v>
      </c>
      <c r="S422" s="45">
        <f t="shared" si="25"/>
        <v>583.55124999999998</v>
      </c>
      <c r="T422" s="45">
        <f t="shared" si="26"/>
        <v>8</v>
      </c>
      <c r="U422" s="45">
        <f t="shared" si="27"/>
        <v>4668.41</v>
      </c>
    </row>
    <row r="423" spans="1:21" x14ac:dyDescent="0.3">
      <c r="A423" s="17" t="s">
        <v>2243</v>
      </c>
      <c r="B423" s="32">
        <v>44821</v>
      </c>
      <c r="C423" s="32">
        <v>44826</v>
      </c>
      <c r="D423" s="8" t="s">
        <v>73</v>
      </c>
      <c r="E423" s="8" t="s">
        <v>670</v>
      </c>
      <c r="F423" s="10" t="s">
        <v>671</v>
      </c>
      <c r="G423" s="10" t="s">
        <v>21</v>
      </c>
      <c r="H423" s="10" t="s">
        <v>465</v>
      </c>
      <c r="I423" s="10" t="s">
        <v>423</v>
      </c>
      <c r="J423" s="10" t="s">
        <v>88</v>
      </c>
      <c r="K423" s="10" t="s">
        <v>35</v>
      </c>
      <c r="L423" s="10" t="s">
        <v>81</v>
      </c>
      <c r="M423" s="10" t="s">
        <v>2244</v>
      </c>
      <c r="N423" s="11">
        <v>40.26</v>
      </c>
      <c r="O423" s="12">
        <v>2</v>
      </c>
      <c r="P423" s="13">
        <v>0</v>
      </c>
      <c r="Q423" s="19">
        <v>20.260000000000002</v>
      </c>
      <c r="R423" s="45" t="str">
        <f t="shared" si="24"/>
        <v>OK</v>
      </c>
      <c r="S423" s="45">
        <f t="shared" si="25"/>
        <v>583.55124999999998</v>
      </c>
      <c r="T423" s="45">
        <f t="shared" si="26"/>
        <v>8</v>
      </c>
      <c r="U423" s="45">
        <f t="shared" si="27"/>
        <v>4668.41</v>
      </c>
    </row>
    <row r="424" spans="1:21" x14ac:dyDescent="0.3">
      <c r="A424" s="16" t="s">
        <v>1628</v>
      </c>
      <c r="B424" s="31">
        <v>44822</v>
      </c>
      <c r="C424" s="31">
        <v>44825</v>
      </c>
      <c r="D424" s="2" t="s">
        <v>18</v>
      </c>
      <c r="E424" s="2" t="s">
        <v>77</v>
      </c>
      <c r="F424" s="4" t="s">
        <v>78</v>
      </c>
      <c r="G424" s="4" t="s">
        <v>21</v>
      </c>
      <c r="H424" s="4" t="s">
        <v>79</v>
      </c>
      <c r="I424" s="4" t="s">
        <v>80</v>
      </c>
      <c r="J424" s="4" t="s">
        <v>54</v>
      </c>
      <c r="K424" s="4" t="s">
        <v>25</v>
      </c>
      <c r="L424" s="4" t="s">
        <v>26</v>
      </c>
      <c r="M424" s="4" t="s">
        <v>1629</v>
      </c>
      <c r="N424" s="5">
        <v>9934.9</v>
      </c>
      <c r="O424" s="6">
        <v>8</v>
      </c>
      <c r="P424" s="7">
        <v>0.3</v>
      </c>
      <c r="Q424" s="18">
        <v>-1098.5</v>
      </c>
      <c r="R424" s="45" t="str">
        <f t="shared" si="24"/>
        <v>OK</v>
      </c>
      <c r="S424" s="45">
        <f t="shared" si="25"/>
        <v>583.55124999999998</v>
      </c>
      <c r="T424" s="45">
        <f t="shared" si="26"/>
        <v>8</v>
      </c>
      <c r="U424" s="45">
        <f t="shared" si="27"/>
        <v>4668.41</v>
      </c>
    </row>
    <row r="425" spans="1:21" x14ac:dyDescent="0.3">
      <c r="A425" s="16" t="s">
        <v>2070</v>
      </c>
      <c r="B425" s="31">
        <v>44823</v>
      </c>
      <c r="C425" s="31">
        <v>44825</v>
      </c>
      <c r="D425" s="2" t="s">
        <v>18</v>
      </c>
      <c r="E425" s="2" t="s">
        <v>924</v>
      </c>
      <c r="F425" s="4" t="s">
        <v>925</v>
      </c>
      <c r="G425" s="4" t="s">
        <v>42</v>
      </c>
      <c r="H425" s="4" t="s">
        <v>79</v>
      </c>
      <c r="I425" s="4" t="s">
        <v>80</v>
      </c>
      <c r="J425" s="4" t="s">
        <v>54</v>
      </c>
      <c r="K425" s="4" t="s">
        <v>35</v>
      </c>
      <c r="L425" s="4" t="s">
        <v>166</v>
      </c>
      <c r="M425" s="4" t="s">
        <v>2071</v>
      </c>
      <c r="N425" s="5">
        <v>60.94</v>
      </c>
      <c r="O425" s="6">
        <v>3</v>
      </c>
      <c r="P425" s="7">
        <v>0.1</v>
      </c>
      <c r="Q425" s="18">
        <v>14.84</v>
      </c>
      <c r="R425" s="45" t="str">
        <f t="shared" si="24"/>
        <v>OK</v>
      </c>
      <c r="S425" s="45">
        <f t="shared" si="25"/>
        <v>583.55124999999998</v>
      </c>
      <c r="T425" s="45">
        <f t="shared" si="26"/>
        <v>8</v>
      </c>
      <c r="U425" s="45">
        <f t="shared" si="27"/>
        <v>4668.41</v>
      </c>
    </row>
    <row r="426" spans="1:21" x14ac:dyDescent="0.3">
      <c r="A426" s="16" t="s">
        <v>2308</v>
      </c>
      <c r="B426" s="31">
        <v>44823</v>
      </c>
      <c r="C426" s="31">
        <v>44828</v>
      </c>
      <c r="D426" s="2" t="s">
        <v>73</v>
      </c>
      <c r="E426" s="2" t="s">
        <v>436</v>
      </c>
      <c r="F426" s="4" t="s">
        <v>437</v>
      </c>
      <c r="G426" s="4" t="s">
        <v>51</v>
      </c>
      <c r="H426" s="4" t="s">
        <v>438</v>
      </c>
      <c r="I426" s="4" t="s">
        <v>157</v>
      </c>
      <c r="J426" s="4" t="s">
        <v>88</v>
      </c>
      <c r="K426" s="4" t="s">
        <v>45</v>
      </c>
      <c r="L426" s="4" t="s">
        <v>117</v>
      </c>
      <c r="M426" s="4" t="s">
        <v>2309</v>
      </c>
      <c r="N426" s="5">
        <v>1528.5</v>
      </c>
      <c r="O426" s="6">
        <v>8</v>
      </c>
      <c r="P426" s="7">
        <v>0.15</v>
      </c>
      <c r="Q426" s="18">
        <v>200.29</v>
      </c>
      <c r="R426" s="45" t="str">
        <f t="shared" si="24"/>
        <v>OK</v>
      </c>
      <c r="S426" s="45">
        <f t="shared" si="25"/>
        <v>583.55124999999998</v>
      </c>
      <c r="T426" s="45">
        <f t="shared" si="26"/>
        <v>8</v>
      </c>
      <c r="U426" s="45">
        <f t="shared" si="27"/>
        <v>4668.41</v>
      </c>
    </row>
    <row r="427" spans="1:21" x14ac:dyDescent="0.3">
      <c r="A427" s="16" t="s">
        <v>1100</v>
      </c>
      <c r="B427" s="31">
        <v>44826</v>
      </c>
      <c r="C427" s="31">
        <v>44831</v>
      </c>
      <c r="D427" s="2" t="s">
        <v>29</v>
      </c>
      <c r="E427" s="2" t="s">
        <v>1101</v>
      </c>
      <c r="F427" s="4" t="s">
        <v>1102</v>
      </c>
      <c r="G427" s="4" t="s">
        <v>42</v>
      </c>
      <c r="H427" s="4" t="s">
        <v>1103</v>
      </c>
      <c r="I427" s="4" t="s">
        <v>172</v>
      </c>
      <c r="J427" s="4" t="s">
        <v>24</v>
      </c>
      <c r="K427" s="4" t="s">
        <v>25</v>
      </c>
      <c r="L427" s="4" t="s">
        <v>68</v>
      </c>
      <c r="M427" s="4" t="s">
        <v>1104</v>
      </c>
      <c r="N427" s="5">
        <v>152.55000000000001</v>
      </c>
      <c r="O427" s="6">
        <v>1</v>
      </c>
      <c r="P427" s="7">
        <v>0.2</v>
      </c>
      <c r="Q427" s="18">
        <v>27.49</v>
      </c>
      <c r="R427" s="45" t="str">
        <f t="shared" si="24"/>
        <v>OK</v>
      </c>
      <c r="S427" s="45">
        <f t="shared" si="25"/>
        <v>583.55124999999998</v>
      </c>
      <c r="T427" s="45">
        <f t="shared" si="26"/>
        <v>8</v>
      </c>
      <c r="U427" s="45">
        <f t="shared" si="27"/>
        <v>4668.41</v>
      </c>
    </row>
    <row r="428" spans="1:21" x14ac:dyDescent="0.3">
      <c r="A428" s="16" t="s">
        <v>2288</v>
      </c>
      <c r="B428" s="31">
        <v>44826</v>
      </c>
      <c r="C428" s="31">
        <v>44829</v>
      </c>
      <c r="D428" s="2" t="s">
        <v>39</v>
      </c>
      <c r="E428" s="2" t="s">
        <v>1047</v>
      </c>
      <c r="F428" s="4" t="s">
        <v>1048</v>
      </c>
      <c r="G428" s="4" t="s">
        <v>42</v>
      </c>
      <c r="H428" s="4" t="s">
        <v>79</v>
      </c>
      <c r="I428" s="4" t="s">
        <v>80</v>
      </c>
      <c r="J428" s="4" t="s">
        <v>54</v>
      </c>
      <c r="K428" s="4" t="s">
        <v>45</v>
      </c>
      <c r="L428" s="4" t="s">
        <v>117</v>
      </c>
      <c r="M428" s="4" t="s">
        <v>2289</v>
      </c>
      <c r="N428" s="5">
        <v>886.06</v>
      </c>
      <c r="O428" s="6">
        <v>10</v>
      </c>
      <c r="P428" s="7">
        <v>0.3</v>
      </c>
      <c r="Q428" s="18">
        <v>-89.21</v>
      </c>
      <c r="R428" s="45" t="str">
        <f t="shared" si="24"/>
        <v>OK</v>
      </c>
      <c r="S428" s="45">
        <f t="shared" si="25"/>
        <v>583.55124999999998</v>
      </c>
      <c r="T428" s="45">
        <f t="shared" si="26"/>
        <v>8</v>
      </c>
      <c r="U428" s="45">
        <f t="shared" si="27"/>
        <v>4668.41</v>
      </c>
    </row>
    <row r="429" spans="1:21" x14ac:dyDescent="0.3">
      <c r="A429" s="16" t="s">
        <v>665</v>
      </c>
      <c r="B429" s="31">
        <v>44827</v>
      </c>
      <c r="C429" s="31">
        <v>44830</v>
      </c>
      <c r="D429" s="2" t="s">
        <v>18</v>
      </c>
      <c r="E429" s="2" t="s">
        <v>666</v>
      </c>
      <c r="F429" s="4" t="s">
        <v>667</v>
      </c>
      <c r="G429" s="4" t="s">
        <v>21</v>
      </c>
      <c r="H429" s="4" t="s">
        <v>372</v>
      </c>
      <c r="I429" s="4" t="s">
        <v>373</v>
      </c>
      <c r="J429" s="4" t="s">
        <v>34</v>
      </c>
      <c r="K429" s="4" t="s">
        <v>35</v>
      </c>
      <c r="L429" s="4" t="s">
        <v>110</v>
      </c>
      <c r="M429" s="4" t="s">
        <v>668</v>
      </c>
      <c r="N429" s="5">
        <v>15</v>
      </c>
      <c r="O429" s="6">
        <v>1</v>
      </c>
      <c r="P429" s="7">
        <v>0.1</v>
      </c>
      <c r="Q429" s="18">
        <v>6.25</v>
      </c>
      <c r="R429" s="45" t="str">
        <f t="shared" si="24"/>
        <v>OK</v>
      </c>
      <c r="S429" s="45">
        <f t="shared" si="25"/>
        <v>583.55124999999998</v>
      </c>
      <c r="T429" s="45">
        <f t="shared" si="26"/>
        <v>8</v>
      </c>
      <c r="U429" s="45">
        <f t="shared" si="27"/>
        <v>4668.41</v>
      </c>
    </row>
    <row r="430" spans="1:21" x14ac:dyDescent="0.3">
      <c r="A430" s="17" t="s">
        <v>2302</v>
      </c>
      <c r="B430" s="32">
        <v>44831</v>
      </c>
      <c r="C430" s="32">
        <v>44834</v>
      </c>
      <c r="D430" s="8" t="s">
        <v>18</v>
      </c>
      <c r="E430" s="8" t="s">
        <v>322</v>
      </c>
      <c r="F430" s="10" t="s">
        <v>323</v>
      </c>
      <c r="G430" s="10" t="s">
        <v>42</v>
      </c>
      <c r="H430" s="10" t="s">
        <v>324</v>
      </c>
      <c r="I430" s="10" t="s">
        <v>116</v>
      </c>
      <c r="J430" s="10" t="s">
        <v>54</v>
      </c>
      <c r="K430" s="10" t="s">
        <v>25</v>
      </c>
      <c r="L430" s="10" t="s">
        <v>68</v>
      </c>
      <c r="M430" s="10" t="s">
        <v>2303</v>
      </c>
      <c r="N430" s="11">
        <v>335.64</v>
      </c>
      <c r="O430" s="12">
        <v>4</v>
      </c>
      <c r="P430" s="13">
        <v>0</v>
      </c>
      <c r="Q430" s="19">
        <v>114.36</v>
      </c>
      <c r="R430" s="45" t="str">
        <f t="shared" si="24"/>
        <v>OK</v>
      </c>
      <c r="S430" s="45">
        <f t="shared" si="25"/>
        <v>583.55124999999998</v>
      </c>
      <c r="T430" s="45">
        <f t="shared" si="26"/>
        <v>8</v>
      </c>
      <c r="U430" s="45">
        <f t="shared" si="27"/>
        <v>4668.41</v>
      </c>
    </row>
    <row r="431" spans="1:21" x14ac:dyDescent="0.3">
      <c r="A431" s="17" t="s">
        <v>720</v>
      </c>
      <c r="B431" s="32">
        <v>44832</v>
      </c>
      <c r="C431" s="32">
        <v>44836</v>
      </c>
      <c r="D431" s="8" t="s">
        <v>73</v>
      </c>
      <c r="E431" s="8" t="s">
        <v>40</v>
      </c>
      <c r="F431" s="10" t="s">
        <v>41</v>
      </c>
      <c r="G431" s="10" t="s">
        <v>42</v>
      </c>
      <c r="H431" s="10" t="s">
        <v>43</v>
      </c>
      <c r="I431" s="10" t="s">
        <v>44</v>
      </c>
      <c r="J431" s="10" t="s">
        <v>24</v>
      </c>
      <c r="K431" s="10" t="s">
        <v>25</v>
      </c>
      <c r="L431" s="10" t="s">
        <v>124</v>
      </c>
      <c r="M431" s="10" t="s">
        <v>721</v>
      </c>
      <c r="N431" s="11">
        <v>4775.87</v>
      </c>
      <c r="O431" s="12">
        <v>8</v>
      </c>
      <c r="P431" s="13">
        <v>0.2</v>
      </c>
      <c r="Q431" s="19">
        <v>73.17</v>
      </c>
      <c r="R431" s="45" t="str">
        <f t="shared" si="24"/>
        <v>OK</v>
      </c>
      <c r="S431" s="45">
        <f t="shared" si="25"/>
        <v>583.55124999999998</v>
      </c>
      <c r="T431" s="45">
        <f t="shared" si="26"/>
        <v>8</v>
      </c>
      <c r="U431" s="45">
        <f t="shared" si="27"/>
        <v>4668.41</v>
      </c>
    </row>
    <row r="432" spans="1:21" x14ac:dyDescent="0.3">
      <c r="A432" s="16" t="s">
        <v>1667</v>
      </c>
      <c r="B432" s="31">
        <v>44835</v>
      </c>
      <c r="C432" s="31">
        <v>44838</v>
      </c>
      <c r="D432" s="2" t="s">
        <v>18</v>
      </c>
      <c r="E432" s="2" t="s">
        <v>1582</v>
      </c>
      <c r="F432" s="4" t="s">
        <v>1583</v>
      </c>
      <c r="G432" s="4" t="s">
        <v>21</v>
      </c>
      <c r="H432" s="4" t="s">
        <v>52</v>
      </c>
      <c r="I432" s="4" t="s">
        <v>53</v>
      </c>
      <c r="J432" s="4" t="s">
        <v>54</v>
      </c>
      <c r="K432" s="4" t="s">
        <v>25</v>
      </c>
      <c r="L432" s="4" t="s">
        <v>74</v>
      </c>
      <c r="M432" s="4" t="s">
        <v>1668</v>
      </c>
      <c r="N432" s="5">
        <v>519.48</v>
      </c>
      <c r="O432" s="6">
        <v>3</v>
      </c>
      <c r="P432" s="7">
        <v>0</v>
      </c>
      <c r="Q432" s="18">
        <v>233.93</v>
      </c>
      <c r="R432" s="45" t="str">
        <f t="shared" si="24"/>
        <v>OK</v>
      </c>
      <c r="S432" s="45">
        <f t="shared" si="25"/>
        <v>583.55124999999998</v>
      </c>
      <c r="T432" s="45">
        <f t="shared" si="26"/>
        <v>8</v>
      </c>
      <c r="U432" s="45">
        <f t="shared" si="27"/>
        <v>4668.41</v>
      </c>
    </row>
    <row r="433" spans="1:21" x14ac:dyDescent="0.3">
      <c r="A433" s="17" t="s">
        <v>2322</v>
      </c>
      <c r="B433" s="32">
        <v>44836</v>
      </c>
      <c r="C433" s="32">
        <v>44833</v>
      </c>
      <c r="D433" s="8" t="s">
        <v>29</v>
      </c>
      <c r="E433" s="8" t="s">
        <v>120</v>
      </c>
      <c r="F433" s="10" t="s">
        <v>121</v>
      </c>
      <c r="G433" s="10" t="s">
        <v>21</v>
      </c>
      <c r="H433" s="10" t="s">
        <v>122</v>
      </c>
      <c r="I433" s="10" t="s">
        <v>123</v>
      </c>
      <c r="J433" s="10" t="s">
        <v>24</v>
      </c>
      <c r="K433" s="10" t="s">
        <v>25</v>
      </c>
      <c r="L433" s="10" t="s">
        <v>68</v>
      </c>
      <c r="M433" s="10" t="s">
        <v>2323</v>
      </c>
      <c r="N433" s="11">
        <v>67.91</v>
      </c>
      <c r="O433" s="12">
        <v>2</v>
      </c>
      <c r="P433" s="13">
        <v>0.4</v>
      </c>
      <c r="Q433" s="19">
        <v>-5.4</v>
      </c>
      <c r="R433" s="45" t="str">
        <f t="shared" si="24"/>
        <v>Error</v>
      </c>
      <c r="S433" s="45">
        <f t="shared" si="25"/>
        <v>583.55124999999998</v>
      </c>
      <c r="T433" s="45">
        <f t="shared" si="26"/>
        <v>8</v>
      </c>
      <c r="U433" s="45">
        <f t="shared" si="27"/>
        <v>4668.41</v>
      </c>
    </row>
    <row r="434" spans="1:21" x14ac:dyDescent="0.3">
      <c r="A434" s="17" t="s">
        <v>1283</v>
      </c>
      <c r="B434" s="32">
        <v>44837</v>
      </c>
      <c r="C434" s="32">
        <v>44844</v>
      </c>
      <c r="D434" s="8" t="s">
        <v>29</v>
      </c>
      <c r="E434" s="8" t="s">
        <v>1284</v>
      </c>
      <c r="F434" s="10" t="s">
        <v>1285</v>
      </c>
      <c r="G434" s="10" t="s">
        <v>21</v>
      </c>
      <c r="H434" s="10" t="s">
        <v>150</v>
      </c>
      <c r="I434" s="10" t="s">
        <v>151</v>
      </c>
      <c r="J434" s="10" t="s">
        <v>34</v>
      </c>
      <c r="K434" s="10" t="s">
        <v>25</v>
      </c>
      <c r="L434" s="10" t="s">
        <v>124</v>
      </c>
      <c r="M434" s="10" t="s">
        <v>1286</v>
      </c>
      <c r="N434" s="11">
        <v>2572.54</v>
      </c>
      <c r="O434" s="12">
        <v>2</v>
      </c>
      <c r="P434" s="13">
        <v>0.1</v>
      </c>
      <c r="Q434" s="19">
        <v>471.51</v>
      </c>
      <c r="R434" s="45" t="str">
        <f t="shared" si="24"/>
        <v>OK</v>
      </c>
      <c r="S434" s="45">
        <f t="shared" si="25"/>
        <v>583.55124999999998</v>
      </c>
      <c r="T434" s="45">
        <f t="shared" si="26"/>
        <v>8</v>
      </c>
      <c r="U434" s="45">
        <f t="shared" si="27"/>
        <v>4668.41</v>
      </c>
    </row>
    <row r="435" spans="1:21" x14ac:dyDescent="0.3">
      <c r="A435" s="17" t="s">
        <v>1451</v>
      </c>
      <c r="B435" s="32">
        <v>44838</v>
      </c>
      <c r="C435" s="32">
        <v>44841</v>
      </c>
      <c r="D435" s="8" t="s">
        <v>18</v>
      </c>
      <c r="E435" s="8" t="s">
        <v>547</v>
      </c>
      <c r="F435" s="10" t="s">
        <v>548</v>
      </c>
      <c r="G435" s="10" t="s">
        <v>51</v>
      </c>
      <c r="H435" s="10" t="s">
        <v>156</v>
      </c>
      <c r="I435" s="10" t="s">
        <v>157</v>
      </c>
      <c r="J435" s="10" t="s">
        <v>88</v>
      </c>
      <c r="K435" s="10" t="s">
        <v>25</v>
      </c>
      <c r="L435" s="10" t="s">
        <v>26</v>
      </c>
      <c r="M435" s="10" t="s">
        <v>1452</v>
      </c>
      <c r="N435" s="11">
        <v>3159.12</v>
      </c>
      <c r="O435" s="12">
        <v>6</v>
      </c>
      <c r="P435" s="13">
        <v>0.2</v>
      </c>
      <c r="Q435" s="19">
        <v>265.51</v>
      </c>
      <c r="R435" s="45" t="str">
        <f t="shared" si="24"/>
        <v>OK</v>
      </c>
      <c r="S435" s="45">
        <f t="shared" si="25"/>
        <v>583.55124999999998</v>
      </c>
      <c r="T435" s="45">
        <f t="shared" si="26"/>
        <v>8</v>
      </c>
      <c r="U435" s="45">
        <f t="shared" si="27"/>
        <v>4668.41</v>
      </c>
    </row>
    <row r="436" spans="1:21" x14ac:dyDescent="0.3">
      <c r="A436" s="17" t="s">
        <v>2433</v>
      </c>
      <c r="B436" s="32">
        <v>44838</v>
      </c>
      <c r="C436" s="32">
        <v>44842</v>
      </c>
      <c r="D436" s="8" t="s">
        <v>39</v>
      </c>
      <c r="E436" s="8" t="s">
        <v>1025</v>
      </c>
      <c r="F436" s="10" t="s">
        <v>1026</v>
      </c>
      <c r="G436" s="10" t="s">
        <v>21</v>
      </c>
      <c r="H436" s="10" t="s">
        <v>412</v>
      </c>
      <c r="I436" s="10" t="s">
        <v>178</v>
      </c>
      <c r="J436" s="10" t="s">
        <v>24</v>
      </c>
      <c r="K436" s="10" t="s">
        <v>45</v>
      </c>
      <c r="L436" s="10" t="s">
        <v>99</v>
      </c>
      <c r="M436" s="10" t="s">
        <v>2434</v>
      </c>
      <c r="N436" s="11">
        <v>297.89999999999998</v>
      </c>
      <c r="O436" s="12">
        <v>10</v>
      </c>
      <c r="P436" s="13">
        <v>0.4</v>
      </c>
      <c r="Q436" s="19">
        <v>-40.83</v>
      </c>
      <c r="R436" s="45" t="str">
        <f t="shared" si="24"/>
        <v>OK</v>
      </c>
      <c r="S436" s="45">
        <f t="shared" si="25"/>
        <v>583.55124999999998</v>
      </c>
      <c r="T436" s="45">
        <f t="shared" si="26"/>
        <v>8</v>
      </c>
      <c r="U436" s="45">
        <f t="shared" si="27"/>
        <v>4668.41</v>
      </c>
    </row>
    <row r="437" spans="1:21" x14ac:dyDescent="0.3">
      <c r="A437" s="16" t="s">
        <v>685</v>
      </c>
      <c r="B437" s="31">
        <v>44841</v>
      </c>
      <c r="C437" s="31">
        <v>44844</v>
      </c>
      <c r="D437" s="2" t="s">
        <v>73</v>
      </c>
      <c r="E437" s="2" t="s">
        <v>588</v>
      </c>
      <c r="F437" s="4" t="s">
        <v>589</v>
      </c>
      <c r="G437" s="4" t="s">
        <v>42</v>
      </c>
      <c r="H437" s="4" t="s">
        <v>397</v>
      </c>
      <c r="I437" s="4" t="s">
        <v>33</v>
      </c>
      <c r="J437" s="4" t="s">
        <v>34</v>
      </c>
      <c r="K437" s="4" t="s">
        <v>45</v>
      </c>
      <c r="L437" s="4" t="s">
        <v>46</v>
      </c>
      <c r="M437" s="4" t="s">
        <v>686</v>
      </c>
      <c r="N437" s="5">
        <v>3001.72</v>
      </c>
      <c r="O437" s="6">
        <v>7</v>
      </c>
      <c r="P437" s="7">
        <v>0.15</v>
      </c>
      <c r="Q437" s="18">
        <v>444.54</v>
      </c>
      <c r="R437" s="45" t="str">
        <f t="shared" si="24"/>
        <v>OK</v>
      </c>
      <c r="S437" s="45">
        <f t="shared" si="25"/>
        <v>583.55124999999998</v>
      </c>
      <c r="T437" s="45">
        <f t="shared" si="26"/>
        <v>8</v>
      </c>
      <c r="U437" s="45">
        <f t="shared" si="27"/>
        <v>4668.41</v>
      </c>
    </row>
    <row r="438" spans="1:21" x14ac:dyDescent="0.3">
      <c r="A438" s="17" t="s">
        <v>1175</v>
      </c>
      <c r="B438" s="32">
        <v>44843</v>
      </c>
      <c r="C438" s="32">
        <v>44848</v>
      </c>
      <c r="D438" s="8" t="s">
        <v>29</v>
      </c>
      <c r="E438" s="8" t="s">
        <v>642</v>
      </c>
      <c r="F438" s="10" t="s">
        <v>643</v>
      </c>
      <c r="G438" s="10" t="s">
        <v>51</v>
      </c>
      <c r="H438" s="10" t="s">
        <v>171</v>
      </c>
      <c r="I438" s="10" t="s">
        <v>172</v>
      </c>
      <c r="J438" s="10" t="s">
        <v>24</v>
      </c>
      <c r="K438" s="10" t="s">
        <v>35</v>
      </c>
      <c r="L438" s="10" t="s">
        <v>36</v>
      </c>
      <c r="M438" s="10" t="s">
        <v>1176</v>
      </c>
      <c r="N438" s="11">
        <v>534.29999999999995</v>
      </c>
      <c r="O438" s="12">
        <v>5</v>
      </c>
      <c r="P438" s="13">
        <v>0.5</v>
      </c>
      <c r="Q438" s="19">
        <v>-123.95</v>
      </c>
      <c r="R438" s="45" t="str">
        <f t="shared" si="24"/>
        <v>OK</v>
      </c>
      <c r="S438" s="45">
        <f t="shared" si="25"/>
        <v>583.55124999999998</v>
      </c>
      <c r="T438" s="45">
        <f t="shared" si="26"/>
        <v>8</v>
      </c>
      <c r="U438" s="45">
        <f t="shared" si="27"/>
        <v>4668.41</v>
      </c>
    </row>
    <row r="439" spans="1:21" x14ac:dyDescent="0.3">
      <c r="A439" s="17" t="s">
        <v>583</v>
      </c>
      <c r="B439" s="32">
        <v>44845</v>
      </c>
      <c r="C439" s="32">
        <v>44852</v>
      </c>
      <c r="D439" s="8" t="s">
        <v>29</v>
      </c>
      <c r="E439" s="8" t="s">
        <v>584</v>
      </c>
      <c r="F439" s="10" t="s">
        <v>585</v>
      </c>
      <c r="G439" s="10" t="s">
        <v>42</v>
      </c>
      <c r="H439" s="10" t="s">
        <v>250</v>
      </c>
      <c r="I439" s="10" t="s">
        <v>251</v>
      </c>
      <c r="J439" s="10" t="s">
        <v>88</v>
      </c>
      <c r="K439" s="10" t="s">
        <v>25</v>
      </c>
      <c r="L439" s="10" t="s">
        <v>26</v>
      </c>
      <c r="M439" s="10" t="s">
        <v>586</v>
      </c>
      <c r="N439" s="11">
        <v>1410</v>
      </c>
      <c r="O439" s="12">
        <v>8</v>
      </c>
      <c r="P439" s="13">
        <v>0</v>
      </c>
      <c r="Q439" s="19">
        <v>282.13</v>
      </c>
      <c r="R439" s="45" t="str">
        <f t="shared" si="24"/>
        <v>OK</v>
      </c>
      <c r="S439" s="45">
        <f t="shared" si="25"/>
        <v>583.55124999999998</v>
      </c>
      <c r="T439" s="45">
        <f t="shared" si="26"/>
        <v>8</v>
      </c>
      <c r="U439" s="45">
        <f t="shared" si="27"/>
        <v>4668.41</v>
      </c>
    </row>
    <row r="440" spans="1:21" x14ac:dyDescent="0.3">
      <c r="A440" s="16" t="s">
        <v>1475</v>
      </c>
      <c r="B440" s="31">
        <v>44848</v>
      </c>
      <c r="C440" s="31">
        <v>44852</v>
      </c>
      <c r="D440" s="2" t="s">
        <v>39</v>
      </c>
      <c r="E440" s="2" t="s">
        <v>688</v>
      </c>
      <c r="F440" s="4" t="s">
        <v>689</v>
      </c>
      <c r="G440" s="4" t="s">
        <v>42</v>
      </c>
      <c r="H440" s="4" t="s">
        <v>438</v>
      </c>
      <c r="I440" s="4" t="s">
        <v>157</v>
      </c>
      <c r="J440" s="4" t="s">
        <v>88</v>
      </c>
      <c r="K440" s="4" t="s">
        <v>25</v>
      </c>
      <c r="L440" s="4" t="s">
        <v>26</v>
      </c>
      <c r="M440" s="4" t="s">
        <v>1476</v>
      </c>
      <c r="N440" s="5">
        <v>3549.64</v>
      </c>
      <c r="O440" s="6">
        <v>4</v>
      </c>
      <c r="P440" s="7">
        <v>0.5</v>
      </c>
      <c r="Q440" s="18">
        <v>-2135.2600000000002</v>
      </c>
      <c r="R440" s="45" t="str">
        <f t="shared" si="24"/>
        <v>OK</v>
      </c>
      <c r="S440" s="45">
        <f t="shared" si="25"/>
        <v>583.55124999999998</v>
      </c>
      <c r="T440" s="45">
        <f t="shared" si="26"/>
        <v>8</v>
      </c>
      <c r="U440" s="45">
        <f t="shared" si="27"/>
        <v>4668.41</v>
      </c>
    </row>
    <row r="441" spans="1:21" x14ac:dyDescent="0.3">
      <c r="A441" s="17" t="s">
        <v>1705</v>
      </c>
      <c r="B441" s="32">
        <v>44849</v>
      </c>
      <c r="C441" s="32">
        <v>44856</v>
      </c>
      <c r="D441" s="8" t="s">
        <v>29</v>
      </c>
      <c r="E441" s="8" t="s">
        <v>1011</v>
      </c>
      <c r="F441" s="10" t="s">
        <v>1012</v>
      </c>
      <c r="G441" s="10" t="s">
        <v>21</v>
      </c>
      <c r="H441" s="10" t="s">
        <v>59</v>
      </c>
      <c r="I441" s="10" t="s">
        <v>60</v>
      </c>
      <c r="J441" s="10" t="s">
        <v>54</v>
      </c>
      <c r="K441" s="10" t="s">
        <v>35</v>
      </c>
      <c r="L441" s="10" t="s">
        <v>295</v>
      </c>
      <c r="M441" s="10" t="s">
        <v>1706</v>
      </c>
      <c r="N441" s="11">
        <v>249.23</v>
      </c>
      <c r="O441" s="12">
        <v>7</v>
      </c>
      <c r="P441" s="13">
        <v>0.5</v>
      </c>
      <c r="Q441" s="19">
        <v>-19.71</v>
      </c>
      <c r="R441" s="45" t="str">
        <f t="shared" si="24"/>
        <v>OK</v>
      </c>
      <c r="S441" s="45">
        <f t="shared" si="25"/>
        <v>583.55124999999998</v>
      </c>
      <c r="T441" s="45">
        <f t="shared" si="26"/>
        <v>8</v>
      </c>
      <c r="U441" s="45">
        <f t="shared" si="27"/>
        <v>4668.41</v>
      </c>
    </row>
    <row r="442" spans="1:21" x14ac:dyDescent="0.3">
      <c r="A442" s="17" t="s">
        <v>546</v>
      </c>
      <c r="B442" s="32">
        <v>44850</v>
      </c>
      <c r="C442" s="32">
        <v>44853</v>
      </c>
      <c r="D442" s="8" t="s">
        <v>39</v>
      </c>
      <c r="E442" s="8" t="s">
        <v>547</v>
      </c>
      <c r="F442" s="10" t="s">
        <v>548</v>
      </c>
      <c r="G442" s="10" t="s">
        <v>51</v>
      </c>
      <c r="H442" s="10" t="s">
        <v>156</v>
      </c>
      <c r="I442" s="10" t="s">
        <v>157</v>
      </c>
      <c r="J442" s="10" t="s">
        <v>88</v>
      </c>
      <c r="K442" s="10" t="s">
        <v>35</v>
      </c>
      <c r="L442" s="10" t="s">
        <v>89</v>
      </c>
      <c r="M442" s="10" t="s">
        <v>549</v>
      </c>
      <c r="N442" s="11">
        <v>731.5</v>
      </c>
      <c r="O442" s="12">
        <v>10</v>
      </c>
      <c r="P442" s="13">
        <v>0</v>
      </c>
      <c r="Q442" s="19">
        <v>277.95999999999998</v>
      </c>
      <c r="R442" s="45" t="str">
        <f t="shared" si="24"/>
        <v>OK</v>
      </c>
      <c r="S442" s="45">
        <f t="shared" si="25"/>
        <v>583.55124999999998</v>
      </c>
      <c r="T442" s="45">
        <f t="shared" si="26"/>
        <v>8</v>
      </c>
      <c r="U442" s="45">
        <f t="shared" si="27"/>
        <v>4668.41</v>
      </c>
    </row>
    <row r="443" spans="1:21" x14ac:dyDescent="0.3">
      <c r="A443" s="17" t="s">
        <v>409</v>
      </c>
      <c r="B443" s="32">
        <v>44856</v>
      </c>
      <c r="C443" s="32">
        <v>44861</v>
      </c>
      <c r="D443" s="8" t="s">
        <v>73</v>
      </c>
      <c r="E443" s="8" t="s">
        <v>410</v>
      </c>
      <c r="F443" s="10" t="s">
        <v>411</v>
      </c>
      <c r="G443" s="10" t="s">
        <v>42</v>
      </c>
      <c r="H443" s="10" t="s">
        <v>412</v>
      </c>
      <c r="I443" s="10" t="s">
        <v>178</v>
      </c>
      <c r="J443" s="10" t="s">
        <v>24</v>
      </c>
      <c r="K443" s="10" t="s">
        <v>35</v>
      </c>
      <c r="L443" s="10" t="s">
        <v>158</v>
      </c>
      <c r="M443" s="10" t="s">
        <v>413</v>
      </c>
      <c r="N443" s="11">
        <v>301.56</v>
      </c>
      <c r="O443" s="12">
        <v>3</v>
      </c>
      <c r="P443" s="13">
        <v>0.05</v>
      </c>
      <c r="Q443" s="19">
        <v>122.72</v>
      </c>
      <c r="R443" s="45" t="str">
        <f t="shared" si="24"/>
        <v>OK</v>
      </c>
      <c r="S443" s="45">
        <f t="shared" si="25"/>
        <v>583.55124999999998</v>
      </c>
      <c r="T443" s="45">
        <f t="shared" si="26"/>
        <v>8</v>
      </c>
      <c r="U443" s="45">
        <f t="shared" si="27"/>
        <v>4668.41</v>
      </c>
    </row>
    <row r="444" spans="1:21" x14ac:dyDescent="0.3">
      <c r="A444" s="16" t="s">
        <v>452</v>
      </c>
      <c r="B444" s="31">
        <v>44856</v>
      </c>
      <c r="C444" s="31">
        <v>44863</v>
      </c>
      <c r="D444" s="2" t="s">
        <v>29</v>
      </c>
      <c r="E444" s="2" t="s">
        <v>453</v>
      </c>
      <c r="F444" s="4" t="s">
        <v>454</v>
      </c>
      <c r="G444" s="4" t="s">
        <v>21</v>
      </c>
      <c r="H444" s="4" t="s">
        <v>386</v>
      </c>
      <c r="I444" s="4" t="s">
        <v>347</v>
      </c>
      <c r="J444" s="4" t="s">
        <v>88</v>
      </c>
      <c r="K444" s="4" t="s">
        <v>35</v>
      </c>
      <c r="L444" s="4" t="s">
        <v>89</v>
      </c>
      <c r="M444" s="4" t="s">
        <v>455</v>
      </c>
      <c r="N444" s="5">
        <v>647</v>
      </c>
      <c r="O444" s="6">
        <v>4</v>
      </c>
      <c r="P444" s="7">
        <v>0</v>
      </c>
      <c r="Q444" s="18">
        <v>176.12</v>
      </c>
      <c r="R444" s="45" t="str">
        <f t="shared" si="24"/>
        <v>OK</v>
      </c>
      <c r="S444" s="45">
        <f t="shared" si="25"/>
        <v>583.55124999999998</v>
      </c>
      <c r="T444" s="45">
        <f t="shared" si="26"/>
        <v>8</v>
      </c>
      <c r="U444" s="45">
        <f t="shared" si="27"/>
        <v>4668.41</v>
      </c>
    </row>
    <row r="445" spans="1:21" x14ac:dyDescent="0.3">
      <c r="A445" s="17" t="s">
        <v>1251</v>
      </c>
      <c r="B445" s="32">
        <v>44856</v>
      </c>
      <c r="C445" s="32">
        <v>44861</v>
      </c>
      <c r="D445" s="8" t="s">
        <v>29</v>
      </c>
      <c r="E445" s="8" t="s">
        <v>1089</v>
      </c>
      <c r="F445" s="10" t="s">
        <v>1090</v>
      </c>
      <c r="G445" s="10" t="s">
        <v>51</v>
      </c>
      <c r="H445" s="10" t="s">
        <v>1091</v>
      </c>
      <c r="I445" s="10" t="s">
        <v>23</v>
      </c>
      <c r="J445" s="10" t="s">
        <v>24</v>
      </c>
      <c r="K445" s="10" t="s">
        <v>35</v>
      </c>
      <c r="L445" s="10" t="s">
        <v>166</v>
      </c>
      <c r="M445" s="10" t="s">
        <v>1252</v>
      </c>
      <c r="N445" s="11">
        <v>96.6</v>
      </c>
      <c r="O445" s="12">
        <v>5</v>
      </c>
      <c r="P445" s="13">
        <v>0.15</v>
      </c>
      <c r="Q445" s="19">
        <v>18.690000000000001</v>
      </c>
      <c r="R445" s="45" t="str">
        <f t="shared" si="24"/>
        <v>OK</v>
      </c>
      <c r="S445" s="45">
        <f t="shared" si="25"/>
        <v>583.55124999999998</v>
      </c>
      <c r="T445" s="45">
        <f t="shared" si="26"/>
        <v>8</v>
      </c>
      <c r="U445" s="45">
        <f t="shared" si="27"/>
        <v>4668.41</v>
      </c>
    </row>
    <row r="446" spans="1:21" x14ac:dyDescent="0.3">
      <c r="A446" s="17" t="s">
        <v>2175</v>
      </c>
      <c r="B446" s="32">
        <v>44857</v>
      </c>
      <c r="C446" s="32">
        <v>44864</v>
      </c>
      <c r="D446" s="8" t="s">
        <v>29</v>
      </c>
      <c r="E446" s="8" t="s">
        <v>463</v>
      </c>
      <c r="F446" s="10" t="s">
        <v>464</v>
      </c>
      <c r="G446" s="10" t="s">
        <v>51</v>
      </c>
      <c r="H446" s="10" t="s">
        <v>465</v>
      </c>
      <c r="I446" s="10" t="s">
        <v>423</v>
      </c>
      <c r="J446" s="10" t="s">
        <v>88</v>
      </c>
      <c r="K446" s="10" t="s">
        <v>35</v>
      </c>
      <c r="L446" s="10" t="s">
        <v>89</v>
      </c>
      <c r="M446" s="10" t="s">
        <v>2176</v>
      </c>
      <c r="N446" s="11">
        <v>651.78</v>
      </c>
      <c r="O446" s="12">
        <v>3</v>
      </c>
      <c r="P446" s="13">
        <v>0</v>
      </c>
      <c r="Q446" s="19">
        <v>264.24</v>
      </c>
      <c r="R446" s="45" t="str">
        <f t="shared" si="24"/>
        <v>OK</v>
      </c>
      <c r="S446" s="45">
        <f t="shared" si="25"/>
        <v>583.55124999999998</v>
      </c>
      <c r="T446" s="45">
        <f t="shared" si="26"/>
        <v>8</v>
      </c>
      <c r="U446" s="45">
        <f t="shared" si="27"/>
        <v>4668.41</v>
      </c>
    </row>
    <row r="447" spans="1:21" x14ac:dyDescent="0.3">
      <c r="A447" s="16" t="s">
        <v>1249</v>
      </c>
      <c r="B447" s="31">
        <v>44858</v>
      </c>
      <c r="C447" s="31">
        <v>44861</v>
      </c>
      <c r="D447" s="2" t="s">
        <v>39</v>
      </c>
      <c r="E447" s="2" t="s">
        <v>763</v>
      </c>
      <c r="F447" s="4" t="s">
        <v>764</v>
      </c>
      <c r="G447" s="4" t="s">
        <v>21</v>
      </c>
      <c r="H447" s="4" t="s">
        <v>765</v>
      </c>
      <c r="I447" s="4" t="s">
        <v>105</v>
      </c>
      <c r="J447" s="4" t="s">
        <v>88</v>
      </c>
      <c r="K447" s="4" t="s">
        <v>25</v>
      </c>
      <c r="L447" s="4" t="s">
        <v>74</v>
      </c>
      <c r="M447" s="4" t="s">
        <v>1250</v>
      </c>
      <c r="N447" s="5">
        <v>1314.9</v>
      </c>
      <c r="O447" s="6">
        <v>7</v>
      </c>
      <c r="P447" s="7">
        <v>0.05</v>
      </c>
      <c r="Q447" s="18">
        <v>457.92</v>
      </c>
      <c r="R447" s="45" t="str">
        <f t="shared" si="24"/>
        <v>OK</v>
      </c>
      <c r="S447" s="45">
        <f t="shared" si="25"/>
        <v>583.55124999999998</v>
      </c>
      <c r="T447" s="45">
        <f t="shared" si="26"/>
        <v>8</v>
      </c>
      <c r="U447" s="45">
        <f t="shared" si="27"/>
        <v>4668.41</v>
      </c>
    </row>
    <row r="448" spans="1:21" x14ac:dyDescent="0.3">
      <c r="A448" s="16" t="s">
        <v>2128</v>
      </c>
      <c r="B448" s="31">
        <v>44861</v>
      </c>
      <c r="C448" s="31">
        <v>44866</v>
      </c>
      <c r="D448" s="2" t="s">
        <v>29</v>
      </c>
      <c r="E448" s="2" t="s">
        <v>2013</v>
      </c>
      <c r="F448" s="4" t="s">
        <v>2014</v>
      </c>
      <c r="G448" s="4" t="s">
        <v>42</v>
      </c>
      <c r="H448" s="4" t="s">
        <v>177</v>
      </c>
      <c r="I448" s="4" t="s">
        <v>178</v>
      </c>
      <c r="J448" s="4" t="s">
        <v>24</v>
      </c>
      <c r="K448" s="4" t="s">
        <v>35</v>
      </c>
      <c r="L448" s="4" t="s">
        <v>295</v>
      </c>
      <c r="M448" s="4" t="s">
        <v>2129</v>
      </c>
      <c r="N448" s="5">
        <v>99.5</v>
      </c>
      <c r="O448" s="6">
        <v>3</v>
      </c>
      <c r="P448" s="7">
        <v>0.15</v>
      </c>
      <c r="Q448" s="18">
        <v>44.5</v>
      </c>
      <c r="R448" s="45" t="str">
        <f t="shared" si="24"/>
        <v>OK</v>
      </c>
      <c r="S448" s="45">
        <f t="shared" si="25"/>
        <v>583.55124999999998</v>
      </c>
      <c r="T448" s="45">
        <f t="shared" si="26"/>
        <v>8</v>
      </c>
      <c r="U448" s="45">
        <f t="shared" si="27"/>
        <v>4668.41</v>
      </c>
    </row>
    <row r="449" spans="1:21" x14ac:dyDescent="0.3">
      <c r="A449" s="16" t="s">
        <v>1991</v>
      </c>
      <c r="B449" s="31">
        <v>44864</v>
      </c>
      <c r="C449" s="31">
        <v>44865</v>
      </c>
      <c r="D449" s="2" t="s">
        <v>18</v>
      </c>
      <c r="E449" s="2" t="s">
        <v>1025</v>
      </c>
      <c r="F449" s="4" t="s">
        <v>1026</v>
      </c>
      <c r="G449" s="4" t="s">
        <v>21</v>
      </c>
      <c r="H449" s="4" t="s">
        <v>412</v>
      </c>
      <c r="I449" s="4" t="s">
        <v>178</v>
      </c>
      <c r="J449" s="4" t="s">
        <v>24</v>
      </c>
      <c r="K449" s="4" t="s">
        <v>25</v>
      </c>
      <c r="L449" s="4" t="s">
        <v>68</v>
      </c>
      <c r="M449" s="4" t="s">
        <v>1992</v>
      </c>
      <c r="N449" s="5">
        <v>65.69</v>
      </c>
      <c r="O449" s="6">
        <v>4</v>
      </c>
      <c r="P449" s="7">
        <v>0.3</v>
      </c>
      <c r="Q449" s="18">
        <v>7.99</v>
      </c>
      <c r="R449" s="45" t="str">
        <f t="shared" si="24"/>
        <v>OK</v>
      </c>
      <c r="S449" s="45">
        <f t="shared" si="25"/>
        <v>583.55124999999998</v>
      </c>
      <c r="T449" s="45">
        <f t="shared" si="26"/>
        <v>8</v>
      </c>
      <c r="U449" s="45">
        <f t="shared" si="27"/>
        <v>4668.41</v>
      </c>
    </row>
    <row r="450" spans="1:21" x14ac:dyDescent="0.3">
      <c r="A450" s="16" t="s">
        <v>822</v>
      </c>
      <c r="B450" s="31">
        <v>44865</v>
      </c>
      <c r="C450" s="31">
        <v>44872</v>
      </c>
      <c r="D450" s="2" t="s">
        <v>29</v>
      </c>
      <c r="E450" s="2" t="s">
        <v>415</v>
      </c>
      <c r="F450" s="4" t="s">
        <v>416</v>
      </c>
      <c r="G450" s="4" t="s">
        <v>42</v>
      </c>
      <c r="H450" s="4" t="s">
        <v>417</v>
      </c>
      <c r="I450" s="4" t="s">
        <v>123</v>
      </c>
      <c r="J450" s="4" t="s">
        <v>24</v>
      </c>
      <c r="K450" s="4" t="s">
        <v>45</v>
      </c>
      <c r="L450" s="4" t="s">
        <v>61</v>
      </c>
      <c r="M450" s="4" t="s">
        <v>823</v>
      </c>
      <c r="N450" s="5">
        <v>1663.26</v>
      </c>
      <c r="O450" s="6">
        <v>4</v>
      </c>
      <c r="P450" s="7">
        <v>0.3</v>
      </c>
      <c r="Q450" s="18">
        <v>-421</v>
      </c>
      <c r="R450" s="45" t="str">
        <f t="shared" ref="R450:R513" si="28">IF(C450&lt;B450,"Error","OK")</f>
        <v>OK</v>
      </c>
      <c r="S450" s="45">
        <f t="shared" ref="S450:S513" si="29">AVERAGEIF(E450:E1448,"CU-1057",N450:N1448)</f>
        <v>583.55124999999998</v>
      </c>
      <c r="T450" s="45">
        <f t="shared" ref="T450:T513" si="30">COUNTIF(E450:E1448,"CU-1057")</f>
        <v>8</v>
      </c>
      <c r="U450" s="45">
        <f t="shared" ref="U450:U513" si="31">SUMIF(E450:E1448,"CU-1057",N450:N1448)</f>
        <v>4668.41</v>
      </c>
    </row>
    <row r="451" spans="1:21" x14ac:dyDescent="0.3">
      <c r="A451" s="16" t="s">
        <v>2355</v>
      </c>
      <c r="B451" s="31">
        <v>44866</v>
      </c>
      <c r="C451" s="31">
        <v>44870</v>
      </c>
      <c r="D451" s="2" t="s">
        <v>39</v>
      </c>
      <c r="E451" s="2" t="s">
        <v>214</v>
      </c>
      <c r="F451" s="4" t="s">
        <v>215</v>
      </c>
      <c r="G451" s="4" t="s">
        <v>21</v>
      </c>
      <c r="H451" s="4" t="s">
        <v>52</v>
      </c>
      <c r="I451" s="4" t="s">
        <v>53</v>
      </c>
      <c r="J451" s="4" t="s">
        <v>54</v>
      </c>
      <c r="K451" s="4" t="s">
        <v>45</v>
      </c>
      <c r="L451" s="4" t="s">
        <v>117</v>
      </c>
      <c r="M451" s="4" t="s">
        <v>2356</v>
      </c>
      <c r="N451" s="5">
        <v>358.57</v>
      </c>
      <c r="O451" s="6">
        <v>1</v>
      </c>
      <c r="P451" s="7">
        <v>0.2</v>
      </c>
      <c r="Q451" s="18">
        <v>34.96</v>
      </c>
      <c r="R451" s="45" t="str">
        <f t="shared" si="28"/>
        <v>OK</v>
      </c>
      <c r="S451" s="45">
        <f t="shared" si="29"/>
        <v>583.55124999999998</v>
      </c>
      <c r="T451" s="45">
        <f t="shared" si="30"/>
        <v>8</v>
      </c>
      <c r="U451" s="45">
        <f t="shared" si="31"/>
        <v>4668.41</v>
      </c>
    </row>
    <row r="452" spans="1:21" x14ac:dyDescent="0.3">
      <c r="A452" s="16" t="s">
        <v>2340</v>
      </c>
      <c r="B452" s="31">
        <v>44871</v>
      </c>
      <c r="C452" s="31">
        <v>44878</v>
      </c>
      <c r="D452" s="2" t="s">
        <v>29</v>
      </c>
      <c r="E452" s="2" t="s">
        <v>1047</v>
      </c>
      <c r="F452" s="4" t="s">
        <v>1048</v>
      </c>
      <c r="G452" s="4" t="s">
        <v>42</v>
      </c>
      <c r="H452" s="4" t="s">
        <v>79</v>
      </c>
      <c r="I452" s="4" t="s">
        <v>80</v>
      </c>
      <c r="J452" s="4" t="s">
        <v>54</v>
      </c>
      <c r="K452" s="4" t="s">
        <v>25</v>
      </c>
      <c r="L452" s="4" t="s">
        <v>74</v>
      </c>
      <c r="M452" s="4" t="s">
        <v>2341</v>
      </c>
      <c r="N452" s="5">
        <v>949.05</v>
      </c>
      <c r="O452" s="6">
        <v>5</v>
      </c>
      <c r="P452" s="7">
        <v>0.5</v>
      </c>
      <c r="Q452" s="18">
        <v>-275.76</v>
      </c>
      <c r="R452" s="45" t="str">
        <f t="shared" si="28"/>
        <v>OK</v>
      </c>
      <c r="S452" s="45">
        <f t="shared" si="29"/>
        <v>583.55124999999998</v>
      </c>
      <c r="T452" s="45">
        <f t="shared" si="30"/>
        <v>8</v>
      </c>
      <c r="U452" s="45">
        <f t="shared" si="31"/>
        <v>4668.41</v>
      </c>
    </row>
    <row r="453" spans="1:21" x14ac:dyDescent="0.3">
      <c r="A453" s="16" t="s">
        <v>126</v>
      </c>
      <c r="B453" s="31">
        <v>44875</v>
      </c>
      <c r="C453" s="31">
        <v>44878</v>
      </c>
      <c r="D453" s="2" t="s">
        <v>73</v>
      </c>
      <c r="E453" s="2" t="s">
        <v>127</v>
      </c>
      <c r="F453" s="4" t="s">
        <v>128</v>
      </c>
      <c r="G453" s="4" t="s">
        <v>21</v>
      </c>
      <c r="H453" s="4" t="s">
        <v>129</v>
      </c>
      <c r="I453" s="4" t="s">
        <v>33</v>
      </c>
      <c r="J453" s="4" t="s">
        <v>34</v>
      </c>
      <c r="K453" s="4" t="s">
        <v>25</v>
      </c>
      <c r="L453" s="4" t="s">
        <v>124</v>
      </c>
      <c r="M453" s="4" t="s">
        <v>130</v>
      </c>
      <c r="N453" s="5">
        <v>17829.560000000001</v>
      </c>
      <c r="O453" s="6">
        <v>7</v>
      </c>
      <c r="P453" s="7">
        <v>0</v>
      </c>
      <c r="Q453" s="18">
        <v>5730.97</v>
      </c>
      <c r="R453" s="45" t="str">
        <f t="shared" si="28"/>
        <v>OK</v>
      </c>
      <c r="S453" s="45">
        <f t="shared" si="29"/>
        <v>583.55124999999998</v>
      </c>
      <c r="T453" s="45">
        <f t="shared" si="30"/>
        <v>8</v>
      </c>
      <c r="U453" s="45">
        <f t="shared" si="31"/>
        <v>4668.41</v>
      </c>
    </row>
    <row r="454" spans="1:21" x14ac:dyDescent="0.3">
      <c r="A454" s="17" t="s">
        <v>1399</v>
      </c>
      <c r="B454" s="32">
        <v>44875</v>
      </c>
      <c r="C454" s="32">
        <v>44880</v>
      </c>
      <c r="D454" s="8" t="s">
        <v>29</v>
      </c>
      <c r="E454" s="8" t="s">
        <v>1047</v>
      </c>
      <c r="F454" s="10" t="s">
        <v>1048</v>
      </c>
      <c r="G454" s="10" t="s">
        <v>42</v>
      </c>
      <c r="H454" s="10" t="s">
        <v>79</v>
      </c>
      <c r="I454" s="10" t="s">
        <v>80</v>
      </c>
      <c r="J454" s="10" t="s">
        <v>54</v>
      </c>
      <c r="K454" s="10" t="s">
        <v>45</v>
      </c>
      <c r="L454" s="10" t="s">
        <v>46</v>
      </c>
      <c r="M454" s="10" t="s">
        <v>1400</v>
      </c>
      <c r="N454" s="11">
        <v>216.49</v>
      </c>
      <c r="O454" s="12">
        <v>1</v>
      </c>
      <c r="P454" s="13">
        <v>0</v>
      </c>
      <c r="Q454" s="19">
        <v>79.42</v>
      </c>
      <c r="R454" s="45" t="str">
        <f t="shared" si="28"/>
        <v>OK</v>
      </c>
      <c r="S454" s="45">
        <f t="shared" si="29"/>
        <v>583.55124999999998</v>
      </c>
      <c r="T454" s="45">
        <f t="shared" si="30"/>
        <v>8</v>
      </c>
      <c r="U454" s="45">
        <f t="shared" si="31"/>
        <v>4668.41</v>
      </c>
    </row>
    <row r="455" spans="1:21" x14ac:dyDescent="0.3">
      <c r="A455" s="16" t="s">
        <v>1416</v>
      </c>
      <c r="B455" s="31">
        <v>44875</v>
      </c>
      <c r="C455" s="31">
        <v>44878</v>
      </c>
      <c r="D455" s="2" t="s">
        <v>73</v>
      </c>
      <c r="E455" s="2" t="s">
        <v>512</v>
      </c>
      <c r="F455" s="4" t="s">
        <v>513</v>
      </c>
      <c r="G455" s="4" t="s">
        <v>21</v>
      </c>
      <c r="H455" s="4" t="s">
        <v>104</v>
      </c>
      <c r="I455" s="4" t="s">
        <v>105</v>
      </c>
      <c r="J455" s="4" t="s">
        <v>88</v>
      </c>
      <c r="K455" s="4" t="s">
        <v>35</v>
      </c>
      <c r="L455" s="4" t="s">
        <v>158</v>
      </c>
      <c r="M455" s="4" t="s">
        <v>1417</v>
      </c>
      <c r="N455" s="5">
        <v>654.5</v>
      </c>
      <c r="O455" s="6">
        <v>7</v>
      </c>
      <c r="P455" s="7">
        <v>0</v>
      </c>
      <c r="Q455" s="18">
        <v>259.62</v>
      </c>
      <c r="R455" s="45" t="str">
        <f t="shared" si="28"/>
        <v>OK</v>
      </c>
      <c r="S455" s="45">
        <f t="shared" si="29"/>
        <v>583.55124999999998</v>
      </c>
      <c r="T455" s="45">
        <f t="shared" si="30"/>
        <v>8</v>
      </c>
      <c r="U455" s="45">
        <f t="shared" si="31"/>
        <v>4668.41</v>
      </c>
    </row>
    <row r="456" spans="1:21" x14ac:dyDescent="0.3">
      <c r="A456" s="16" t="s">
        <v>2058</v>
      </c>
      <c r="B456" s="31">
        <v>44875</v>
      </c>
      <c r="C456" s="31">
        <v>44878</v>
      </c>
      <c r="D456" s="2" t="s">
        <v>39</v>
      </c>
      <c r="E456" s="2" t="s">
        <v>547</v>
      </c>
      <c r="F456" s="4" t="s">
        <v>548</v>
      </c>
      <c r="G456" s="4" t="s">
        <v>51</v>
      </c>
      <c r="H456" s="4" t="s">
        <v>156</v>
      </c>
      <c r="I456" s="4" t="s">
        <v>157</v>
      </c>
      <c r="J456" s="4" t="s">
        <v>88</v>
      </c>
      <c r="K456" s="4" t="s">
        <v>25</v>
      </c>
      <c r="L456" s="4" t="s">
        <v>74</v>
      </c>
      <c r="M456" s="4" t="s">
        <v>2059</v>
      </c>
      <c r="N456" s="5">
        <v>383.04</v>
      </c>
      <c r="O456" s="6">
        <v>4</v>
      </c>
      <c r="P456" s="7">
        <v>0.05</v>
      </c>
      <c r="Q456" s="18">
        <v>122.52</v>
      </c>
      <c r="R456" s="45" t="str">
        <f t="shared" si="28"/>
        <v>OK</v>
      </c>
      <c r="S456" s="45">
        <f t="shared" si="29"/>
        <v>583.55124999999998</v>
      </c>
      <c r="T456" s="45">
        <f t="shared" si="30"/>
        <v>8</v>
      </c>
      <c r="U456" s="45">
        <f t="shared" si="31"/>
        <v>4668.41</v>
      </c>
    </row>
    <row r="457" spans="1:21" x14ac:dyDescent="0.3">
      <c r="A457" s="17" t="s">
        <v>2247</v>
      </c>
      <c r="B457" s="32">
        <v>44875</v>
      </c>
      <c r="C457" s="32">
        <v>44878</v>
      </c>
      <c r="D457" s="8" t="s">
        <v>39</v>
      </c>
      <c r="E457" s="8" t="s">
        <v>717</v>
      </c>
      <c r="F457" s="10" t="s">
        <v>718</v>
      </c>
      <c r="G457" s="10" t="s">
        <v>51</v>
      </c>
      <c r="H457" s="10" t="s">
        <v>86</v>
      </c>
      <c r="I457" s="10" t="s">
        <v>87</v>
      </c>
      <c r="J457" s="10" t="s">
        <v>88</v>
      </c>
      <c r="K457" s="10" t="s">
        <v>45</v>
      </c>
      <c r="L457" s="10" t="s">
        <v>117</v>
      </c>
      <c r="M457" s="10" t="s">
        <v>47</v>
      </c>
      <c r="N457" s="11">
        <v>981.64</v>
      </c>
      <c r="O457" s="12">
        <v>5</v>
      </c>
      <c r="P457" s="13">
        <v>0.2</v>
      </c>
      <c r="Q457" s="19">
        <v>41.6</v>
      </c>
      <c r="R457" s="45" t="str">
        <f t="shared" si="28"/>
        <v>OK</v>
      </c>
      <c r="S457" s="45">
        <f t="shared" si="29"/>
        <v>583.55124999999998</v>
      </c>
      <c r="T457" s="45">
        <f t="shared" si="30"/>
        <v>8</v>
      </c>
      <c r="U457" s="45">
        <f t="shared" si="31"/>
        <v>4668.41</v>
      </c>
    </row>
    <row r="458" spans="1:21" x14ac:dyDescent="0.3">
      <c r="A458" s="17" t="s">
        <v>312</v>
      </c>
      <c r="B458" s="32">
        <v>44878</v>
      </c>
      <c r="C458" s="32">
        <v>44884</v>
      </c>
      <c r="D458" s="8" t="s">
        <v>29</v>
      </c>
      <c r="E458" s="8" t="s">
        <v>313</v>
      </c>
      <c r="F458" s="10" t="s">
        <v>314</v>
      </c>
      <c r="G458" s="10" t="s">
        <v>42</v>
      </c>
      <c r="H458" s="10" t="s">
        <v>193</v>
      </c>
      <c r="I458" s="10" t="s">
        <v>194</v>
      </c>
      <c r="J458" s="10" t="s">
        <v>34</v>
      </c>
      <c r="K458" s="10" t="s">
        <v>25</v>
      </c>
      <c r="L458" s="10" t="s">
        <v>68</v>
      </c>
      <c r="M458" s="10" t="s">
        <v>315</v>
      </c>
      <c r="N458" s="11">
        <v>277.55</v>
      </c>
      <c r="O458" s="12">
        <v>2</v>
      </c>
      <c r="P458" s="13">
        <v>0.2</v>
      </c>
      <c r="Q458" s="19">
        <v>47.55</v>
      </c>
      <c r="R458" s="45" t="str">
        <f t="shared" si="28"/>
        <v>OK</v>
      </c>
      <c r="S458" s="45">
        <f t="shared" si="29"/>
        <v>583.55124999999998</v>
      </c>
      <c r="T458" s="45">
        <f t="shared" si="30"/>
        <v>8</v>
      </c>
      <c r="U458" s="45">
        <f t="shared" si="31"/>
        <v>4668.41</v>
      </c>
    </row>
    <row r="459" spans="1:21" x14ac:dyDescent="0.3">
      <c r="A459" s="17" t="s">
        <v>1151</v>
      </c>
      <c r="B459" s="32">
        <v>44884</v>
      </c>
      <c r="C459" s="32">
        <v>44889</v>
      </c>
      <c r="D459" s="8" t="s">
        <v>29</v>
      </c>
      <c r="E459" s="8" t="s">
        <v>1152</v>
      </c>
      <c r="F459" s="10" t="s">
        <v>1153</v>
      </c>
      <c r="G459" s="10" t="s">
        <v>42</v>
      </c>
      <c r="H459" s="10" t="s">
        <v>1091</v>
      </c>
      <c r="I459" s="10" t="s">
        <v>23</v>
      </c>
      <c r="J459" s="10" t="s">
        <v>24</v>
      </c>
      <c r="K459" s="10" t="s">
        <v>35</v>
      </c>
      <c r="L459" s="10" t="s">
        <v>110</v>
      </c>
      <c r="M459" s="10" t="s">
        <v>1154</v>
      </c>
      <c r="N459" s="11">
        <v>110.74</v>
      </c>
      <c r="O459" s="12">
        <v>9</v>
      </c>
      <c r="P459" s="13">
        <v>0.2</v>
      </c>
      <c r="Q459" s="19">
        <v>34.1</v>
      </c>
      <c r="R459" s="45" t="str">
        <f t="shared" si="28"/>
        <v>OK</v>
      </c>
      <c r="S459" s="45">
        <f t="shared" si="29"/>
        <v>583.55124999999998</v>
      </c>
      <c r="T459" s="45">
        <f t="shared" si="30"/>
        <v>8</v>
      </c>
      <c r="U459" s="45">
        <f t="shared" si="31"/>
        <v>4668.41</v>
      </c>
    </row>
    <row r="460" spans="1:21" x14ac:dyDescent="0.3">
      <c r="A460" s="16" t="s">
        <v>1802</v>
      </c>
      <c r="B460" s="31">
        <v>44884</v>
      </c>
      <c r="C460" s="31">
        <v>44886</v>
      </c>
      <c r="D460" s="2" t="s">
        <v>18</v>
      </c>
      <c r="E460" s="2" t="s">
        <v>490</v>
      </c>
      <c r="F460" s="4" t="s">
        <v>491</v>
      </c>
      <c r="G460" s="4" t="s">
        <v>42</v>
      </c>
      <c r="H460" s="4" t="s">
        <v>492</v>
      </c>
      <c r="I460" s="4" t="s">
        <v>53</v>
      </c>
      <c r="J460" s="4" t="s">
        <v>54</v>
      </c>
      <c r="K460" s="4" t="s">
        <v>25</v>
      </c>
      <c r="L460" s="4" t="s">
        <v>124</v>
      </c>
      <c r="M460" s="4" t="s">
        <v>1803</v>
      </c>
      <c r="N460" s="5">
        <v>6186.94</v>
      </c>
      <c r="O460" s="6">
        <v>2</v>
      </c>
      <c r="P460" s="7">
        <v>0</v>
      </c>
      <c r="Q460" s="18">
        <v>1740.16</v>
      </c>
      <c r="R460" s="45" t="str">
        <f t="shared" si="28"/>
        <v>OK</v>
      </c>
      <c r="S460" s="45">
        <f t="shared" si="29"/>
        <v>583.55124999999998</v>
      </c>
      <c r="T460" s="45">
        <f t="shared" si="30"/>
        <v>8</v>
      </c>
      <c r="U460" s="45">
        <f t="shared" si="31"/>
        <v>4668.41</v>
      </c>
    </row>
    <row r="461" spans="1:21" x14ac:dyDescent="0.3">
      <c r="A461" s="17" t="s">
        <v>1985</v>
      </c>
      <c r="B461" s="32">
        <v>44884</v>
      </c>
      <c r="C461" s="32">
        <v>44891</v>
      </c>
      <c r="D461" s="8" t="s">
        <v>29</v>
      </c>
      <c r="E461" s="8" t="s">
        <v>201</v>
      </c>
      <c r="F461" s="10" t="s">
        <v>202</v>
      </c>
      <c r="G461" s="10" t="s">
        <v>21</v>
      </c>
      <c r="H461" s="10" t="s">
        <v>98</v>
      </c>
      <c r="I461" s="10" t="s">
        <v>80</v>
      </c>
      <c r="J461" s="10" t="s">
        <v>54</v>
      </c>
      <c r="K461" s="10" t="s">
        <v>35</v>
      </c>
      <c r="L461" s="10" t="s">
        <v>166</v>
      </c>
      <c r="M461" s="10" t="s">
        <v>1986</v>
      </c>
      <c r="N461" s="11">
        <v>284.60000000000002</v>
      </c>
      <c r="O461" s="12">
        <v>4</v>
      </c>
      <c r="P461" s="13">
        <v>0</v>
      </c>
      <c r="Q461" s="19">
        <v>79.89</v>
      </c>
      <c r="R461" s="45" t="str">
        <f t="shared" si="28"/>
        <v>OK</v>
      </c>
      <c r="S461" s="45">
        <f t="shared" si="29"/>
        <v>583.55124999999998</v>
      </c>
      <c r="T461" s="45">
        <f t="shared" si="30"/>
        <v>8</v>
      </c>
      <c r="U461" s="45">
        <f t="shared" si="31"/>
        <v>4668.41</v>
      </c>
    </row>
    <row r="462" spans="1:21" x14ac:dyDescent="0.3">
      <c r="A462" s="17" t="s">
        <v>2001</v>
      </c>
      <c r="B462" s="32">
        <v>44884</v>
      </c>
      <c r="C462" s="32">
        <v>44887</v>
      </c>
      <c r="D462" s="8" t="s">
        <v>39</v>
      </c>
      <c r="E462" s="8" t="s">
        <v>236</v>
      </c>
      <c r="F462" s="10" t="s">
        <v>237</v>
      </c>
      <c r="G462" s="10" t="s">
        <v>51</v>
      </c>
      <c r="H462" s="10" t="s">
        <v>22</v>
      </c>
      <c r="I462" s="10" t="s">
        <v>23</v>
      </c>
      <c r="J462" s="10" t="s">
        <v>24</v>
      </c>
      <c r="K462" s="10" t="s">
        <v>35</v>
      </c>
      <c r="L462" s="10" t="s">
        <v>89</v>
      </c>
      <c r="M462" s="10" t="s">
        <v>2002</v>
      </c>
      <c r="N462" s="11">
        <v>557.79</v>
      </c>
      <c r="O462" s="12">
        <v>6</v>
      </c>
      <c r="P462" s="13">
        <v>0.5</v>
      </c>
      <c r="Q462" s="19">
        <v>-179.13</v>
      </c>
      <c r="R462" s="45" t="str">
        <f t="shared" si="28"/>
        <v>OK</v>
      </c>
      <c r="S462" s="45">
        <f t="shared" si="29"/>
        <v>583.55124999999998</v>
      </c>
      <c r="T462" s="45">
        <f t="shared" si="30"/>
        <v>8</v>
      </c>
      <c r="U462" s="45">
        <f t="shared" si="31"/>
        <v>4668.41</v>
      </c>
    </row>
    <row r="463" spans="1:21" x14ac:dyDescent="0.3">
      <c r="A463" s="16" t="s">
        <v>2304</v>
      </c>
      <c r="B463" s="31">
        <v>44884</v>
      </c>
      <c r="C463" s="31">
        <v>44889</v>
      </c>
      <c r="D463" s="2" t="s">
        <v>29</v>
      </c>
      <c r="E463" s="2" t="s">
        <v>248</v>
      </c>
      <c r="F463" s="4" t="s">
        <v>249</v>
      </c>
      <c r="G463" s="4" t="s">
        <v>51</v>
      </c>
      <c r="H463" s="4" t="s">
        <v>250</v>
      </c>
      <c r="I463" s="4" t="s">
        <v>251</v>
      </c>
      <c r="J463" s="4" t="s">
        <v>88</v>
      </c>
      <c r="K463" s="4" t="s">
        <v>25</v>
      </c>
      <c r="L463" s="4" t="s">
        <v>124</v>
      </c>
      <c r="M463" s="4" t="s">
        <v>2305</v>
      </c>
      <c r="N463" s="5">
        <v>5959.52</v>
      </c>
      <c r="O463" s="6">
        <v>4</v>
      </c>
      <c r="P463" s="7">
        <v>0</v>
      </c>
      <c r="Q463" s="18">
        <v>1401.12</v>
      </c>
      <c r="R463" s="45" t="str">
        <f t="shared" si="28"/>
        <v>OK</v>
      </c>
      <c r="S463" s="45">
        <f t="shared" si="29"/>
        <v>583.55124999999998</v>
      </c>
      <c r="T463" s="45">
        <f t="shared" si="30"/>
        <v>8</v>
      </c>
      <c r="U463" s="45">
        <f t="shared" si="31"/>
        <v>4668.41</v>
      </c>
    </row>
    <row r="464" spans="1:21" x14ac:dyDescent="0.3">
      <c r="A464" s="16" t="s">
        <v>1409</v>
      </c>
      <c r="B464" s="31">
        <v>44887</v>
      </c>
      <c r="C464" s="31">
        <v>44890</v>
      </c>
      <c r="D464" s="2" t="s">
        <v>18</v>
      </c>
      <c r="E464" s="2" t="s">
        <v>120</v>
      </c>
      <c r="F464" s="4" t="s">
        <v>121</v>
      </c>
      <c r="G464" s="4" t="s">
        <v>21</v>
      </c>
      <c r="H464" s="4" t="s">
        <v>122</v>
      </c>
      <c r="I464" s="4" t="s">
        <v>123</v>
      </c>
      <c r="J464" s="4" t="s">
        <v>24</v>
      </c>
      <c r="K464" s="4" t="s">
        <v>35</v>
      </c>
      <c r="L464" s="4" t="s">
        <v>229</v>
      </c>
      <c r="M464" s="4" t="s">
        <v>1410</v>
      </c>
      <c r="N464" s="5">
        <v>29.43</v>
      </c>
      <c r="O464" s="6">
        <v>3</v>
      </c>
      <c r="P464" s="7">
        <v>0</v>
      </c>
      <c r="Q464" s="18">
        <v>13.46</v>
      </c>
      <c r="R464" s="45" t="str">
        <f t="shared" si="28"/>
        <v>OK</v>
      </c>
      <c r="S464" s="45">
        <f t="shared" si="29"/>
        <v>583.55124999999998</v>
      </c>
      <c r="T464" s="45">
        <f t="shared" si="30"/>
        <v>8</v>
      </c>
      <c r="U464" s="45">
        <f t="shared" si="31"/>
        <v>4668.41</v>
      </c>
    </row>
    <row r="465" spans="1:21" x14ac:dyDescent="0.3">
      <c r="A465" s="17" t="s">
        <v>2314</v>
      </c>
      <c r="B465" s="32">
        <v>44887</v>
      </c>
      <c r="C465" s="32">
        <v>44889</v>
      </c>
      <c r="D465" s="8" t="s">
        <v>18</v>
      </c>
      <c r="E465" s="8" t="s">
        <v>1284</v>
      </c>
      <c r="F465" s="10" t="s">
        <v>1285</v>
      </c>
      <c r="G465" s="10" t="s">
        <v>21</v>
      </c>
      <c r="H465" s="10" t="s">
        <v>150</v>
      </c>
      <c r="I465" s="10" t="s">
        <v>151</v>
      </c>
      <c r="J465" s="10" t="s">
        <v>34</v>
      </c>
      <c r="K465" s="10" t="s">
        <v>45</v>
      </c>
      <c r="L465" s="10" t="s">
        <v>61</v>
      </c>
      <c r="M465" s="10" t="s">
        <v>2315</v>
      </c>
      <c r="N465" s="11">
        <v>2038.36</v>
      </c>
      <c r="O465" s="12">
        <v>5</v>
      </c>
      <c r="P465" s="13">
        <v>0.3</v>
      </c>
      <c r="Q465" s="19">
        <v>-569.91999999999996</v>
      </c>
      <c r="R465" s="45" t="str">
        <f t="shared" si="28"/>
        <v>OK</v>
      </c>
      <c r="S465" s="45">
        <f t="shared" si="29"/>
        <v>583.55124999999998</v>
      </c>
      <c r="T465" s="45">
        <f t="shared" si="30"/>
        <v>8</v>
      </c>
      <c r="U465" s="45">
        <f t="shared" si="31"/>
        <v>4668.41</v>
      </c>
    </row>
    <row r="466" spans="1:21" x14ac:dyDescent="0.3">
      <c r="A466" s="16" t="s">
        <v>101</v>
      </c>
      <c r="B466" s="31">
        <v>44888</v>
      </c>
      <c r="C466" s="31">
        <v>44894</v>
      </c>
      <c r="D466" s="2" t="s">
        <v>29</v>
      </c>
      <c r="E466" s="2" t="s">
        <v>102</v>
      </c>
      <c r="F466" s="4" t="s">
        <v>103</v>
      </c>
      <c r="G466" s="4" t="s">
        <v>42</v>
      </c>
      <c r="H466" s="4" t="s">
        <v>104</v>
      </c>
      <c r="I466" s="4" t="s">
        <v>105</v>
      </c>
      <c r="J466" s="4" t="s">
        <v>88</v>
      </c>
      <c r="K466" s="4" t="s">
        <v>25</v>
      </c>
      <c r="L466" s="4" t="s">
        <v>74</v>
      </c>
      <c r="M466" s="4" t="s">
        <v>106</v>
      </c>
      <c r="N466" s="5">
        <v>774.26</v>
      </c>
      <c r="O466" s="6">
        <v>1</v>
      </c>
      <c r="P466" s="7">
        <v>0</v>
      </c>
      <c r="Q466" s="18">
        <v>314.13</v>
      </c>
      <c r="R466" s="45" t="str">
        <f t="shared" si="28"/>
        <v>OK</v>
      </c>
      <c r="S466" s="45">
        <f t="shared" si="29"/>
        <v>583.55124999999998</v>
      </c>
      <c r="T466" s="45">
        <f t="shared" si="30"/>
        <v>8</v>
      </c>
      <c r="U466" s="45">
        <f t="shared" si="31"/>
        <v>4668.41</v>
      </c>
    </row>
    <row r="467" spans="1:21" x14ac:dyDescent="0.3">
      <c r="A467" s="17" t="s">
        <v>917</v>
      </c>
      <c r="B467" s="32">
        <v>44894</v>
      </c>
      <c r="C467" s="32">
        <v>44899</v>
      </c>
      <c r="D467" s="8" t="s">
        <v>73</v>
      </c>
      <c r="E467" s="8" t="s">
        <v>688</v>
      </c>
      <c r="F467" s="10" t="s">
        <v>689</v>
      </c>
      <c r="G467" s="10" t="s">
        <v>42</v>
      </c>
      <c r="H467" s="10" t="s">
        <v>438</v>
      </c>
      <c r="I467" s="10" t="s">
        <v>157</v>
      </c>
      <c r="J467" s="10" t="s">
        <v>88</v>
      </c>
      <c r="K467" s="10" t="s">
        <v>45</v>
      </c>
      <c r="L467" s="10" t="s">
        <v>99</v>
      </c>
      <c r="M467" s="10" t="s">
        <v>918</v>
      </c>
      <c r="N467" s="11">
        <v>942.78</v>
      </c>
      <c r="O467" s="12">
        <v>10</v>
      </c>
      <c r="P467" s="13">
        <v>0.4</v>
      </c>
      <c r="Q467" s="19">
        <v>-217.34</v>
      </c>
      <c r="R467" s="45" t="str">
        <f t="shared" si="28"/>
        <v>OK</v>
      </c>
      <c r="S467" s="45">
        <f t="shared" si="29"/>
        <v>583.55124999999998</v>
      </c>
      <c r="T467" s="45">
        <f t="shared" si="30"/>
        <v>8</v>
      </c>
      <c r="U467" s="45">
        <f t="shared" si="31"/>
        <v>4668.41</v>
      </c>
    </row>
    <row r="468" spans="1:21" x14ac:dyDescent="0.3">
      <c r="A468" s="16" t="s">
        <v>1999</v>
      </c>
      <c r="B468" s="31">
        <v>44894</v>
      </c>
      <c r="C468" s="31">
        <v>44898</v>
      </c>
      <c r="D468" s="2" t="s">
        <v>73</v>
      </c>
      <c r="E468" s="2" t="s">
        <v>592</v>
      </c>
      <c r="F468" s="4" t="s">
        <v>593</v>
      </c>
      <c r="G468" s="4" t="s">
        <v>21</v>
      </c>
      <c r="H468" s="4" t="s">
        <v>207</v>
      </c>
      <c r="I468" s="4" t="s">
        <v>60</v>
      </c>
      <c r="J468" s="4" t="s">
        <v>54</v>
      </c>
      <c r="K468" s="4" t="s">
        <v>25</v>
      </c>
      <c r="L468" s="4" t="s">
        <v>74</v>
      </c>
      <c r="M468" s="4" t="s">
        <v>2000</v>
      </c>
      <c r="N468" s="5">
        <v>290.04000000000002</v>
      </c>
      <c r="O468" s="6">
        <v>10</v>
      </c>
      <c r="P468" s="7">
        <v>0.05</v>
      </c>
      <c r="Q468" s="18">
        <v>85.78</v>
      </c>
      <c r="R468" s="45" t="str">
        <f t="shared" si="28"/>
        <v>OK</v>
      </c>
      <c r="S468" s="45">
        <f t="shared" si="29"/>
        <v>583.55124999999998</v>
      </c>
      <c r="T468" s="45">
        <f t="shared" si="30"/>
        <v>8</v>
      </c>
      <c r="U468" s="45">
        <f t="shared" si="31"/>
        <v>4668.41</v>
      </c>
    </row>
    <row r="469" spans="1:21" x14ac:dyDescent="0.3">
      <c r="A469" s="17" t="s">
        <v>982</v>
      </c>
      <c r="B469" s="32">
        <v>44896</v>
      </c>
      <c r="C469" s="32">
        <v>44899</v>
      </c>
      <c r="D469" s="8" t="s">
        <v>18</v>
      </c>
      <c r="E469" s="8" t="s">
        <v>453</v>
      </c>
      <c r="F469" s="10" t="s">
        <v>454</v>
      </c>
      <c r="G469" s="10" t="s">
        <v>21</v>
      </c>
      <c r="H469" s="10" t="s">
        <v>386</v>
      </c>
      <c r="I469" s="10" t="s">
        <v>347</v>
      </c>
      <c r="J469" s="10" t="s">
        <v>88</v>
      </c>
      <c r="K469" s="10" t="s">
        <v>25</v>
      </c>
      <c r="L469" s="10" t="s">
        <v>124</v>
      </c>
      <c r="M469" s="10" t="s">
        <v>983</v>
      </c>
      <c r="N469" s="11">
        <v>13343.33</v>
      </c>
      <c r="O469" s="12">
        <v>7</v>
      </c>
      <c r="P469" s="13">
        <v>0</v>
      </c>
      <c r="Q469" s="19">
        <v>4316.97</v>
      </c>
      <c r="R469" s="45" t="str">
        <f t="shared" si="28"/>
        <v>OK</v>
      </c>
      <c r="S469" s="45">
        <f t="shared" si="29"/>
        <v>583.55124999999998</v>
      </c>
      <c r="T469" s="45">
        <f t="shared" si="30"/>
        <v>8</v>
      </c>
      <c r="U469" s="45">
        <f t="shared" si="31"/>
        <v>4668.41</v>
      </c>
    </row>
    <row r="470" spans="1:21" x14ac:dyDescent="0.3">
      <c r="A470" s="16" t="s">
        <v>1393</v>
      </c>
      <c r="B470" s="31">
        <v>44897</v>
      </c>
      <c r="C470" s="31">
        <v>44904</v>
      </c>
      <c r="D470" s="2" t="s">
        <v>29</v>
      </c>
      <c r="E470" s="2" t="s">
        <v>240</v>
      </c>
      <c r="F470" s="4" t="s">
        <v>241</v>
      </c>
      <c r="G470" s="4" t="s">
        <v>42</v>
      </c>
      <c r="H470" s="4" t="s">
        <v>115</v>
      </c>
      <c r="I470" s="4" t="s">
        <v>116</v>
      </c>
      <c r="J470" s="4" t="s">
        <v>54</v>
      </c>
      <c r="K470" s="4" t="s">
        <v>25</v>
      </c>
      <c r="L470" s="4" t="s">
        <v>26</v>
      </c>
      <c r="M470" s="4" t="s">
        <v>1394</v>
      </c>
      <c r="N470" s="5">
        <v>974.85</v>
      </c>
      <c r="O470" s="6">
        <v>2</v>
      </c>
      <c r="P470" s="7">
        <v>0.2</v>
      </c>
      <c r="Q470" s="18">
        <v>-33.86</v>
      </c>
      <c r="R470" s="45" t="str">
        <f t="shared" si="28"/>
        <v>OK</v>
      </c>
      <c r="S470" s="45">
        <f t="shared" si="29"/>
        <v>583.55124999999998</v>
      </c>
      <c r="T470" s="45">
        <f t="shared" si="30"/>
        <v>8</v>
      </c>
      <c r="U470" s="45">
        <f t="shared" si="31"/>
        <v>4668.41</v>
      </c>
    </row>
    <row r="471" spans="1:21" x14ac:dyDescent="0.3">
      <c r="A471" s="16" t="s">
        <v>1720</v>
      </c>
      <c r="B471" s="31">
        <v>44898</v>
      </c>
      <c r="C471" s="31">
        <v>44901</v>
      </c>
      <c r="D471" s="2" t="s">
        <v>73</v>
      </c>
      <c r="E471" s="2" t="s">
        <v>946</v>
      </c>
      <c r="F471" s="4" t="s">
        <v>947</v>
      </c>
      <c r="G471" s="4" t="s">
        <v>21</v>
      </c>
      <c r="H471" s="4" t="s">
        <v>156</v>
      </c>
      <c r="I471" s="4" t="s">
        <v>157</v>
      </c>
      <c r="J471" s="4" t="s">
        <v>88</v>
      </c>
      <c r="K471" s="4" t="s">
        <v>35</v>
      </c>
      <c r="L471" s="4" t="s">
        <v>89</v>
      </c>
      <c r="M471" s="4" t="s">
        <v>1721</v>
      </c>
      <c r="N471" s="5">
        <v>1436</v>
      </c>
      <c r="O471" s="6">
        <v>5</v>
      </c>
      <c r="P471" s="7">
        <v>0</v>
      </c>
      <c r="Q471" s="18">
        <v>531.87</v>
      </c>
      <c r="R471" s="45" t="str">
        <f t="shared" si="28"/>
        <v>OK</v>
      </c>
      <c r="S471" s="45">
        <f t="shared" si="29"/>
        <v>583.55124999999998</v>
      </c>
      <c r="T471" s="45">
        <f t="shared" si="30"/>
        <v>8</v>
      </c>
      <c r="U471" s="45">
        <f t="shared" si="31"/>
        <v>4668.41</v>
      </c>
    </row>
    <row r="472" spans="1:21" x14ac:dyDescent="0.3">
      <c r="A472" s="17" t="s">
        <v>1038</v>
      </c>
      <c r="B472" s="32">
        <v>44899</v>
      </c>
      <c r="C472" s="32">
        <v>44900</v>
      </c>
      <c r="D472" s="8" t="s">
        <v>18</v>
      </c>
      <c r="E472" s="8" t="s">
        <v>223</v>
      </c>
      <c r="F472" s="10" t="s">
        <v>224</v>
      </c>
      <c r="G472" s="10" t="s">
        <v>21</v>
      </c>
      <c r="H472" s="10" t="s">
        <v>59</v>
      </c>
      <c r="I472" s="10" t="s">
        <v>60</v>
      </c>
      <c r="J472" s="10" t="s">
        <v>54</v>
      </c>
      <c r="K472" s="10" t="s">
        <v>45</v>
      </c>
      <c r="L472" s="10" t="s">
        <v>46</v>
      </c>
      <c r="M472" s="10" t="s">
        <v>1039</v>
      </c>
      <c r="N472" s="11">
        <v>3360.3</v>
      </c>
      <c r="O472" s="12">
        <v>10</v>
      </c>
      <c r="P472" s="13">
        <v>0.15</v>
      </c>
      <c r="Q472" s="19">
        <v>884.4</v>
      </c>
      <c r="R472" s="45" t="str">
        <f t="shared" si="28"/>
        <v>OK</v>
      </c>
      <c r="S472" s="45">
        <f t="shared" si="29"/>
        <v>583.55124999999998</v>
      </c>
      <c r="T472" s="45">
        <f t="shared" si="30"/>
        <v>8</v>
      </c>
      <c r="U472" s="45">
        <f t="shared" si="31"/>
        <v>4668.41</v>
      </c>
    </row>
    <row r="473" spans="1:21" x14ac:dyDescent="0.3">
      <c r="A473" s="17" t="s">
        <v>1634</v>
      </c>
      <c r="B473" s="32">
        <v>44899</v>
      </c>
      <c r="C473" s="32">
        <v>44902</v>
      </c>
      <c r="D473" s="8" t="s">
        <v>39</v>
      </c>
      <c r="E473" s="8" t="s">
        <v>692</v>
      </c>
      <c r="F473" s="10" t="s">
        <v>693</v>
      </c>
      <c r="G473" s="10" t="s">
        <v>21</v>
      </c>
      <c r="H473" s="10" t="s">
        <v>694</v>
      </c>
      <c r="I473" s="10" t="s">
        <v>67</v>
      </c>
      <c r="J473" s="10" t="s">
        <v>34</v>
      </c>
      <c r="K473" s="10" t="s">
        <v>35</v>
      </c>
      <c r="L473" s="10" t="s">
        <v>295</v>
      </c>
      <c r="M473" s="10" t="s">
        <v>1635</v>
      </c>
      <c r="N473" s="11">
        <v>282.45999999999998</v>
      </c>
      <c r="O473" s="12">
        <v>4</v>
      </c>
      <c r="P473" s="13">
        <v>0.1</v>
      </c>
      <c r="Q473" s="19">
        <v>130.66999999999999</v>
      </c>
      <c r="R473" s="45" t="str">
        <f t="shared" si="28"/>
        <v>OK</v>
      </c>
      <c r="S473" s="45">
        <f t="shared" si="29"/>
        <v>583.55124999999998</v>
      </c>
      <c r="T473" s="45">
        <f t="shared" si="30"/>
        <v>8</v>
      </c>
      <c r="U473" s="45">
        <f t="shared" si="31"/>
        <v>4668.41</v>
      </c>
    </row>
    <row r="474" spans="1:21" x14ac:dyDescent="0.3">
      <c r="A474" s="17" t="s">
        <v>2046</v>
      </c>
      <c r="B474" s="32">
        <v>44901</v>
      </c>
      <c r="C474" s="32">
        <v>44908</v>
      </c>
      <c r="D474" s="8" t="s">
        <v>29</v>
      </c>
      <c r="E474" s="8" t="s">
        <v>132</v>
      </c>
      <c r="F474" s="10" t="s">
        <v>133</v>
      </c>
      <c r="G474" s="10" t="s">
        <v>21</v>
      </c>
      <c r="H474" s="10" t="s">
        <v>134</v>
      </c>
      <c r="I474" s="10" t="s">
        <v>87</v>
      </c>
      <c r="J474" s="10" t="s">
        <v>88</v>
      </c>
      <c r="K474" s="10" t="s">
        <v>25</v>
      </c>
      <c r="L474" s="10" t="s">
        <v>74</v>
      </c>
      <c r="M474" s="10" t="s">
        <v>2047</v>
      </c>
      <c r="N474" s="11">
        <v>262.38</v>
      </c>
      <c r="O474" s="12">
        <v>2</v>
      </c>
      <c r="P474" s="13">
        <v>0</v>
      </c>
      <c r="Q474" s="19">
        <v>115.4</v>
      </c>
      <c r="R474" s="45" t="str">
        <f t="shared" si="28"/>
        <v>OK</v>
      </c>
      <c r="S474" s="45">
        <f t="shared" si="29"/>
        <v>583.55124999999998</v>
      </c>
      <c r="T474" s="45">
        <f t="shared" si="30"/>
        <v>8</v>
      </c>
      <c r="U474" s="45">
        <f t="shared" si="31"/>
        <v>4668.41</v>
      </c>
    </row>
    <row r="475" spans="1:21" x14ac:dyDescent="0.3">
      <c r="A475" s="16" t="s">
        <v>1143</v>
      </c>
      <c r="B475" s="31">
        <v>44902</v>
      </c>
      <c r="C475" s="31">
        <v>44904</v>
      </c>
      <c r="D475" s="2" t="s">
        <v>39</v>
      </c>
      <c r="E475" s="2" t="s">
        <v>899</v>
      </c>
      <c r="F475" s="4" t="s">
        <v>900</v>
      </c>
      <c r="G475" s="4" t="s">
        <v>51</v>
      </c>
      <c r="H475" s="4" t="s">
        <v>319</v>
      </c>
      <c r="I475" s="4" t="s">
        <v>194</v>
      </c>
      <c r="J475" s="4" t="s">
        <v>34</v>
      </c>
      <c r="K475" s="4" t="s">
        <v>35</v>
      </c>
      <c r="L475" s="4" t="s">
        <v>166</v>
      </c>
      <c r="M475" s="4" t="s">
        <v>1144</v>
      </c>
      <c r="N475" s="5">
        <v>25.57</v>
      </c>
      <c r="O475" s="6">
        <v>1</v>
      </c>
      <c r="P475" s="7">
        <v>0.05</v>
      </c>
      <c r="Q475" s="18">
        <v>7.91</v>
      </c>
      <c r="R475" s="45" t="str">
        <f t="shared" si="28"/>
        <v>OK</v>
      </c>
      <c r="S475" s="45">
        <f t="shared" si="29"/>
        <v>583.55124999999998</v>
      </c>
      <c r="T475" s="45">
        <f t="shared" si="30"/>
        <v>8</v>
      </c>
      <c r="U475" s="45">
        <f t="shared" si="31"/>
        <v>4668.41</v>
      </c>
    </row>
    <row r="476" spans="1:21" x14ac:dyDescent="0.3">
      <c r="A476" s="16" t="s">
        <v>788</v>
      </c>
      <c r="B476" s="31">
        <v>44903</v>
      </c>
      <c r="C476" s="31">
        <v>44910</v>
      </c>
      <c r="D476" s="2" t="s">
        <v>29</v>
      </c>
      <c r="E476" s="2" t="s">
        <v>789</v>
      </c>
      <c r="F476" s="4" t="s">
        <v>790</v>
      </c>
      <c r="G476" s="4" t="s">
        <v>51</v>
      </c>
      <c r="H476" s="4" t="s">
        <v>530</v>
      </c>
      <c r="I476" s="4" t="s">
        <v>373</v>
      </c>
      <c r="J476" s="4" t="s">
        <v>34</v>
      </c>
      <c r="K476" s="4" t="s">
        <v>35</v>
      </c>
      <c r="L476" s="4" t="s">
        <v>295</v>
      </c>
      <c r="M476" s="4" t="s">
        <v>791</v>
      </c>
      <c r="N476" s="5">
        <v>182.8</v>
      </c>
      <c r="O476" s="6">
        <v>8</v>
      </c>
      <c r="P476" s="7">
        <v>0</v>
      </c>
      <c r="Q476" s="18">
        <v>99.86</v>
      </c>
      <c r="R476" s="45" t="str">
        <f t="shared" si="28"/>
        <v>OK</v>
      </c>
      <c r="S476" s="45">
        <f t="shared" si="29"/>
        <v>583.55124999999998</v>
      </c>
      <c r="T476" s="45">
        <f t="shared" si="30"/>
        <v>8</v>
      </c>
      <c r="U476" s="45">
        <f t="shared" si="31"/>
        <v>4668.41</v>
      </c>
    </row>
    <row r="477" spans="1:21" x14ac:dyDescent="0.3">
      <c r="A477" s="17" t="s">
        <v>1426</v>
      </c>
      <c r="B477" s="32">
        <v>44903</v>
      </c>
      <c r="C477" s="32">
        <v>44906</v>
      </c>
      <c r="D477" s="8" t="s">
        <v>39</v>
      </c>
      <c r="E477" s="8" t="s">
        <v>809</v>
      </c>
      <c r="F477" s="10" t="s">
        <v>810</v>
      </c>
      <c r="G477" s="10" t="s">
        <v>42</v>
      </c>
      <c r="H477" s="10" t="s">
        <v>352</v>
      </c>
      <c r="I477" s="10" t="s">
        <v>306</v>
      </c>
      <c r="J477" s="10" t="s">
        <v>34</v>
      </c>
      <c r="K477" s="10" t="s">
        <v>25</v>
      </c>
      <c r="L477" s="10" t="s">
        <v>68</v>
      </c>
      <c r="M477" s="10" t="s">
        <v>1427</v>
      </c>
      <c r="N477" s="11">
        <v>745.87</v>
      </c>
      <c r="O477" s="12">
        <v>6</v>
      </c>
      <c r="P477" s="13">
        <v>0.2</v>
      </c>
      <c r="Q477" s="19">
        <v>246.53</v>
      </c>
      <c r="R477" s="45" t="str">
        <f t="shared" si="28"/>
        <v>OK</v>
      </c>
      <c r="S477" s="45">
        <f t="shared" si="29"/>
        <v>583.55124999999998</v>
      </c>
      <c r="T477" s="45">
        <f t="shared" si="30"/>
        <v>8</v>
      </c>
      <c r="U477" s="45">
        <f t="shared" si="31"/>
        <v>4668.41</v>
      </c>
    </row>
    <row r="478" spans="1:21" x14ac:dyDescent="0.3">
      <c r="A478" s="17" t="s">
        <v>1214</v>
      </c>
      <c r="B478" s="32">
        <v>44909</v>
      </c>
      <c r="C478" s="32">
        <v>44912</v>
      </c>
      <c r="D478" s="8" t="s">
        <v>73</v>
      </c>
      <c r="E478" s="8" t="s">
        <v>181</v>
      </c>
      <c r="F478" s="10" t="s">
        <v>182</v>
      </c>
      <c r="G478" s="10" t="s">
        <v>21</v>
      </c>
      <c r="H478" s="10" t="s">
        <v>183</v>
      </c>
      <c r="I478" s="10" t="s">
        <v>184</v>
      </c>
      <c r="J478" s="10" t="s">
        <v>54</v>
      </c>
      <c r="K478" s="10" t="s">
        <v>45</v>
      </c>
      <c r="L478" s="10" t="s">
        <v>61</v>
      </c>
      <c r="M478" s="10" t="s">
        <v>1215</v>
      </c>
      <c r="N478" s="11">
        <v>985.74</v>
      </c>
      <c r="O478" s="12">
        <v>3</v>
      </c>
      <c r="P478" s="13">
        <v>0.5</v>
      </c>
      <c r="Q478" s="19">
        <v>-749.97</v>
      </c>
      <c r="R478" s="45" t="str">
        <f t="shared" si="28"/>
        <v>OK</v>
      </c>
      <c r="S478" s="45">
        <f t="shared" si="29"/>
        <v>583.55124999999998</v>
      </c>
      <c r="T478" s="45">
        <f t="shared" si="30"/>
        <v>8</v>
      </c>
      <c r="U478" s="45">
        <f t="shared" si="31"/>
        <v>4668.41</v>
      </c>
    </row>
    <row r="479" spans="1:21" x14ac:dyDescent="0.3">
      <c r="A479" s="17" t="s">
        <v>2215</v>
      </c>
      <c r="B479" s="32">
        <v>44909</v>
      </c>
      <c r="C479" s="32">
        <v>44916</v>
      </c>
      <c r="D479" s="8" t="s">
        <v>29</v>
      </c>
      <c r="E479" s="8" t="s">
        <v>890</v>
      </c>
      <c r="F479" s="10" t="s">
        <v>891</v>
      </c>
      <c r="G479" s="10" t="s">
        <v>42</v>
      </c>
      <c r="H479" s="10" t="s">
        <v>22</v>
      </c>
      <c r="I479" s="10" t="s">
        <v>23</v>
      </c>
      <c r="J479" s="10" t="s">
        <v>24</v>
      </c>
      <c r="K479" s="10" t="s">
        <v>35</v>
      </c>
      <c r="L479" s="10" t="s">
        <v>166</v>
      </c>
      <c r="M479" s="10" t="s">
        <v>2216</v>
      </c>
      <c r="N479" s="11">
        <v>55.05</v>
      </c>
      <c r="O479" s="12">
        <v>5</v>
      </c>
      <c r="P479" s="13">
        <v>0</v>
      </c>
      <c r="Q479" s="19">
        <v>16.149999999999999</v>
      </c>
      <c r="R479" s="45" t="str">
        <f t="shared" si="28"/>
        <v>OK</v>
      </c>
      <c r="S479" s="45">
        <f t="shared" si="29"/>
        <v>583.55124999999998</v>
      </c>
      <c r="T479" s="45">
        <f t="shared" si="30"/>
        <v>8</v>
      </c>
      <c r="U479" s="45">
        <f t="shared" si="31"/>
        <v>4668.41</v>
      </c>
    </row>
    <row r="480" spans="1:21" x14ac:dyDescent="0.3">
      <c r="A480" s="17" t="s">
        <v>2346</v>
      </c>
      <c r="B480" s="32">
        <v>44910</v>
      </c>
      <c r="C480" s="32">
        <v>44916</v>
      </c>
      <c r="D480" s="8" t="s">
        <v>29</v>
      </c>
      <c r="E480" s="8" t="s">
        <v>697</v>
      </c>
      <c r="F480" s="10" t="s">
        <v>698</v>
      </c>
      <c r="G480" s="10" t="s">
        <v>21</v>
      </c>
      <c r="H480" s="10" t="s">
        <v>319</v>
      </c>
      <c r="I480" s="10" t="s">
        <v>194</v>
      </c>
      <c r="J480" s="10" t="s">
        <v>34</v>
      </c>
      <c r="K480" s="10" t="s">
        <v>45</v>
      </c>
      <c r="L480" s="10" t="s">
        <v>61</v>
      </c>
      <c r="M480" s="10" t="s">
        <v>2347</v>
      </c>
      <c r="N480" s="11">
        <v>550.45000000000005</v>
      </c>
      <c r="O480" s="12">
        <v>5</v>
      </c>
      <c r="P480" s="13">
        <v>0.5</v>
      </c>
      <c r="Q480" s="19">
        <v>-496.3</v>
      </c>
      <c r="R480" s="45" t="str">
        <f t="shared" si="28"/>
        <v>OK</v>
      </c>
      <c r="S480" s="45">
        <f t="shared" si="29"/>
        <v>583.55124999999998</v>
      </c>
      <c r="T480" s="45">
        <f t="shared" si="30"/>
        <v>8</v>
      </c>
      <c r="U480" s="45">
        <f t="shared" si="31"/>
        <v>4668.41</v>
      </c>
    </row>
    <row r="481" spans="1:21" x14ac:dyDescent="0.3">
      <c r="A481" s="16" t="s">
        <v>937</v>
      </c>
      <c r="B481" s="31">
        <v>44912</v>
      </c>
      <c r="C481" s="31">
        <v>44916</v>
      </c>
      <c r="D481" s="2" t="s">
        <v>39</v>
      </c>
      <c r="E481" s="2" t="s">
        <v>214</v>
      </c>
      <c r="F481" s="4" t="s">
        <v>215</v>
      </c>
      <c r="G481" s="4" t="s">
        <v>21</v>
      </c>
      <c r="H481" s="4" t="s">
        <v>52</v>
      </c>
      <c r="I481" s="4" t="s">
        <v>53</v>
      </c>
      <c r="J481" s="4" t="s">
        <v>54</v>
      </c>
      <c r="K481" s="4" t="s">
        <v>35</v>
      </c>
      <c r="L481" s="4" t="s">
        <v>158</v>
      </c>
      <c r="M481" s="4" t="s">
        <v>938</v>
      </c>
      <c r="N481" s="5">
        <v>15.96</v>
      </c>
      <c r="O481" s="6">
        <v>2</v>
      </c>
      <c r="P481" s="7">
        <v>0.4</v>
      </c>
      <c r="Q481" s="18">
        <v>-0.56999999999999995</v>
      </c>
      <c r="R481" s="45" t="str">
        <f t="shared" si="28"/>
        <v>OK</v>
      </c>
      <c r="S481" s="45">
        <f t="shared" si="29"/>
        <v>583.55124999999998</v>
      </c>
      <c r="T481" s="45">
        <f t="shared" si="30"/>
        <v>8</v>
      </c>
      <c r="U481" s="45">
        <f t="shared" si="31"/>
        <v>4668.41</v>
      </c>
    </row>
    <row r="482" spans="1:21" x14ac:dyDescent="0.3">
      <c r="A482" s="17" t="s">
        <v>1733</v>
      </c>
      <c r="B482" s="32">
        <v>44914</v>
      </c>
      <c r="C482" s="32">
        <v>44918</v>
      </c>
      <c r="D482" s="8" t="s">
        <v>39</v>
      </c>
      <c r="E482" s="8" t="s">
        <v>415</v>
      </c>
      <c r="F482" s="10" t="s">
        <v>416</v>
      </c>
      <c r="G482" s="10" t="s">
        <v>42</v>
      </c>
      <c r="H482" s="10" t="s">
        <v>417</v>
      </c>
      <c r="I482" s="10" t="s">
        <v>123</v>
      </c>
      <c r="J482" s="10" t="s">
        <v>24</v>
      </c>
      <c r="K482" s="10" t="s">
        <v>45</v>
      </c>
      <c r="L482" s="10" t="s">
        <v>61</v>
      </c>
      <c r="M482" s="10" t="s">
        <v>1734</v>
      </c>
      <c r="N482" s="11">
        <v>381.8</v>
      </c>
      <c r="O482" s="12">
        <v>1</v>
      </c>
      <c r="P482" s="13">
        <v>0</v>
      </c>
      <c r="Q482" s="19">
        <v>53.36</v>
      </c>
      <c r="R482" s="45" t="str">
        <f t="shared" si="28"/>
        <v>OK</v>
      </c>
      <c r="S482" s="45">
        <f t="shared" si="29"/>
        <v>583.55124999999998</v>
      </c>
      <c r="T482" s="45">
        <f t="shared" si="30"/>
        <v>8</v>
      </c>
      <c r="U482" s="45">
        <f t="shared" si="31"/>
        <v>4668.41</v>
      </c>
    </row>
    <row r="483" spans="1:21" x14ac:dyDescent="0.3">
      <c r="A483" s="16" t="s">
        <v>2378</v>
      </c>
      <c r="B483" s="31">
        <v>44915</v>
      </c>
      <c r="C483" s="31">
        <v>44917</v>
      </c>
      <c r="D483" s="2" t="s">
        <v>18</v>
      </c>
      <c r="E483" s="2" t="s">
        <v>175</v>
      </c>
      <c r="F483" s="4" t="s">
        <v>176</v>
      </c>
      <c r="G483" s="4" t="s">
        <v>51</v>
      </c>
      <c r="H483" s="4" t="s">
        <v>177</v>
      </c>
      <c r="I483" s="4" t="s">
        <v>178</v>
      </c>
      <c r="J483" s="4" t="s">
        <v>24</v>
      </c>
      <c r="K483" s="4" t="s">
        <v>35</v>
      </c>
      <c r="L483" s="4" t="s">
        <v>166</v>
      </c>
      <c r="M483" s="4" t="s">
        <v>2379</v>
      </c>
      <c r="N483" s="5">
        <v>136.69999999999999</v>
      </c>
      <c r="O483" s="6">
        <v>4</v>
      </c>
      <c r="P483" s="7">
        <v>0.3</v>
      </c>
      <c r="Q483" s="18">
        <v>-14.07</v>
      </c>
      <c r="R483" s="45" t="str">
        <f t="shared" si="28"/>
        <v>OK</v>
      </c>
      <c r="S483" s="45">
        <f t="shared" si="29"/>
        <v>583.55124999999998</v>
      </c>
      <c r="T483" s="45">
        <f t="shared" si="30"/>
        <v>8</v>
      </c>
      <c r="U483" s="45">
        <f t="shared" si="31"/>
        <v>4668.41</v>
      </c>
    </row>
    <row r="484" spans="1:21" x14ac:dyDescent="0.3">
      <c r="A484" s="16" t="s">
        <v>1319</v>
      </c>
      <c r="B484" s="31">
        <v>44917</v>
      </c>
      <c r="C484" s="31">
        <v>44924</v>
      </c>
      <c r="D484" s="2" t="s">
        <v>29</v>
      </c>
      <c r="E484" s="2" t="s">
        <v>1152</v>
      </c>
      <c r="F484" s="4" t="s">
        <v>1153</v>
      </c>
      <c r="G484" s="4" t="s">
        <v>42</v>
      </c>
      <c r="H484" s="4" t="s">
        <v>1091</v>
      </c>
      <c r="I484" s="4" t="s">
        <v>23</v>
      </c>
      <c r="J484" s="4" t="s">
        <v>24</v>
      </c>
      <c r="K484" s="4" t="s">
        <v>35</v>
      </c>
      <c r="L484" s="4" t="s">
        <v>295</v>
      </c>
      <c r="M484" s="4" t="s">
        <v>1320</v>
      </c>
      <c r="N484" s="5">
        <v>63.1</v>
      </c>
      <c r="O484" s="6">
        <v>1</v>
      </c>
      <c r="P484" s="7">
        <v>0.1</v>
      </c>
      <c r="Q484" s="18">
        <v>26.92</v>
      </c>
      <c r="R484" s="45" t="str">
        <f t="shared" si="28"/>
        <v>OK</v>
      </c>
      <c r="S484" s="45">
        <f t="shared" si="29"/>
        <v>647.38714285714286</v>
      </c>
      <c r="T484" s="45">
        <f t="shared" si="30"/>
        <v>7</v>
      </c>
      <c r="U484" s="45">
        <f t="shared" si="31"/>
        <v>4531.71</v>
      </c>
    </row>
    <row r="485" spans="1:21" x14ac:dyDescent="0.3">
      <c r="A485" s="16" t="s">
        <v>2344</v>
      </c>
      <c r="B485" s="31">
        <v>44919</v>
      </c>
      <c r="C485" s="31">
        <v>44924</v>
      </c>
      <c r="D485" s="2" t="s">
        <v>73</v>
      </c>
      <c r="E485" s="2" t="s">
        <v>113</v>
      </c>
      <c r="F485" s="4" t="s">
        <v>114</v>
      </c>
      <c r="G485" s="4" t="s">
        <v>21</v>
      </c>
      <c r="H485" s="4" t="s">
        <v>115</v>
      </c>
      <c r="I485" s="4" t="s">
        <v>116</v>
      </c>
      <c r="J485" s="4" t="s">
        <v>54</v>
      </c>
      <c r="K485" s="4" t="s">
        <v>35</v>
      </c>
      <c r="L485" s="4" t="s">
        <v>89</v>
      </c>
      <c r="M485" s="4" t="s">
        <v>2345</v>
      </c>
      <c r="N485" s="5">
        <v>357.12</v>
      </c>
      <c r="O485" s="6">
        <v>5</v>
      </c>
      <c r="P485" s="7">
        <v>0.1</v>
      </c>
      <c r="Q485" s="18">
        <v>85.78</v>
      </c>
      <c r="R485" s="45" t="str">
        <f t="shared" si="28"/>
        <v>OK</v>
      </c>
      <c r="S485" s="45">
        <f t="shared" si="29"/>
        <v>647.38714285714286</v>
      </c>
      <c r="T485" s="45">
        <f t="shared" si="30"/>
        <v>7</v>
      </c>
      <c r="U485" s="45">
        <f t="shared" si="31"/>
        <v>4531.71</v>
      </c>
    </row>
    <row r="486" spans="1:21" x14ac:dyDescent="0.3">
      <c r="A486" s="17" t="s">
        <v>1125</v>
      </c>
      <c r="B486" s="32">
        <v>44921</v>
      </c>
      <c r="C486" s="32">
        <v>44922</v>
      </c>
      <c r="D486" s="8" t="s">
        <v>18</v>
      </c>
      <c r="E486" s="8" t="s">
        <v>441</v>
      </c>
      <c r="F486" s="10" t="s">
        <v>442</v>
      </c>
      <c r="G486" s="10" t="s">
        <v>21</v>
      </c>
      <c r="H486" s="10" t="s">
        <v>98</v>
      </c>
      <c r="I486" s="10" t="s">
        <v>80</v>
      </c>
      <c r="J486" s="10" t="s">
        <v>54</v>
      </c>
      <c r="K486" s="10" t="s">
        <v>25</v>
      </c>
      <c r="L486" s="10" t="s">
        <v>26</v>
      </c>
      <c r="M486" s="10" t="s">
        <v>1126</v>
      </c>
      <c r="N486" s="11">
        <v>1966.1</v>
      </c>
      <c r="O486" s="12">
        <v>8</v>
      </c>
      <c r="P486" s="13">
        <v>0.3</v>
      </c>
      <c r="Q486" s="19">
        <v>-128.91</v>
      </c>
      <c r="R486" s="45" t="str">
        <f t="shared" si="28"/>
        <v>OK</v>
      </c>
      <c r="S486" s="45">
        <f t="shared" si="29"/>
        <v>647.38714285714286</v>
      </c>
      <c r="T486" s="45">
        <f t="shared" si="30"/>
        <v>7</v>
      </c>
      <c r="U486" s="45">
        <f t="shared" si="31"/>
        <v>4531.71</v>
      </c>
    </row>
    <row r="487" spans="1:21" x14ac:dyDescent="0.3">
      <c r="A487" s="16" t="s">
        <v>1147</v>
      </c>
      <c r="B487" s="31">
        <v>44922</v>
      </c>
      <c r="C487" s="31">
        <v>44926</v>
      </c>
      <c r="D487" s="2" t="s">
        <v>39</v>
      </c>
      <c r="E487" s="2" t="s">
        <v>1148</v>
      </c>
      <c r="F487" s="4" t="s">
        <v>1149</v>
      </c>
      <c r="G487" s="4" t="s">
        <v>51</v>
      </c>
      <c r="H487" s="4" t="s">
        <v>150</v>
      </c>
      <c r="I487" s="4" t="s">
        <v>151</v>
      </c>
      <c r="J487" s="4" t="s">
        <v>34</v>
      </c>
      <c r="K487" s="4" t="s">
        <v>35</v>
      </c>
      <c r="L487" s="4" t="s">
        <v>110</v>
      </c>
      <c r="M487" s="4" t="s">
        <v>1150</v>
      </c>
      <c r="N487" s="5">
        <v>184.08</v>
      </c>
      <c r="O487" s="6">
        <v>8</v>
      </c>
      <c r="P487" s="7">
        <v>0.4</v>
      </c>
      <c r="Q487" s="18">
        <v>23.08</v>
      </c>
      <c r="R487" s="45" t="str">
        <f t="shared" si="28"/>
        <v>OK</v>
      </c>
      <c r="S487" s="45">
        <f t="shared" si="29"/>
        <v>647.38714285714286</v>
      </c>
      <c r="T487" s="45">
        <f t="shared" si="30"/>
        <v>7</v>
      </c>
      <c r="U487" s="45">
        <f t="shared" si="31"/>
        <v>4531.71</v>
      </c>
    </row>
    <row r="488" spans="1:21" x14ac:dyDescent="0.3">
      <c r="A488" s="17" t="s">
        <v>239</v>
      </c>
      <c r="B488" s="32">
        <v>44923</v>
      </c>
      <c r="C488" s="32">
        <v>44927</v>
      </c>
      <c r="D488" s="8" t="s">
        <v>73</v>
      </c>
      <c r="E488" s="8" t="s">
        <v>240</v>
      </c>
      <c r="F488" s="10" t="s">
        <v>241</v>
      </c>
      <c r="G488" s="10" t="s">
        <v>42</v>
      </c>
      <c r="H488" s="10" t="s">
        <v>115</v>
      </c>
      <c r="I488" s="10" t="s">
        <v>116</v>
      </c>
      <c r="J488" s="10" t="s">
        <v>54</v>
      </c>
      <c r="K488" s="10" t="s">
        <v>25</v>
      </c>
      <c r="L488" s="10" t="s">
        <v>26</v>
      </c>
      <c r="M488" s="10" t="s">
        <v>242</v>
      </c>
      <c r="N488" s="11">
        <v>1491.35</v>
      </c>
      <c r="O488" s="12">
        <v>10</v>
      </c>
      <c r="P488" s="13">
        <v>0.3</v>
      </c>
      <c r="Q488" s="19">
        <v>-57.14</v>
      </c>
      <c r="R488" s="45" t="str">
        <f t="shared" si="28"/>
        <v>OK</v>
      </c>
      <c r="S488" s="45">
        <f t="shared" si="29"/>
        <v>647.38714285714286</v>
      </c>
      <c r="T488" s="45">
        <f t="shared" si="30"/>
        <v>7</v>
      </c>
      <c r="U488" s="45">
        <f t="shared" si="31"/>
        <v>4531.71</v>
      </c>
    </row>
    <row r="489" spans="1:21" x14ac:dyDescent="0.3">
      <c r="A489" s="17" t="s">
        <v>1113</v>
      </c>
      <c r="B489" s="32">
        <v>44923</v>
      </c>
      <c r="C489" s="32">
        <v>44925</v>
      </c>
      <c r="D489" s="8" t="s">
        <v>39</v>
      </c>
      <c r="E489" s="8" t="s">
        <v>817</v>
      </c>
      <c r="F489" s="10" t="s">
        <v>818</v>
      </c>
      <c r="G489" s="10" t="s">
        <v>42</v>
      </c>
      <c r="H489" s="10" t="s">
        <v>98</v>
      </c>
      <c r="I489" s="10" t="s">
        <v>80</v>
      </c>
      <c r="J489" s="10" t="s">
        <v>54</v>
      </c>
      <c r="K489" s="10" t="s">
        <v>45</v>
      </c>
      <c r="L489" s="10" t="s">
        <v>99</v>
      </c>
      <c r="M489" s="10" t="s">
        <v>1114</v>
      </c>
      <c r="N489" s="11">
        <v>132.47</v>
      </c>
      <c r="O489" s="12">
        <v>1</v>
      </c>
      <c r="P489" s="13">
        <v>0.3</v>
      </c>
      <c r="Q489" s="19">
        <v>-5.61</v>
      </c>
      <c r="R489" s="45" t="str">
        <f t="shared" si="28"/>
        <v>OK</v>
      </c>
      <c r="S489" s="45">
        <f t="shared" si="29"/>
        <v>647.38714285714286</v>
      </c>
      <c r="T489" s="45">
        <f t="shared" si="30"/>
        <v>7</v>
      </c>
      <c r="U489" s="45">
        <f t="shared" si="31"/>
        <v>4531.71</v>
      </c>
    </row>
    <row r="490" spans="1:21" x14ac:dyDescent="0.3">
      <c r="A490" s="17" t="s">
        <v>403</v>
      </c>
      <c r="B490" s="32">
        <v>44927</v>
      </c>
      <c r="C490" s="32">
        <v>44929</v>
      </c>
      <c r="D490" s="8" t="s">
        <v>39</v>
      </c>
      <c r="E490" s="8" t="s">
        <v>92</v>
      </c>
      <c r="F490" s="10" t="s">
        <v>93</v>
      </c>
      <c r="G490" s="10" t="s">
        <v>42</v>
      </c>
      <c r="H490" s="10" t="s">
        <v>43</v>
      </c>
      <c r="I490" s="10" t="s">
        <v>44</v>
      </c>
      <c r="J490" s="10" t="s">
        <v>24</v>
      </c>
      <c r="K490" s="10" t="s">
        <v>45</v>
      </c>
      <c r="L490" s="10" t="s">
        <v>61</v>
      </c>
      <c r="M490" s="10" t="s">
        <v>404</v>
      </c>
      <c r="N490" s="11">
        <v>1617.17</v>
      </c>
      <c r="O490" s="12">
        <v>2</v>
      </c>
      <c r="P490" s="13">
        <v>0.05</v>
      </c>
      <c r="Q490" s="19">
        <v>163.07</v>
      </c>
      <c r="R490" s="45" t="str">
        <f t="shared" si="28"/>
        <v>OK</v>
      </c>
      <c r="S490" s="45">
        <f t="shared" si="29"/>
        <v>647.38714285714286</v>
      </c>
      <c r="T490" s="45">
        <f t="shared" si="30"/>
        <v>7</v>
      </c>
      <c r="U490" s="45">
        <f t="shared" si="31"/>
        <v>4531.71</v>
      </c>
    </row>
    <row r="491" spans="1:21" x14ac:dyDescent="0.3">
      <c r="A491" s="17" t="s">
        <v>1275</v>
      </c>
      <c r="B491" s="32">
        <v>44930</v>
      </c>
      <c r="C491" s="32">
        <v>44933</v>
      </c>
      <c r="D491" s="8" t="s">
        <v>73</v>
      </c>
      <c r="E491" s="8" t="s">
        <v>120</v>
      </c>
      <c r="F491" s="10" t="s">
        <v>121</v>
      </c>
      <c r="G491" s="10" t="s">
        <v>21</v>
      </c>
      <c r="H491" s="10" t="s">
        <v>122</v>
      </c>
      <c r="I491" s="10" t="s">
        <v>123</v>
      </c>
      <c r="J491" s="10" t="s">
        <v>24</v>
      </c>
      <c r="K491" s="10" t="s">
        <v>25</v>
      </c>
      <c r="L491" s="10" t="s">
        <v>74</v>
      </c>
      <c r="M491" s="10" t="s">
        <v>1276</v>
      </c>
      <c r="N491" s="11">
        <v>103.89</v>
      </c>
      <c r="O491" s="12">
        <v>3</v>
      </c>
      <c r="P491" s="13">
        <v>0.3</v>
      </c>
      <c r="Q491" s="19">
        <v>8.68</v>
      </c>
      <c r="R491" s="45" t="str">
        <f t="shared" si="28"/>
        <v>OK</v>
      </c>
      <c r="S491" s="45">
        <f t="shared" si="29"/>
        <v>647.38714285714286</v>
      </c>
      <c r="T491" s="45">
        <f t="shared" si="30"/>
        <v>7</v>
      </c>
      <c r="U491" s="45">
        <f t="shared" si="31"/>
        <v>4531.71</v>
      </c>
    </row>
    <row r="492" spans="1:21" x14ac:dyDescent="0.3">
      <c r="A492" s="16" t="s">
        <v>847</v>
      </c>
      <c r="B492" s="31">
        <v>44932</v>
      </c>
      <c r="C492" s="31">
        <v>44935</v>
      </c>
      <c r="D492" s="2" t="s">
        <v>39</v>
      </c>
      <c r="E492" s="2" t="s">
        <v>303</v>
      </c>
      <c r="F492" s="4" t="s">
        <v>304</v>
      </c>
      <c r="G492" s="4" t="s">
        <v>42</v>
      </c>
      <c r="H492" s="4" t="s">
        <v>305</v>
      </c>
      <c r="I492" s="4" t="s">
        <v>306</v>
      </c>
      <c r="J492" s="4" t="s">
        <v>34</v>
      </c>
      <c r="K492" s="4" t="s">
        <v>45</v>
      </c>
      <c r="L492" s="4" t="s">
        <v>99</v>
      </c>
      <c r="M492" s="4" t="s">
        <v>848</v>
      </c>
      <c r="N492" s="5">
        <v>771.01</v>
      </c>
      <c r="O492" s="6">
        <v>7</v>
      </c>
      <c r="P492" s="7">
        <v>0.3</v>
      </c>
      <c r="Q492" s="18">
        <v>16.09</v>
      </c>
      <c r="R492" s="45" t="str">
        <f t="shared" si="28"/>
        <v>OK</v>
      </c>
      <c r="S492" s="45">
        <f t="shared" si="29"/>
        <v>647.38714285714286</v>
      </c>
      <c r="T492" s="45">
        <f t="shared" si="30"/>
        <v>7</v>
      </c>
      <c r="U492" s="45">
        <f t="shared" si="31"/>
        <v>4531.71</v>
      </c>
    </row>
    <row r="493" spans="1:21" x14ac:dyDescent="0.3">
      <c r="A493" s="17" t="s">
        <v>1343</v>
      </c>
      <c r="B493" s="32">
        <v>44932</v>
      </c>
      <c r="C493" s="32">
        <v>44936</v>
      </c>
      <c r="D493" s="8" t="s">
        <v>39</v>
      </c>
      <c r="E493" s="8" t="s">
        <v>874</v>
      </c>
      <c r="F493" s="10" t="s">
        <v>875</v>
      </c>
      <c r="G493" s="10" t="s">
        <v>51</v>
      </c>
      <c r="H493" s="10" t="s">
        <v>59</v>
      </c>
      <c r="I493" s="10" t="s">
        <v>60</v>
      </c>
      <c r="J493" s="10" t="s">
        <v>54</v>
      </c>
      <c r="K493" s="10" t="s">
        <v>45</v>
      </c>
      <c r="L493" s="10" t="s">
        <v>117</v>
      </c>
      <c r="M493" s="10" t="s">
        <v>1344</v>
      </c>
      <c r="N493" s="11">
        <v>414.56</v>
      </c>
      <c r="O493" s="12">
        <v>8</v>
      </c>
      <c r="P493" s="13">
        <v>0</v>
      </c>
      <c r="Q493" s="19">
        <v>111.62</v>
      </c>
      <c r="R493" s="45" t="str">
        <f t="shared" si="28"/>
        <v>OK</v>
      </c>
      <c r="S493" s="45">
        <f t="shared" si="29"/>
        <v>647.38714285714286</v>
      </c>
      <c r="T493" s="45">
        <f t="shared" si="30"/>
        <v>7</v>
      </c>
      <c r="U493" s="45">
        <f t="shared" si="31"/>
        <v>4531.71</v>
      </c>
    </row>
    <row r="494" spans="1:21" x14ac:dyDescent="0.3">
      <c r="A494" s="16" t="s">
        <v>1820</v>
      </c>
      <c r="B494" s="31">
        <v>44932</v>
      </c>
      <c r="C494" s="31">
        <v>44938</v>
      </c>
      <c r="D494" s="2" t="s">
        <v>29</v>
      </c>
      <c r="E494" s="2" t="s">
        <v>410</v>
      </c>
      <c r="F494" s="4" t="s">
        <v>411</v>
      </c>
      <c r="G494" s="4" t="s">
        <v>42</v>
      </c>
      <c r="H494" s="4" t="s">
        <v>412</v>
      </c>
      <c r="I494" s="4" t="s">
        <v>178</v>
      </c>
      <c r="J494" s="4" t="s">
        <v>24</v>
      </c>
      <c r="K494" s="4" t="s">
        <v>35</v>
      </c>
      <c r="L494" s="4" t="s">
        <v>166</v>
      </c>
      <c r="M494" s="4" t="s">
        <v>1821</v>
      </c>
      <c r="N494" s="5">
        <v>69.790000000000006</v>
      </c>
      <c r="O494" s="6">
        <v>1</v>
      </c>
      <c r="P494" s="7">
        <v>0.4</v>
      </c>
      <c r="Q494" s="18">
        <v>-17.600000000000001</v>
      </c>
      <c r="R494" s="45" t="str">
        <f t="shared" si="28"/>
        <v>OK</v>
      </c>
      <c r="S494" s="45">
        <f t="shared" si="29"/>
        <v>647.38714285714286</v>
      </c>
      <c r="T494" s="45">
        <f t="shared" si="30"/>
        <v>7</v>
      </c>
      <c r="U494" s="45">
        <f t="shared" si="31"/>
        <v>4531.71</v>
      </c>
    </row>
    <row r="495" spans="1:21" x14ac:dyDescent="0.3">
      <c r="A495" s="16" t="s">
        <v>2405</v>
      </c>
      <c r="B495" s="31">
        <v>44932</v>
      </c>
      <c r="C495" s="31">
        <v>44933</v>
      </c>
      <c r="D495" s="2" t="s">
        <v>18</v>
      </c>
      <c r="E495" s="2" t="s">
        <v>317</v>
      </c>
      <c r="F495" s="4" t="s">
        <v>318</v>
      </c>
      <c r="G495" s="4" t="s">
        <v>21</v>
      </c>
      <c r="H495" s="4" t="s">
        <v>319</v>
      </c>
      <c r="I495" s="4" t="s">
        <v>194</v>
      </c>
      <c r="J495" s="4" t="s">
        <v>34</v>
      </c>
      <c r="K495" s="4" t="s">
        <v>25</v>
      </c>
      <c r="L495" s="4" t="s">
        <v>124</v>
      </c>
      <c r="M495" s="4" t="s">
        <v>2406</v>
      </c>
      <c r="N495" s="5">
        <v>9840.74</v>
      </c>
      <c r="O495" s="6">
        <v>7</v>
      </c>
      <c r="P495" s="7">
        <v>0</v>
      </c>
      <c r="Q495" s="18">
        <v>2254.5300000000002</v>
      </c>
      <c r="R495" s="45" t="str">
        <f t="shared" si="28"/>
        <v>OK</v>
      </c>
      <c r="S495" s="45">
        <f t="shared" si="29"/>
        <v>647.38714285714286</v>
      </c>
      <c r="T495" s="45">
        <f t="shared" si="30"/>
        <v>7</v>
      </c>
      <c r="U495" s="45">
        <f t="shared" si="31"/>
        <v>4531.71</v>
      </c>
    </row>
    <row r="496" spans="1:21" x14ac:dyDescent="0.3">
      <c r="A496" s="16" t="s">
        <v>816</v>
      </c>
      <c r="B496" s="31">
        <v>44933</v>
      </c>
      <c r="C496" s="31">
        <v>44935</v>
      </c>
      <c r="D496" s="2" t="s">
        <v>18</v>
      </c>
      <c r="E496" s="2" t="s">
        <v>817</v>
      </c>
      <c r="F496" s="4" t="s">
        <v>818</v>
      </c>
      <c r="G496" s="4" t="s">
        <v>42</v>
      </c>
      <c r="H496" s="4" t="s">
        <v>98</v>
      </c>
      <c r="I496" s="4" t="s">
        <v>80</v>
      </c>
      <c r="J496" s="4" t="s">
        <v>54</v>
      </c>
      <c r="K496" s="4" t="s">
        <v>35</v>
      </c>
      <c r="L496" s="4" t="s">
        <v>81</v>
      </c>
      <c r="M496" s="4" t="s">
        <v>819</v>
      </c>
      <c r="N496" s="5">
        <v>76.88</v>
      </c>
      <c r="O496" s="6">
        <v>8</v>
      </c>
      <c r="P496" s="7">
        <v>0</v>
      </c>
      <c r="Q496" s="18">
        <v>32.89</v>
      </c>
      <c r="R496" s="45" t="str">
        <f t="shared" si="28"/>
        <v>OK</v>
      </c>
      <c r="S496" s="45">
        <f t="shared" si="29"/>
        <v>647.38714285714286</v>
      </c>
      <c r="T496" s="45">
        <f t="shared" si="30"/>
        <v>7</v>
      </c>
      <c r="U496" s="45">
        <f t="shared" si="31"/>
        <v>4531.71</v>
      </c>
    </row>
    <row r="497" spans="1:21" x14ac:dyDescent="0.3">
      <c r="A497" s="16" t="s">
        <v>1713</v>
      </c>
      <c r="B497" s="31">
        <v>44939</v>
      </c>
      <c r="C497" s="31">
        <v>44943</v>
      </c>
      <c r="D497" s="2" t="s">
        <v>73</v>
      </c>
      <c r="E497" s="2" t="s">
        <v>406</v>
      </c>
      <c r="F497" s="4" t="s">
        <v>407</v>
      </c>
      <c r="G497" s="4" t="s">
        <v>42</v>
      </c>
      <c r="H497" s="4" t="s">
        <v>165</v>
      </c>
      <c r="I497" s="4" t="s">
        <v>44</v>
      </c>
      <c r="J497" s="4" t="s">
        <v>24</v>
      </c>
      <c r="K497" s="4" t="s">
        <v>45</v>
      </c>
      <c r="L497" s="4" t="s">
        <v>117</v>
      </c>
      <c r="M497" s="4" t="s">
        <v>1545</v>
      </c>
      <c r="N497" s="5">
        <v>3793.58</v>
      </c>
      <c r="O497" s="6">
        <v>8</v>
      </c>
      <c r="P497" s="7">
        <v>0.15</v>
      </c>
      <c r="Q497" s="18">
        <v>714.74</v>
      </c>
      <c r="R497" s="45" t="str">
        <f t="shared" si="28"/>
        <v>OK</v>
      </c>
      <c r="S497" s="45">
        <f t="shared" si="29"/>
        <v>647.38714285714286</v>
      </c>
      <c r="T497" s="45">
        <f t="shared" si="30"/>
        <v>7</v>
      </c>
      <c r="U497" s="45">
        <f t="shared" si="31"/>
        <v>4531.71</v>
      </c>
    </row>
    <row r="498" spans="1:21" x14ac:dyDescent="0.3">
      <c r="A498" s="16" t="s">
        <v>1917</v>
      </c>
      <c r="B498" s="31">
        <v>44940</v>
      </c>
      <c r="C498" s="31">
        <v>44946</v>
      </c>
      <c r="D498" s="2" t="s">
        <v>29</v>
      </c>
      <c r="E498" s="2" t="s">
        <v>682</v>
      </c>
      <c r="F498" s="4" t="s">
        <v>683</v>
      </c>
      <c r="G498" s="4" t="s">
        <v>21</v>
      </c>
      <c r="H498" s="4" t="s">
        <v>66</v>
      </c>
      <c r="I498" s="4" t="s">
        <v>67</v>
      </c>
      <c r="J498" s="4" t="s">
        <v>34</v>
      </c>
      <c r="K498" s="4" t="s">
        <v>45</v>
      </c>
      <c r="L498" s="4" t="s">
        <v>99</v>
      </c>
      <c r="M498" s="4" t="s">
        <v>1918</v>
      </c>
      <c r="N498" s="5">
        <v>621.67999999999995</v>
      </c>
      <c r="O498" s="6">
        <v>4</v>
      </c>
      <c r="P498" s="7">
        <v>0.05</v>
      </c>
      <c r="Q498" s="18">
        <v>126.42</v>
      </c>
      <c r="R498" s="45" t="str">
        <f t="shared" si="28"/>
        <v>OK</v>
      </c>
      <c r="S498" s="45">
        <f t="shared" si="29"/>
        <v>647.38714285714286</v>
      </c>
      <c r="T498" s="45">
        <f t="shared" si="30"/>
        <v>7</v>
      </c>
      <c r="U498" s="45">
        <f t="shared" si="31"/>
        <v>4531.71</v>
      </c>
    </row>
    <row r="499" spans="1:21" x14ac:dyDescent="0.3">
      <c r="A499" s="16" t="s">
        <v>1593</v>
      </c>
      <c r="B499" s="31">
        <v>44945</v>
      </c>
      <c r="C499" s="31">
        <v>44948</v>
      </c>
      <c r="D499" s="2" t="s">
        <v>73</v>
      </c>
      <c r="E499" s="2" t="s">
        <v>991</v>
      </c>
      <c r="F499" s="4" t="s">
        <v>992</v>
      </c>
      <c r="G499" s="4" t="s">
        <v>42</v>
      </c>
      <c r="H499" s="4" t="s">
        <v>43</v>
      </c>
      <c r="I499" s="4" t="s">
        <v>44</v>
      </c>
      <c r="J499" s="4" t="s">
        <v>24</v>
      </c>
      <c r="K499" s="4" t="s">
        <v>45</v>
      </c>
      <c r="L499" s="4" t="s">
        <v>46</v>
      </c>
      <c r="M499" s="4" t="s">
        <v>1594</v>
      </c>
      <c r="N499" s="5">
        <v>4233.2</v>
      </c>
      <c r="O499" s="6">
        <v>10</v>
      </c>
      <c r="P499" s="7">
        <v>0</v>
      </c>
      <c r="Q499" s="18">
        <v>1799.83</v>
      </c>
      <c r="R499" s="45" t="str">
        <f t="shared" si="28"/>
        <v>OK</v>
      </c>
      <c r="S499" s="45">
        <f t="shared" si="29"/>
        <v>647.38714285714286</v>
      </c>
      <c r="T499" s="45">
        <f t="shared" si="30"/>
        <v>7</v>
      </c>
      <c r="U499" s="45">
        <f t="shared" si="31"/>
        <v>4531.71</v>
      </c>
    </row>
    <row r="500" spans="1:21" x14ac:dyDescent="0.3">
      <c r="A500" s="16" t="s">
        <v>1755</v>
      </c>
      <c r="B500" s="31">
        <v>44946</v>
      </c>
      <c r="C500" s="31">
        <v>44952</v>
      </c>
      <c r="D500" s="2" t="s">
        <v>29</v>
      </c>
      <c r="E500" s="2" t="s">
        <v>240</v>
      </c>
      <c r="F500" s="4" t="s">
        <v>241</v>
      </c>
      <c r="G500" s="4" t="s">
        <v>42</v>
      </c>
      <c r="H500" s="4" t="s">
        <v>115</v>
      </c>
      <c r="I500" s="4" t="s">
        <v>116</v>
      </c>
      <c r="J500" s="4" t="s">
        <v>54</v>
      </c>
      <c r="K500" s="4" t="s">
        <v>45</v>
      </c>
      <c r="L500" s="4" t="s">
        <v>61</v>
      </c>
      <c r="M500" s="4" t="s">
        <v>1756</v>
      </c>
      <c r="N500" s="5">
        <v>880.39</v>
      </c>
      <c r="O500" s="6">
        <v>5</v>
      </c>
      <c r="P500" s="7">
        <v>0.15</v>
      </c>
      <c r="Q500" s="18">
        <v>-95.51</v>
      </c>
      <c r="R500" s="45" t="str">
        <f t="shared" si="28"/>
        <v>OK</v>
      </c>
      <c r="S500" s="45">
        <f t="shared" si="29"/>
        <v>647.38714285714286</v>
      </c>
      <c r="T500" s="45">
        <f t="shared" si="30"/>
        <v>7</v>
      </c>
      <c r="U500" s="45">
        <f t="shared" si="31"/>
        <v>4531.71</v>
      </c>
    </row>
    <row r="501" spans="1:21" x14ac:dyDescent="0.3">
      <c r="A501" s="16" t="s">
        <v>1965</v>
      </c>
      <c r="B501" s="31">
        <v>44949</v>
      </c>
      <c r="C501" s="31">
        <v>44955</v>
      </c>
      <c r="D501" s="2" t="s">
        <v>29</v>
      </c>
      <c r="E501" s="2" t="s">
        <v>96</v>
      </c>
      <c r="F501" s="4" t="s">
        <v>97</v>
      </c>
      <c r="G501" s="4" t="s">
        <v>21</v>
      </c>
      <c r="H501" s="4" t="s">
        <v>98</v>
      </c>
      <c r="I501" s="4" t="s">
        <v>80</v>
      </c>
      <c r="J501" s="4" t="s">
        <v>54</v>
      </c>
      <c r="K501" s="4" t="s">
        <v>45</v>
      </c>
      <c r="L501" s="4" t="s">
        <v>61</v>
      </c>
      <c r="M501" s="4" t="s">
        <v>1966</v>
      </c>
      <c r="N501" s="5">
        <v>474.98</v>
      </c>
      <c r="O501" s="6">
        <v>2</v>
      </c>
      <c r="P501" s="7">
        <v>0.15</v>
      </c>
      <c r="Q501" s="18">
        <v>-58.82</v>
      </c>
      <c r="R501" s="45" t="str">
        <f t="shared" si="28"/>
        <v>OK</v>
      </c>
      <c r="S501" s="45">
        <f t="shared" si="29"/>
        <v>647.38714285714286</v>
      </c>
      <c r="T501" s="45">
        <f t="shared" si="30"/>
        <v>7</v>
      </c>
      <c r="U501" s="45">
        <f t="shared" si="31"/>
        <v>4531.71</v>
      </c>
    </row>
    <row r="502" spans="1:21" x14ac:dyDescent="0.3">
      <c r="A502" s="17" t="s">
        <v>1520</v>
      </c>
      <c r="B502" s="32">
        <v>44952</v>
      </c>
      <c r="C502" s="32">
        <v>44959</v>
      </c>
      <c r="D502" s="8" t="s">
        <v>29</v>
      </c>
      <c r="E502" s="8" t="s">
        <v>1521</v>
      </c>
      <c r="F502" s="10" t="s">
        <v>1522</v>
      </c>
      <c r="G502" s="10" t="s">
        <v>51</v>
      </c>
      <c r="H502" s="10" t="s">
        <v>305</v>
      </c>
      <c r="I502" s="10" t="s">
        <v>306</v>
      </c>
      <c r="J502" s="10" t="s">
        <v>34</v>
      </c>
      <c r="K502" s="10" t="s">
        <v>25</v>
      </c>
      <c r="L502" s="10" t="s">
        <v>124</v>
      </c>
      <c r="M502" s="10" t="s">
        <v>1523</v>
      </c>
      <c r="N502" s="11">
        <v>2113.5300000000002</v>
      </c>
      <c r="O502" s="12">
        <v>5</v>
      </c>
      <c r="P502" s="13">
        <v>0.5</v>
      </c>
      <c r="Q502" s="19">
        <v>-950.51</v>
      </c>
      <c r="R502" s="45" t="str">
        <f t="shared" si="28"/>
        <v>OK</v>
      </c>
      <c r="S502" s="45">
        <f t="shared" si="29"/>
        <v>647.38714285714286</v>
      </c>
      <c r="T502" s="45">
        <f t="shared" si="30"/>
        <v>7</v>
      </c>
      <c r="U502" s="45">
        <f t="shared" si="31"/>
        <v>4531.71</v>
      </c>
    </row>
    <row r="503" spans="1:21" x14ac:dyDescent="0.3">
      <c r="A503" s="16" t="s">
        <v>1359</v>
      </c>
      <c r="B503" s="31">
        <v>44956</v>
      </c>
      <c r="C503" s="31">
        <v>44959</v>
      </c>
      <c r="D503" s="2" t="s">
        <v>39</v>
      </c>
      <c r="E503" s="2" t="s">
        <v>1360</v>
      </c>
      <c r="F503" s="4" t="s">
        <v>1361</v>
      </c>
      <c r="G503" s="4" t="s">
        <v>21</v>
      </c>
      <c r="H503" s="4" t="s">
        <v>156</v>
      </c>
      <c r="I503" s="4" t="s">
        <v>157</v>
      </c>
      <c r="J503" s="4" t="s">
        <v>88</v>
      </c>
      <c r="K503" s="4" t="s">
        <v>35</v>
      </c>
      <c r="L503" s="4" t="s">
        <v>89</v>
      </c>
      <c r="M503" s="4" t="s">
        <v>1362</v>
      </c>
      <c r="N503" s="5">
        <v>293.08</v>
      </c>
      <c r="O503" s="6">
        <v>8</v>
      </c>
      <c r="P503" s="7">
        <v>0.15</v>
      </c>
      <c r="Q503" s="18">
        <v>46.1</v>
      </c>
      <c r="R503" s="45" t="str">
        <f t="shared" si="28"/>
        <v>OK</v>
      </c>
      <c r="S503" s="45">
        <f t="shared" si="29"/>
        <v>647.38714285714286</v>
      </c>
      <c r="T503" s="45">
        <f t="shared" si="30"/>
        <v>7</v>
      </c>
      <c r="U503" s="45">
        <f t="shared" si="31"/>
        <v>4531.71</v>
      </c>
    </row>
    <row r="504" spans="1:21" x14ac:dyDescent="0.3">
      <c r="A504" s="16" t="s">
        <v>519</v>
      </c>
      <c r="B504" s="31">
        <v>44957</v>
      </c>
      <c r="C504" s="31">
        <v>44960</v>
      </c>
      <c r="D504" s="2" t="s">
        <v>39</v>
      </c>
      <c r="E504" s="2" t="s">
        <v>468</v>
      </c>
      <c r="F504" s="4" t="s">
        <v>469</v>
      </c>
      <c r="G504" s="4" t="s">
        <v>51</v>
      </c>
      <c r="H504" s="4" t="s">
        <v>372</v>
      </c>
      <c r="I504" s="4" t="s">
        <v>373</v>
      </c>
      <c r="J504" s="4" t="s">
        <v>34</v>
      </c>
      <c r="K504" s="4" t="s">
        <v>45</v>
      </c>
      <c r="L504" s="4" t="s">
        <v>61</v>
      </c>
      <c r="M504" s="4" t="s">
        <v>520</v>
      </c>
      <c r="N504" s="5">
        <v>5319.54</v>
      </c>
      <c r="O504" s="6">
        <v>9</v>
      </c>
      <c r="P504" s="7">
        <v>0</v>
      </c>
      <c r="Q504" s="18">
        <v>235.75</v>
      </c>
      <c r="R504" s="45" t="str">
        <f t="shared" si="28"/>
        <v>OK</v>
      </c>
      <c r="S504" s="45">
        <f t="shared" si="29"/>
        <v>647.38714285714286</v>
      </c>
      <c r="T504" s="45">
        <f t="shared" si="30"/>
        <v>7</v>
      </c>
      <c r="U504" s="45">
        <f t="shared" si="31"/>
        <v>4531.71</v>
      </c>
    </row>
    <row r="505" spans="1:21" x14ac:dyDescent="0.3">
      <c r="A505" s="17" t="s">
        <v>2017</v>
      </c>
      <c r="B505" s="32">
        <v>44957</v>
      </c>
      <c r="C505" s="32">
        <v>44960</v>
      </c>
      <c r="D505" s="8" t="s">
        <v>39</v>
      </c>
      <c r="E505" s="8" t="s">
        <v>614</v>
      </c>
      <c r="F505" s="10" t="s">
        <v>615</v>
      </c>
      <c r="G505" s="10" t="s">
        <v>21</v>
      </c>
      <c r="H505" s="10" t="s">
        <v>139</v>
      </c>
      <c r="I505" s="10" t="s">
        <v>140</v>
      </c>
      <c r="J505" s="10" t="s">
        <v>24</v>
      </c>
      <c r="K505" s="10" t="s">
        <v>45</v>
      </c>
      <c r="L505" s="10" t="s">
        <v>99</v>
      </c>
      <c r="M505" s="10" t="s">
        <v>2018</v>
      </c>
      <c r="N505" s="11">
        <v>71.180000000000007</v>
      </c>
      <c r="O505" s="12">
        <v>1</v>
      </c>
      <c r="P505" s="13">
        <v>0.4</v>
      </c>
      <c r="Q505" s="19">
        <v>-2.91</v>
      </c>
      <c r="R505" s="45" t="str">
        <f t="shared" si="28"/>
        <v>OK</v>
      </c>
      <c r="S505" s="45">
        <f t="shared" si="29"/>
        <v>647.38714285714286</v>
      </c>
      <c r="T505" s="45">
        <f t="shared" si="30"/>
        <v>7</v>
      </c>
      <c r="U505" s="45">
        <f t="shared" si="31"/>
        <v>4531.71</v>
      </c>
    </row>
    <row r="506" spans="1:21" x14ac:dyDescent="0.3">
      <c r="A506" s="16" t="s">
        <v>1518</v>
      </c>
      <c r="B506" s="31">
        <v>44960</v>
      </c>
      <c r="C506" s="31">
        <v>44963</v>
      </c>
      <c r="D506" s="2" t="s">
        <v>39</v>
      </c>
      <c r="E506" s="2" t="s">
        <v>584</v>
      </c>
      <c r="F506" s="4" t="s">
        <v>585</v>
      </c>
      <c r="G506" s="4" t="s">
        <v>42</v>
      </c>
      <c r="H506" s="4" t="s">
        <v>250</v>
      </c>
      <c r="I506" s="4" t="s">
        <v>251</v>
      </c>
      <c r="J506" s="4" t="s">
        <v>88</v>
      </c>
      <c r="K506" s="4" t="s">
        <v>35</v>
      </c>
      <c r="L506" s="4" t="s">
        <v>229</v>
      </c>
      <c r="M506" s="4" t="s">
        <v>1519</v>
      </c>
      <c r="N506" s="5">
        <v>66.59</v>
      </c>
      <c r="O506" s="6">
        <v>7</v>
      </c>
      <c r="P506" s="7">
        <v>0.1</v>
      </c>
      <c r="Q506" s="18">
        <v>33.39</v>
      </c>
      <c r="R506" s="45" t="str">
        <f t="shared" si="28"/>
        <v>OK</v>
      </c>
      <c r="S506" s="45">
        <f t="shared" si="29"/>
        <v>647.38714285714286</v>
      </c>
      <c r="T506" s="45">
        <f t="shared" si="30"/>
        <v>7</v>
      </c>
      <c r="U506" s="45">
        <f t="shared" si="31"/>
        <v>4531.71</v>
      </c>
    </row>
    <row r="507" spans="1:21" x14ac:dyDescent="0.3">
      <c r="A507" s="16" t="s">
        <v>873</v>
      </c>
      <c r="B507" s="31">
        <v>44961</v>
      </c>
      <c r="C507" s="31">
        <v>44963</v>
      </c>
      <c r="D507" s="2" t="s">
        <v>18</v>
      </c>
      <c r="E507" s="2" t="s">
        <v>874</v>
      </c>
      <c r="F507" s="4" t="s">
        <v>875</v>
      </c>
      <c r="G507" s="4" t="s">
        <v>51</v>
      </c>
      <c r="H507" s="4" t="s">
        <v>59</v>
      </c>
      <c r="I507" s="4" t="s">
        <v>60</v>
      </c>
      <c r="J507" s="4" t="s">
        <v>54</v>
      </c>
      <c r="K507" s="4" t="s">
        <v>25</v>
      </c>
      <c r="L507" s="4" t="s">
        <v>26</v>
      </c>
      <c r="M507" s="4" t="s">
        <v>876</v>
      </c>
      <c r="N507" s="5">
        <v>5931.46</v>
      </c>
      <c r="O507" s="6">
        <v>7</v>
      </c>
      <c r="P507" s="7">
        <v>0.2</v>
      </c>
      <c r="Q507" s="18">
        <v>-558.15</v>
      </c>
      <c r="R507" s="45" t="str">
        <f t="shared" si="28"/>
        <v>OK</v>
      </c>
      <c r="S507" s="45">
        <f t="shared" si="29"/>
        <v>647.38714285714286</v>
      </c>
      <c r="T507" s="45">
        <f t="shared" si="30"/>
        <v>7</v>
      </c>
      <c r="U507" s="45">
        <f t="shared" si="31"/>
        <v>4531.71</v>
      </c>
    </row>
    <row r="508" spans="1:21" x14ac:dyDescent="0.3">
      <c r="A508" s="16" t="s">
        <v>1111</v>
      </c>
      <c r="B508" s="31">
        <v>44962</v>
      </c>
      <c r="C508" s="31">
        <v>44965</v>
      </c>
      <c r="D508" s="2" t="s">
        <v>18</v>
      </c>
      <c r="E508" s="2" t="s">
        <v>592</v>
      </c>
      <c r="F508" s="4" t="s">
        <v>593</v>
      </c>
      <c r="G508" s="4" t="s">
        <v>21</v>
      </c>
      <c r="H508" s="4" t="s">
        <v>207</v>
      </c>
      <c r="I508" s="4" t="s">
        <v>60</v>
      </c>
      <c r="J508" s="4" t="s">
        <v>54</v>
      </c>
      <c r="K508" s="4" t="s">
        <v>45</v>
      </c>
      <c r="L508" s="4" t="s">
        <v>117</v>
      </c>
      <c r="M508" s="4" t="s">
        <v>1112</v>
      </c>
      <c r="N508" s="5">
        <v>3640.63</v>
      </c>
      <c r="O508" s="6">
        <v>9</v>
      </c>
      <c r="P508" s="7">
        <v>0.15</v>
      </c>
      <c r="Q508" s="18">
        <v>241.18</v>
      </c>
      <c r="R508" s="45" t="str">
        <f t="shared" si="28"/>
        <v>OK</v>
      </c>
      <c r="S508" s="45">
        <f t="shared" si="29"/>
        <v>647.38714285714286</v>
      </c>
      <c r="T508" s="45">
        <f t="shared" si="30"/>
        <v>7</v>
      </c>
      <c r="U508" s="45">
        <f t="shared" si="31"/>
        <v>4531.71</v>
      </c>
    </row>
    <row r="509" spans="1:21" x14ac:dyDescent="0.3">
      <c r="A509" s="17" t="s">
        <v>1293</v>
      </c>
      <c r="B509" s="32">
        <v>44962</v>
      </c>
      <c r="C509" s="32">
        <v>44966</v>
      </c>
      <c r="D509" s="8" t="s">
        <v>73</v>
      </c>
      <c r="E509" s="8" t="s">
        <v>214</v>
      </c>
      <c r="F509" s="10" t="s">
        <v>215</v>
      </c>
      <c r="G509" s="10" t="s">
        <v>21</v>
      </c>
      <c r="H509" s="10" t="s">
        <v>52</v>
      </c>
      <c r="I509" s="10" t="s">
        <v>53</v>
      </c>
      <c r="J509" s="10" t="s">
        <v>54</v>
      </c>
      <c r="K509" s="10" t="s">
        <v>35</v>
      </c>
      <c r="L509" s="10" t="s">
        <v>110</v>
      </c>
      <c r="M509" s="10" t="s">
        <v>1294</v>
      </c>
      <c r="N509" s="11">
        <v>261.52</v>
      </c>
      <c r="O509" s="12">
        <v>7</v>
      </c>
      <c r="P509" s="13">
        <v>0</v>
      </c>
      <c r="Q509" s="19">
        <v>122.02</v>
      </c>
      <c r="R509" s="45" t="str">
        <f t="shared" si="28"/>
        <v>OK</v>
      </c>
      <c r="S509" s="45">
        <f t="shared" si="29"/>
        <v>647.38714285714286</v>
      </c>
      <c r="T509" s="45">
        <f t="shared" si="30"/>
        <v>7</v>
      </c>
      <c r="U509" s="45">
        <f t="shared" si="31"/>
        <v>4531.71</v>
      </c>
    </row>
    <row r="510" spans="1:21" x14ac:dyDescent="0.3">
      <c r="A510" s="17" t="s">
        <v>467</v>
      </c>
      <c r="B510" s="32">
        <v>44963</v>
      </c>
      <c r="C510" s="32">
        <v>44967</v>
      </c>
      <c r="D510" s="8" t="s">
        <v>39</v>
      </c>
      <c r="E510" s="8" t="s">
        <v>468</v>
      </c>
      <c r="F510" s="10" t="s">
        <v>469</v>
      </c>
      <c r="G510" s="10" t="s">
        <v>51</v>
      </c>
      <c r="H510" s="10" t="s">
        <v>372</v>
      </c>
      <c r="I510" s="10" t="s">
        <v>373</v>
      </c>
      <c r="J510" s="10" t="s">
        <v>34</v>
      </c>
      <c r="K510" s="10" t="s">
        <v>45</v>
      </c>
      <c r="L510" s="10" t="s">
        <v>117</v>
      </c>
      <c r="M510" s="10" t="s">
        <v>470</v>
      </c>
      <c r="N510" s="11">
        <v>1169.26</v>
      </c>
      <c r="O510" s="12">
        <v>4</v>
      </c>
      <c r="P510" s="13">
        <v>0.4</v>
      </c>
      <c r="Q510" s="19">
        <v>-195.87</v>
      </c>
      <c r="R510" s="45" t="str">
        <f t="shared" si="28"/>
        <v>OK</v>
      </c>
      <c r="S510" s="45">
        <f t="shared" si="29"/>
        <v>647.38714285714286</v>
      </c>
      <c r="T510" s="45">
        <f t="shared" si="30"/>
        <v>7</v>
      </c>
      <c r="U510" s="45">
        <f t="shared" si="31"/>
        <v>4531.71</v>
      </c>
    </row>
    <row r="511" spans="1:21" x14ac:dyDescent="0.3">
      <c r="A511" s="17" t="s">
        <v>1546</v>
      </c>
      <c r="B511" s="32">
        <v>44963</v>
      </c>
      <c r="C511" s="32">
        <v>44966</v>
      </c>
      <c r="D511" s="8" t="s">
        <v>39</v>
      </c>
      <c r="E511" s="8" t="s">
        <v>1025</v>
      </c>
      <c r="F511" s="10" t="s">
        <v>1026</v>
      </c>
      <c r="G511" s="10" t="s">
        <v>21</v>
      </c>
      <c r="H511" s="10" t="s">
        <v>412</v>
      </c>
      <c r="I511" s="10" t="s">
        <v>178</v>
      </c>
      <c r="J511" s="10" t="s">
        <v>24</v>
      </c>
      <c r="K511" s="10" t="s">
        <v>45</v>
      </c>
      <c r="L511" s="10" t="s">
        <v>117</v>
      </c>
      <c r="M511" s="10" t="s">
        <v>1547</v>
      </c>
      <c r="N511" s="11">
        <v>2247.6999999999998</v>
      </c>
      <c r="O511" s="12">
        <v>5</v>
      </c>
      <c r="P511" s="13">
        <v>0.05</v>
      </c>
      <c r="Q511" s="19">
        <v>555.27</v>
      </c>
      <c r="R511" s="45" t="str">
        <f t="shared" si="28"/>
        <v>OK</v>
      </c>
      <c r="S511" s="45">
        <f t="shared" si="29"/>
        <v>647.38714285714286</v>
      </c>
      <c r="T511" s="45">
        <f t="shared" si="30"/>
        <v>7</v>
      </c>
      <c r="U511" s="45">
        <f t="shared" si="31"/>
        <v>4531.71</v>
      </c>
    </row>
    <row r="512" spans="1:21" x14ac:dyDescent="0.3">
      <c r="A512" s="17" t="s">
        <v>1638</v>
      </c>
      <c r="B512" s="32">
        <v>44965</v>
      </c>
      <c r="C512" s="32">
        <v>44971</v>
      </c>
      <c r="D512" s="8" t="s">
        <v>29</v>
      </c>
      <c r="E512" s="8" t="s">
        <v>1330</v>
      </c>
      <c r="F512" s="10" t="s">
        <v>1331</v>
      </c>
      <c r="G512" s="10" t="s">
        <v>51</v>
      </c>
      <c r="H512" s="10" t="s">
        <v>52</v>
      </c>
      <c r="I512" s="10" t="s">
        <v>53</v>
      </c>
      <c r="J512" s="10" t="s">
        <v>54</v>
      </c>
      <c r="K512" s="10" t="s">
        <v>35</v>
      </c>
      <c r="L512" s="10" t="s">
        <v>158</v>
      </c>
      <c r="M512" s="10" t="s">
        <v>1639</v>
      </c>
      <c r="N512" s="11">
        <v>850.62</v>
      </c>
      <c r="O512" s="12">
        <v>8</v>
      </c>
      <c r="P512" s="13">
        <v>0.2</v>
      </c>
      <c r="Q512" s="19">
        <v>216.7</v>
      </c>
      <c r="R512" s="45" t="str">
        <f t="shared" si="28"/>
        <v>OK</v>
      </c>
      <c r="S512" s="45">
        <f t="shared" si="29"/>
        <v>647.38714285714286</v>
      </c>
      <c r="T512" s="45">
        <f t="shared" si="30"/>
        <v>7</v>
      </c>
      <c r="U512" s="45">
        <f t="shared" si="31"/>
        <v>4531.71</v>
      </c>
    </row>
    <row r="513" spans="1:21" x14ac:dyDescent="0.3">
      <c r="A513" s="16" t="s">
        <v>1810</v>
      </c>
      <c r="B513" s="31">
        <v>44966</v>
      </c>
      <c r="C513" s="31">
        <v>44969</v>
      </c>
      <c r="D513" s="2" t="s">
        <v>73</v>
      </c>
      <c r="E513" s="2" t="s">
        <v>490</v>
      </c>
      <c r="F513" s="4" t="s">
        <v>491</v>
      </c>
      <c r="G513" s="4" t="s">
        <v>42</v>
      </c>
      <c r="H513" s="4" t="s">
        <v>492</v>
      </c>
      <c r="I513" s="4" t="s">
        <v>53</v>
      </c>
      <c r="J513" s="4" t="s">
        <v>54</v>
      </c>
      <c r="K513" s="4" t="s">
        <v>45</v>
      </c>
      <c r="L513" s="4" t="s">
        <v>99</v>
      </c>
      <c r="M513" s="4" t="s">
        <v>1811</v>
      </c>
      <c r="N513" s="5">
        <v>170.5</v>
      </c>
      <c r="O513" s="6">
        <v>4</v>
      </c>
      <c r="P513" s="7">
        <v>0.2</v>
      </c>
      <c r="Q513" s="18">
        <v>12.97</v>
      </c>
      <c r="R513" s="45" t="str">
        <f t="shared" si="28"/>
        <v>OK</v>
      </c>
      <c r="S513" s="45">
        <f t="shared" si="29"/>
        <v>647.38714285714286</v>
      </c>
      <c r="T513" s="45">
        <f t="shared" si="30"/>
        <v>7</v>
      </c>
      <c r="U513" s="45">
        <f t="shared" si="31"/>
        <v>4531.71</v>
      </c>
    </row>
    <row r="514" spans="1:21" x14ac:dyDescent="0.3">
      <c r="A514" s="16" t="s">
        <v>1198</v>
      </c>
      <c r="B514" s="31">
        <v>44967</v>
      </c>
      <c r="C514" s="31">
        <v>44970</v>
      </c>
      <c r="D514" s="2" t="s">
        <v>39</v>
      </c>
      <c r="E514" s="2" t="s">
        <v>120</v>
      </c>
      <c r="F514" s="4" t="s">
        <v>121</v>
      </c>
      <c r="G514" s="4" t="s">
        <v>21</v>
      </c>
      <c r="H514" s="4" t="s">
        <v>122</v>
      </c>
      <c r="I514" s="4" t="s">
        <v>123</v>
      </c>
      <c r="J514" s="4" t="s">
        <v>24</v>
      </c>
      <c r="K514" s="4" t="s">
        <v>25</v>
      </c>
      <c r="L514" s="4" t="s">
        <v>68</v>
      </c>
      <c r="M514" s="4" t="s">
        <v>1199</v>
      </c>
      <c r="N514" s="5">
        <v>898.72</v>
      </c>
      <c r="O514" s="6">
        <v>8</v>
      </c>
      <c r="P514" s="7">
        <v>0</v>
      </c>
      <c r="Q514" s="18">
        <v>380.63</v>
      </c>
      <c r="R514" s="45" t="str">
        <f t="shared" ref="R514:R577" si="32">IF(C514&lt;B514,"Error","OK")</f>
        <v>OK</v>
      </c>
      <c r="S514" s="45">
        <f t="shared" ref="S514:S577" si="33">AVERAGEIF(E514:E1512,"CU-1057",N514:N1512)</f>
        <v>647.38714285714286</v>
      </c>
      <c r="T514" s="45">
        <f t="shared" ref="T514:T577" si="34">COUNTIF(E514:E1512,"CU-1057")</f>
        <v>7</v>
      </c>
      <c r="U514" s="45">
        <f t="shared" ref="U514:U577" si="35">SUMIF(E514:E1512,"CU-1057",N514:N1512)</f>
        <v>4531.71</v>
      </c>
    </row>
    <row r="515" spans="1:21" x14ac:dyDescent="0.3">
      <c r="A515" s="16" t="s">
        <v>542</v>
      </c>
      <c r="B515" s="31">
        <v>44969</v>
      </c>
      <c r="C515" s="31">
        <v>44973</v>
      </c>
      <c r="D515" s="2" t="s">
        <v>73</v>
      </c>
      <c r="E515" s="2" t="s">
        <v>543</v>
      </c>
      <c r="F515" s="4" t="s">
        <v>544</v>
      </c>
      <c r="G515" s="4" t="s">
        <v>42</v>
      </c>
      <c r="H515" s="4" t="s">
        <v>346</v>
      </c>
      <c r="I515" s="4" t="s">
        <v>347</v>
      </c>
      <c r="J515" s="4" t="s">
        <v>88</v>
      </c>
      <c r="K515" s="4" t="s">
        <v>35</v>
      </c>
      <c r="L515" s="4" t="s">
        <v>158</v>
      </c>
      <c r="M515" s="4" t="s">
        <v>545</v>
      </c>
      <c r="N515" s="5">
        <v>470.12</v>
      </c>
      <c r="O515" s="6">
        <v>4</v>
      </c>
      <c r="P515" s="7">
        <v>0.1</v>
      </c>
      <c r="Q515" s="18">
        <v>187.22</v>
      </c>
      <c r="R515" s="45" t="str">
        <f t="shared" si="32"/>
        <v>OK</v>
      </c>
      <c r="S515" s="45">
        <f t="shared" si="33"/>
        <v>647.38714285714286</v>
      </c>
      <c r="T515" s="45">
        <f t="shared" si="34"/>
        <v>7</v>
      </c>
      <c r="U515" s="45">
        <f t="shared" si="35"/>
        <v>4531.71</v>
      </c>
    </row>
    <row r="516" spans="1:21" x14ac:dyDescent="0.3">
      <c r="A516" s="17" t="s">
        <v>1812</v>
      </c>
      <c r="B516" s="32">
        <v>44969</v>
      </c>
      <c r="C516" s="32">
        <v>44973</v>
      </c>
      <c r="D516" s="8" t="s">
        <v>39</v>
      </c>
      <c r="E516" s="8" t="s">
        <v>1029</v>
      </c>
      <c r="F516" s="10" t="s">
        <v>1030</v>
      </c>
      <c r="G516" s="10" t="s">
        <v>21</v>
      </c>
      <c r="H516" s="10" t="s">
        <v>438</v>
      </c>
      <c r="I516" s="10" t="s">
        <v>157</v>
      </c>
      <c r="J516" s="10" t="s">
        <v>88</v>
      </c>
      <c r="K516" s="10" t="s">
        <v>45</v>
      </c>
      <c r="L516" s="10" t="s">
        <v>61</v>
      </c>
      <c r="M516" s="10" t="s">
        <v>1813</v>
      </c>
      <c r="N516" s="11">
        <v>1126.3</v>
      </c>
      <c r="O516" s="12">
        <v>2</v>
      </c>
      <c r="P516" s="13">
        <v>0</v>
      </c>
      <c r="Q516" s="19">
        <v>37.53</v>
      </c>
      <c r="R516" s="45" t="str">
        <f t="shared" si="32"/>
        <v>OK</v>
      </c>
      <c r="S516" s="45">
        <f t="shared" si="33"/>
        <v>647.38714285714286</v>
      </c>
      <c r="T516" s="45">
        <f t="shared" si="34"/>
        <v>7</v>
      </c>
      <c r="U516" s="45">
        <f t="shared" si="35"/>
        <v>4531.71</v>
      </c>
    </row>
    <row r="517" spans="1:21" x14ac:dyDescent="0.3">
      <c r="A517" s="16" t="s">
        <v>1739</v>
      </c>
      <c r="B517" s="31">
        <v>44970</v>
      </c>
      <c r="C517" s="31">
        <v>44976</v>
      </c>
      <c r="D517" s="2" t="s">
        <v>29</v>
      </c>
      <c r="E517" s="2" t="s">
        <v>1539</v>
      </c>
      <c r="F517" s="4"/>
      <c r="G517" s="4" t="s">
        <v>42</v>
      </c>
      <c r="H517" s="4" t="s">
        <v>324</v>
      </c>
      <c r="I517" s="4" t="s">
        <v>116</v>
      </c>
      <c r="J517" s="4" t="s">
        <v>54</v>
      </c>
      <c r="K517" s="4" t="s">
        <v>45</v>
      </c>
      <c r="L517" s="4" t="s">
        <v>61</v>
      </c>
      <c r="M517" s="4" t="s">
        <v>1740</v>
      </c>
      <c r="N517" s="5">
        <v>736.33</v>
      </c>
      <c r="O517" s="6">
        <v>2</v>
      </c>
      <c r="P517" s="7">
        <v>0.05</v>
      </c>
      <c r="Q517" s="18">
        <v>-13.41</v>
      </c>
      <c r="R517" s="45" t="str">
        <f t="shared" si="32"/>
        <v>OK</v>
      </c>
      <c r="S517" s="45">
        <f t="shared" si="33"/>
        <v>647.38714285714286</v>
      </c>
      <c r="T517" s="45">
        <f t="shared" si="34"/>
        <v>7</v>
      </c>
      <c r="U517" s="45">
        <f t="shared" si="35"/>
        <v>4531.71</v>
      </c>
    </row>
    <row r="518" spans="1:21" x14ac:dyDescent="0.3">
      <c r="A518" s="17" t="s">
        <v>2326</v>
      </c>
      <c r="B518" s="32">
        <v>44970</v>
      </c>
      <c r="C518" s="32">
        <v>44976</v>
      </c>
      <c r="D518" s="8" t="s">
        <v>29</v>
      </c>
      <c r="E518" s="8" t="s">
        <v>1015</v>
      </c>
      <c r="F518" s="10" t="s">
        <v>1016</v>
      </c>
      <c r="G518" s="10" t="s">
        <v>42</v>
      </c>
      <c r="H518" s="10" t="s">
        <v>134</v>
      </c>
      <c r="I518" s="10" t="s">
        <v>87</v>
      </c>
      <c r="J518" s="10" t="s">
        <v>88</v>
      </c>
      <c r="K518" s="10" t="s">
        <v>25</v>
      </c>
      <c r="L518" s="10" t="s">
        <v>68</v>
      </c>
      <c r="M518" s="10" t="s">
        <v>2327</v>
      </c>
      <c r="N518" s="11">
        <v>524.97</v>
      </c>
      <c r="O518" s="12">
        <v>3</v>
      </c>
      <c r="P518" s="13">
        <v>0</v>
      </c>
      <c r="Q518" s="19">
        <v>227.36</v>
      </c>
      <c r="R518" s="45" t="str">
        <f t="shared" si="32"/>
        <v>OK</v>
      </c>
      <c r="S518" s="45">
        <f t="shared" si="33"/>
        <v>647.38714285714286</v>
      </c>
      <c r="T518" s="45">
        <f t="shared" si="34"/>
        <v>7</v>
      </c>
      <c r="U518" s="45">
        <f t="shared" si="35"/>
        <v>4531.71</v>
      </c>
    </row>
    <row r="519" spans="1:21" x14ac:dyDescent="0.3">
      <c r="A519" s="17" t="s">
        <v>1367</v>
      </c>
      <c r="B519" s="32">
        <v>44975</v>
      </c>
      <c r="C519" s="32">
        <v>44978</v>
      </c>
      <c r="D519" s="8" t="s">
        <v>39</v>
      </c>
      <c r="E519" s="8" t="s">
        <v>232</v>
      </c>
      <c r="F519" s="10" t="s">
        <v>233</v>
      </c>
      <c r="G519" s="10" t="s">
        <v>21</v>
      </c>
      <c r="H519" s="10" t="s">
        <v>156</v>
      </c>
      <c r="I519" s="10" t="s">
        <v>157</v>
      </c>
      <c r="J519" s="10" t="s">
        <v>88</v>
      </c>
      <c r="K519" s="10" t="s">
        <v>45</v>
      </c>
      <c r="L519" s="10" t="s">
        <v>117</v>
      </c>
      <c r="M519" s="10" t="s">
        <v>1368</v>
      </c>
      <c r="N519" s="11">
        <v>1294.48</v>
      </c>
      <c r="O519" s="12">
        <v>7</v>
      </c>
      <c r="P519" s="13">
        <v>0.15</v>
      </c>
      <c r="Q519" s="19">
        <v>114.74</v>
      </c>
      <c r="R519" s="45" t="str">
        <f t="shared" si="32"/>
        <v>OK</v>
      </c>
      <c r="S519" s="45">
        <f t="shared" si="33"/>
        <v>647.38714285714286</v>
      </c>
      <c r="T519" s="45">
        <f t="shared" si="34"/>
        <v>7</v>
      </c>
      <c r="U519" s="45">
        <f t="shared" si="35"/>
        <v>4531.71</v>
      </c>
    </row>
    <row r="520" spans="1:21" x14ac:dyDescent="0.3">
      <c r="A520" s="17" t="s">
        <v>2098</v>
      </c>
      <c r="B520" s="32">
        <v>44975</v>
      </c>
      <c r="C520" s="32">
        <v>44980</v>
      </c>
      <c r="D520" s="8" t="s">
        <v>73</v>
      </c>
      <c r="E520" s="8" t="s">
        <v>924</v>
      </c>
      <c r="F520" s="10" t="s">
        <v>925</v>
      </c>
      <c r="G520" s="10" t="s">
        <v>42</v>
      </c>
      <c r="H520" s="10" t="s">
        <v>79</v>
      </c>
      <c r="I520" s="10" t="s">
        <v>80</v>
      </c>
      <c r="J520" s="10" t="s">
        <v>54</v>
      </c>
      <c r="K520" s="10" t="s">
        <v>25</v>
      </c>
      <c r="L520" s="10" t="s">
        <v>26</v>
      </c>
      <c r="M520" s="10" t="s">
        <v>2099</v>
      </c>
      <c r="N520" s="11">
        <v>3252.8</v>
      </c>
      <c r="O520" s="12">
        <v>2</v>
      </c>
      <c r="P520" s="13">
        <v>0</v>
      </c>
      <c r="Q520" s="19">
        <v>771.32</v>
      </c>
      <c r="R520" s="45" t="str">
        <f t="shared" si="32"/>
        <v>OK</v>
      </c>
      <c r="S520" s="45">
        <f t="shared" si="33"/>
        <v>647.38714285714286</v>
      </c>
      <c r="T520" s="45">
        <f t="shared" si="34"/>
        <v>7</v>
      </c>
      <c r="U520" s="45">
        <f t="shared" si="35"/>
        <v>4531.71</v>
      </c>
    </row>
    <row r="521" spans="1:21" x14ac:dyDescent="0.3">
      <c r="A521" s="17" t="s">
        <v>861</v>
      </c>
      <c r="B521" s="32">
        <v>44980</v>
      </c>
      <c r="C521" s="32">
        <v>44982</v>
      </c>
      <c r="D521" s="8" t="s">
        <v>18</v>
      </c>
      <c r="E521" s="8" t="s">
        <v>384</v>
      </c>
      <c r="F521" s="10" t="s">
        <v>385</v>
      </c>
      <c r="G521" s="10" t="s">
        <v>51</v>
      </c>
      <c r="H521" s="10" t="s">
        <v>386</v>
      </c>
      <c r="I521" s="10" t="s">
        <v>347</v>
      </c>
      <c r="J521" s="10" t="s">
        <v>88</v>
      </c>
      <c r="K521" s="10" t="s">
        <v>45</v>
      </c>
      <c r="L521" s="10" t="s">
        <v>117</v>
      </c>
      <c r="M521" s="10" t="s">
        <v>862</v>
      </c>
      <c r="N521" s="11">
        <v>2803.7</v>
      </c>
      <c r="O521" s="12">
        <v>7</v>
      </c>
      <c r="P521" s="13">
        <v>0.15</v>
      </c>
      <c r="Q521" s="19">
        <v>168.69</v>
      </c>
      <c r="R521" s="45" t="str">
        <f t="shared" si="32"/>
        <v>OK</v>
      </c>
      <c r="S521" s="45">
        <f t="shared" si="33"/>
        <v>647.38714285714286</v>
      </c>
      <c r="T521" s="45">
        <f t="shared" si="34"/>
        <v>7</v>
      </c>
      <c r="U521" s="45">
        <f t="shared" si="35"/>
        <v>4531.71</v>
      </c>
    </row>
    <row r="522" spans="1:21" x14ac:dyDescent="0.3">
      <c r="A522" s="16" t="s">
        <v>1349</v>
      </c>
      <c r="B522" s="31">
        <v>44983</v>
      </c>
      <c r="C522" s="31">
        <v>44988</v>
      </c>
      <c r="D522" s="2" t="s">
        <v>29</v>
      </c>
      <c r="E522" s="2" t="s">
        <v>975</v>
      </c>
      <c r="F522" s="4" t="s">
        <v>976</v>
      </c>
      <c r="G522" s="4" t="s">
        <v>51</v>
      </c>
      <c r="H522" s="4" t="s">
        <v>459</v>
      </c>
      <c r="I522" s="4" t="s">
        <v>460</v>
      </c>
      <c r="J522" s="4" t="s">
        <v>54</v>
      </c>
      <c r="K522" s="4" t="s">
        <v>35</v>
      </c>
      <c r="L522" s="4" t="s">
        <v>166</v>
      </c>
      <c r="M522" s="4" t="s">
        <v>1350</v>
      </c>
      <c r="N522" s="5">
        <v>268.33999999999997</v>
      </c>
      <c r="O522" s="6">
        <v>4</v>
      </c>
      <c r="P522" s="7">
        <v>0.1</v>
      </c>
      <c r="Q522" s="18">
        <v>73.459999999999994</v>
      </c>
      <c r="R522" s="45" t="str">
        <f t="shared" si="32"/>
        <v>OK</v>
      </c>
      <c r="S522" s="45">
        <f t="shared" si="33"/>
        <v>647.38714285714286</v>
      </c>
      <c r="T522" s="45">
        <f t="shared" si="34"/>
        <v>7</v>
      </c>
      <c r="U522" s="45">
        <f t="shared" si="35"/>
        <v>4531.71</v>
      </c>
    </row>
    <row r="523" spans="1:21" x14ac:dyDescent="0.3">
      <c r="A523" s="17" t="s">
        <v>2211</v>
      </c>
      <c r="B523" s="32">
        <v>44983</v>
      </c>
      <c r="C523" s="32">
        <v>44985</v>
      </c>
      <c r="D523" s="8" t="s">
        <v>18</v>
      </c>
      <c r="E523" s="8" t="s">
        <v>49</v>
      </c>
      <c r="F523" s="10" t="s">
        <v>50</v>
      </c>
      <c r="G523" s="10" t="s">
        <v>51</v>
      </c>
      <c r="H523" s="10" t="s">
        <v>52</v>
      </c>
      <c r="I523" s="10" t="s">
        <v>53</v>
      </c>
      <c r="J523" s="10" t="s">
        <v>54</v>
      </c>
      <c r="K523" s="10" t="s">
        <v>25</v>
      </c>
      <c r="L523" s="10" t="s">
        <v>68</v>
      </c>
      <c r="M523" s="10" t="s">
        <v>2212</v>
      </c>
      <c r="N523" s="11">
        <v>122.11</v>
      </c>
      <c r="O523" s="12">
        <v>1</v>
      </c>
      <c r="P523" s="13">
        <v>0.3</v>
      </c>
      <c r="Q523" s="19">
        <v>27.59</v>
      </c>
      <c r="R523" s="45" t="str">
        <f t="shared" si="32"/>
        <v>OK</v>
      </c>
      <c r="S523" s="45">
        <f t="shared" si="33"/>
        <v>647.38714285714286</v>
      </c>
      <c r="T523" s="45">
        <f t="shared" si="34"/>
        <v>7</v>
      </c>
      <c r="U523" s="45">
        <f t="shared" si="35"/>
        <v>4531.71</v>
      </c>
    </row>
    <row r="524" spans="1:21" x14ac:dyDescent="0.3">
      <c r="A524" s="17" t="s">
        <v>1788</v>
      </c>
      <c r="B524" s="32">
        <v>44985</v>
      </c>
      <c r="C524" s="32">
        <v>44988</v>
      </c>
      <c r="D524" s="8" t="s">
        <v>39</v>
      </c>
      <c r="E524" s="8" t="s">
        <v>313</v>
      </c>
      <c r="F524" s="10" t="s">
        <v>314</v>
      </c>
      <c r="G524" s="10" t="s">
        <v>42</v>
      </c>
      <c r="H524" s="10" t="s">
        <v>193</v>
      </c>
      <c r="I524" s="10" t="s">
        <v>194</v>
      </c>
      <c r="J524" s="10" t="s">
        <v>34</v>
      </c>
      <c r="K524" s="10" t="s">
        <v>35</v>
      </c>
      <c r="L524" s="10" t="s">
        <v>166</v>
      </c>
      <c r="M524" s="10" t="s">
        <v>1789</v>
      </c>
      <c r="N524" s="11">
        <v>149.69</v>
      </c>
      <c r="O524" s="12">
        <v>2</v>
      </c>
      <c r="P524" s="13">
        <v>0.15</v>
      </c>
      <c r="Q524" s="19">
        <v>26.6</v>
      </c>
      <c r="R524" s="45" t="str">
        <f t="shared" si="32"/>
        <v>OK</v>
      </c>
      <c r="S524" s="45">
        <f t="shared" si="33"/>
        <v>647.38714285714286</v>
      </c>
      <c r="T524" s="45">
        <f t="shared" si="34"/>
        <v>7</v>
      </c>
      <c r="U524" s="45">
        <f t="shared" si="35"/>
        <v>4531.71</v>
      </c>
    </row>
    <row r="525" spans="1:21" x14ac:dyDescent="0.3">
      <c r="A525" s="16" t="s">
        <v>843</v>
      </c>
      <c r="B525" s="31">
        <v>44988</v>
      </c>
      <c r="C525" s="31">
        <v>44993</v>
      </c>
      <c r="D525" s="2" t="s">
        <v>29</v>
      </c>
      <c r="E525" s="2" t="s">
        <v>344</v>
      </c>
      <c r="F525" s="4" t="s">
        <v>345</v>
      </c>
      <c r="G525" s="4" t="s">
        <v>51</v>
      </c>
      <c r="H525" s="4" t="s">
        <v>346</v>
      </c>
      <c r="I525" s="4" t="s">
        <v>347</v>
      </c>
      <c r="J525" s="4" t="s">
        <v>88</v>
      </c>
      <c r="K525" s="4" t="s">
        <v>25</v>
      </c>
      <c r="L525" s="4" t="s">
        <v>26</v>
      </c>
      <c r="M525" s="4" t="s">
        <v>844</v>
      </c>
      <c r="N525" s="5">
        <v>3934.3</v>
      </c>
      <c r="O525" s="6">
        <v>5</v>
      </c>
      <c r="P525" s="7">
        <v>0</v>
      </c>
      <c r="Q525" s="18">
        <v>922.16</v>
      </c>
      <c r="R525" s="45" t="str">
        <f t="shared" si="32"/>
        <v>OK</v>
      </c>
      <c r="S525" s="45">
        <f t="shared" si="33"/>
        <v>647.38714285714286</v>
      </c>
      <c r="T525" s="45">
        <f t="shared" si="34"/>
        <v>7</v>
      </c>
      <c r="U525" s="45">
        <f t="shared" si="35"/>
        <v>4531.71</v>
      </c>
    </row>
    <row r="526" spans="1:21" x14ac:dyDescent="0.3">
      <c r="A526" s="16" t="s">
        <v>945</v>
      </c>
      <c r="B526" s="31">
        <v>44988</v>
      </c>
      <c r="C526" s="31">
        <v>44992</v>
      </c>
      <c r="D526" s="2" t="s">
        <v>73</v>
      </c>
      <c r="E526" s="2" t="s">
        <v>946</v>
      </c>
      <c r="F526" s="4" t="s">
        <v>947</v>
      </c>
      <c r="G526" s="4" t="s">
        <v>21</v>
      </c>
      <c r="H526" s="4" t="s">
        <v>156</v>
      </c>
      <c r="I526" s="4" t="s">
        <v>157</v>
      </c>
      <c r="J526" s="4" t="s">
        <v>88</v>
      </c>
      <c r="K526" s="4" t="s">
        <v>25</v>
      </c>
      <c r="L526" s="4" t="s">
        <v>74</v>
      </c>
      <c r="M526" s="4" t="s">
        <v>948</v>
      </c>
      <c r="N526" s="5">
        <v>2511.14</v>
      </c>
      <c r="O526" s="6">
        <v>4</v>
      </c>
      <c r="P526" s="7">
        <v>0.2</v>
      </c>
      <c r="Q526" s="18">
        <v>784.13</v>
      </c>
      <c r="R526" s="45" t="str">
        <f t="shared" si="32"/>
        <v>OK</v>
      </c>
      <c r="S526" s="45">
        <f t="shared" si="33"/>
        <v>647.38714285714286</v>
      </c>
      <c r="T526" s="45">
        <f t="shared" si="34"/>
        <v>7</v>
      </c>
      <c r="U526" s="45">
        <f t="shared" si="35"/>
        <v>4531.71</v>
      </c>
    </row>
    <row r="527" spans="1:21" x14ac:dyDescent="0.3">
      <c r="A527" s="16" t="s">
        <v>1676</v>
      </c>
      <c r="B527" s="31">
        <v>44990</v>
      </c>
      <c r="C527" s="31">
        <v>44993</v>
      </c>
      <c r="D527" s="2" t="s">
        <v>18</v>
      </c>
      <c r="E527" s="2" t="s">
        <v>181</v>
      </c>
      <c r="F527" s="4" t="s">
        <v>182</v>
      </c>
      <c r="G527" s="4" t="s">
        <v>21</v>
      </c>
      <c r="H527" s="4" t="s">
        <v>183</v>
      </c>
      <c r="I527" s="4" t="s">
        <v>184</v>
      </c>
      <c r="J527" s="4" t="s">
        <v>54</v>
      </c>
      <c r="K527" s="4" t="s">
        <v>25</v>
      </c>
      <c r="L527" s="4" t="s">
        <v>74</v>
      </c>
      <c r="M527" s="4" t="s">
        <v>1677</v>
      </c>
      <c r="N527" s="5">
        <v>1064.75</v>
      </c>
      <c r="O527" s="6">
        <v>5</v>
      </c>
      <c r="P527" s="7">
        <v>0</v>
      </c>
      <c r="Q527" s="18">
        <v>331.95</v>
      </c>
      <c r="R527" s="45" t="str">
        <f t="shared" si="32"/>
        <v>OK</v>
      </c>
      <c r="S527" s="45">
        <f t="shared" si="33"/>
        <v>647.38714285714286</v>
      </c>
      <c r="T527" s="45">
        <f t="shared" si="34"/>
        <v>7</v>
      </c>
      <c r="U527" s="45">
        <f t="shared" si="35"/>
        <v>4531.71</v>
      </c>
    </row>
    <row r="528" spans="1:21" x14ac:dyDescent="0.3">
      <c r="A528" s="16" t="s">
        <v>1107</v>
      </c>
      <c r="B528" s="31">
        <v>44992</v>
      </c>
      <c r="C528" s="31">
        <v>44994</v>
      </c>
      <c r="D528" s="2" t="s">
        <v>39</v>
      </c>
      <c r="E528" s="2" t="s">
        <v>528</v>
      </c>
      <c r="F528" s="4" t="s">
        <v>529</v>
      </c>
      <c r="G528" s="4" t="s">
        <v>51</v>
      </c>
      <c r="H528" s="4" t="s">
        <v>530</v>
      </c>
      <c r="I528" s="4" t="s">
        <v>373</v>
      </c>
      <c r="J528" s="4" t="s">
        <v>34</v>
      </c>
      <c r="K528" s="4" t="s">
        <v>25</v>
      </c>
      <c r="L528" s="4" t="s">
        <v>68</v>
      </c>
      <c r="M528" s="4" t="s">
        <v>1108</v>
      </c>
      <c r="N528" s="5">
        <v>310.33999999999997</v>
      </c>
      <c r="O528" s="6">
        <v>4</v>
      </c>
      <c r="P528" s="7">
        <v>0.5</v>
      </c>
      <c r="Q528" s="18">
        <v>-96.48</v>
      </c>
      <c r="R528" s="45" t="str">
        <f t="shared" si="32"/>
        <v>OK</v>
      </c>
      <c r="S528" s="45">
        <f t="shared" si="33"/>
        <v>647.38714285714286</v>
      </c>
      <c r="T528" s="45">
        <f t="shared" si="34"/>
        <v>7</v>
      </c>
      <c r="U528" s="45">
        <f t="shared" si="35"/>
        <v>4531.71</v>
      </c>
    </row>
    <row r="529" spans="1:21" x14ac:dyDescent="0.3">
      <c r="A529" s="16" t="s">
        <v>1632</v>
      </c>
      <c r="B529" s="31">
        <v>44993</v>
      </c>
      <c r="C529" s="31">
        <v>45000</v>
      </c>
      <c r="D529" s="2" t="s">
        <v>29</v>
      </c>
      <c r="E529" s="2" t="s">
        <v>537</v>
      </c>
      <c r="F529" s="4" t="s">
        <v>538</v>
      </c>
      <c r="G529" s="4" t="s">
        <v>42</v>
      </c>
      <c r="H529" s="4" t="s">
        <v>115</v>
      </c>
      <c r="I529" s="4" t="s">
        <v>116</v>
      </c>
      <c r="J529" s="4" t="s">
        <v>54</v>
      </c>
      <c r="K529" s="4" t="s">
        <v>45</v>
      </c>
      <c r="L529" s="4" t="s">
        <v>117</v>
      </c>
      <c r="M529" s="4" t="s">
        <v>1633</v>
      </c>
      <c r="N529" s="5">
        <v>34.81</v>
      </c>
      <c r="O529" s="6">
        <v>1</v>
      </c>
      <c r="P529" s="7">
        <v>0.5</v>
      </c>
      <c r="Q529" s="18">
        <v>-12.41</v>
      </c>
      <c r="R529" s="45" t="str">
        <f t="shared" si="32"/>
        <v>OK</v>
      </c>
      <c r="S529" s="45">
        <f t="shared" si="33"/>
        <v>647.38714285714286</v>
      </c>
      <c r="T529" s="45">
        <f t="shared" si="34"/>
        <v>7</v>
      </c>
      <c r="U529" s="45">
        <f t="shared" si="35"/>
        <v>4531.71</v>
      </c>
    </row>
    <row r="530" spans="1:21" x14ac:dyDescent="0.3">
      <c r="A530" s="17" t="s">
        <v>1383</v>
      </c>
      <c r="B530" s="32">
        <v>44995</v>
      </c>
      <c r="C530" s="32">
        <v>44997</v>
      </c>
      <c r="D530" s="8" t="s">
        <v>39</v>
      </c>
      <c r="E530" s="8" t="s">
        <v>1148</v>
      </c>
      <c r="F530" s="10" t="s">
        <v>1149</v>
      </c>
      <c r="G530" s="10" t="s">
        <v>51</v>
      </c>
      <c r="H530" s="10" t="s">
        <v>150</v>
      </c>
      <c r="I530" s="10" t="s">
        <v>151</v>
      </c>
      <c r="J530" s="10" t="s">
        <v>34</v>
      </c>
      <c r="K530" s="10" t="s">
        <v>45</v>
      </c>
      <c r="L530" s="10" t="s">
        <v>46</v>
      </c>
      <c r="M530" s="10" t="s">
        <v>1384</v>
      </c>
      <c r="N530" s="11">
        <v>806.91</v>
      </c>
      <c r="O530" s="12">
        <v>3</v>
      </c>
      <c r="P530" s="13">
        <v>0</v>
      </c>
      <c r="Q530" s="19">
        <v>262.43</v>
      </c>
      <c r="R530" s="45" t="str">
        <f t="shared" si="32"/>
        <v>OK</v>
      </c>
      <c r="S530" s="45">
        <f t="shared" si="33"/>
        <v>647.38714285714286</v>
      </c>
      <c r="T530" s="45">
        <f t="shared" si="34"/>
        <v>7</v>
      </c>
      <c r="U530" s="45">
        <f t="shared" si="35"/>
        <v>4531.71</v>
      </c>
    </row>
    <row r="531" spans="1:21" x14ac:dyDescent="0.3">
      <c r="A531" s="16" t="s">
        <v>2237</v>
      </c>
      <c r="B531" s="31">
        <v>44995</v>
      </c>
      <c r="C531" s="31">
        <v>44999</v>
      </c>
      <c r="D531" s="2" t="s">
        <v>73</v>
      </c>
      <c r="E531" s="2" t="s">
        <v>265</v>
      </c>
      <c r="F531" s="4" t="s">
        <v>266</v>
      </c>
      <c r="G531" s="4" t="s">
        <v>21</v>
      </c>
      <c r="H531" s="4" t="s">
        <v>171</v>
      </c>
      <c r="I531" s="4" t="s">
        <v>172</v>
      </c>
      <c r="J531" s="4" t="s">
        <v>24</v>
      </c>
      <c r="K531" s="4" t="s">
        <v>25</v>
      </c>
      <c r="L531" s="4" t="s">
        <v>68</v>
      </c>
      <c r="M531" s="4" t="s">
        <v>2238</v>
      </c>
      <c r="N531" s="5">
        <v>800.24</v>
      </c>
      <c r="O531" s="6">
        <v>6</v>
      </c>
      <c r="P531" s="7">
        <v>0.15</v>
      </c>
      <c r="Q531" s="18">
        <v>185.3</v>
      </c>
      <c r="R531" s="45" t="str">
        <f t="shared" si="32"/>
        <v>OK</v>
      </c>
      <c r="S531" s="45">
        <f t="shared" si="33"/>
        <v>647.38714285714286</v>
      </c>
      <c r="T531" s="45">
        <f t="shared" si="34"/>
        <v>7</v>
      </c>
      <c r="U531" s="45">
        <f t="shared" si="35"/>
        <v>4531.71</v>
      </c>
    </row>
    <row r="532" spans="1:21" x14ac:dyDescent="0.3">
      <c r="A532" s="17" t="s">
        <v>1077</v>
      </c>
      <c r="B532" s="32">
        <v>45000</v>
      </c>
      <c r="C532" s="32">
        <v>45006</v>
      </c>
      <c r="D532" s="8" t="s">
        <v>29</v>
      </c>
      <c r="E532" s="8" t="s">
        <v>1078</v>
      </c>
      <c r="F532" s="10" t="s">
        <v>1079</v>
      </c>
      <c r="G532" s="10" t="s">
        <v>42</v>
      </c>
      <c r="H532" s="10" t="s">
        <v>115</v>
      </c>
      <c r="I532" s="10" t="s">
        <v>116</v>
      </c>
      <c r="J532" s="10" t="s">
        <v>54</v>
      </c>
      <c r="K532" s="10" t="s">
        <v>35</v>
      </c>
      <c r="L532" s="10" t="s">
        <v>166</v>
      </c>
      <c r="M532" s="10" t="s">
        <v>1080</v>
      </c>
      <c r="N532" s="11">
        <v>348.24</v>
      </c>
      <c r="O532" s="12">
        <v>6</v>
      </c>
      <c r="P532" s="13">
        <v>0.5</v>
      </c>
      <c r="Q532" s="19">
        <v>-126.89</v>
      </c>
      <c r="R532" s="45" t="str">
        <f t="shared" si="32"/>
        <v>OK</v>
      </c>
      <c r="S532" s="45">
        <f t="shared" si="33"/>
        <v>647.38714285714286</v>
      </c>
      <c r="T532" s="45">
        <f t="shared" si="34"/>
        <v>7</v>
      </c>
      <c r="U532" s="45">
        <f t="shared" si="35"/>
        <v>4531.71</v>
      </c>
    </row>
    <row r="533" spans="1:21" x14ac:dyDescent="0.3">
      <c r="A533" s="17" t="s">
        <v>419</v>
      </c>
      <c r="B533" s="32">
        <v>45001</v>
      </c>
      <c r="C533" s="32">
        <v>45006</v>
      </c>
      <c r="D533" s="8" t="s">
        <v>29</v>
      </c>
      <c r="E533" s="8" t="s">
        <v>420</v>
      </c>
      <c r="F533" s="10" t="s">
        <v>421</v>
      </c>
      <c r="G533" s="10" t="s">
        <v>51</v>
      </c>
      <c r="H533" s="10" t="s">
        <v>422</v>
      </c>
      <c r="I533" s="10" t="s">
        <v>423</v>
      </c>
      <c r="J533" s="10" t="s">
        <v>88</v>
      </c>
      <c r="K533" s="10" t="s">
        <v>45</v>
      </c>
      <c r="L533" s="10" t="s">
        <v>46</v>
      </c>
      <c r="M533" s="10" t="s">
        <v>424</v>
      </c>
      <c r="N533" s="11">
        <v>1296.24</v>
      </c>
      <c r="O533" s="12">
        <v>8</v>
      </c>
      <c r="P533" s="13">
        <v>0</v>
      </c>
      <c r="Q533" s="19">
        <v>394.33</v>
      </c>
      <c r="R533" s="45" t="str">
        <f t="shared" si="32"/>
        <v>OK</v>
      </c>
      <c r="S533" s="45">
        <f t="shared" si="33"/>
        <v>647.38714285714286</v>
      </c>
      <c r="T533" s="45">
        <f t="shared" si="34"/>
        <v>7</v>
      </c>
      <c r="U533" s="45">
        <f t="shared" si="35"/>
        <v>4531.71</v>
      </c>
    </row>
    <row r="534" spans="1:21" x14ac:dyDescent="0.3">
      <c r="A534" s="16" t="s">
        <v>2148</v>
      </c>
      <c r="B534" s="31">
        <v>45001</v>
      </c>
      <c r="C534" s="31">
        <v>45002</v>
      </c>
      <c r="D534" s="2" t="s">
        <v>18</v>
      </c>
      <c r="E534" s="2" t="s">
        <v>678</v>
      </c>
      <c r="F534" s="4" t="s">
        <v>679</v>
      </c>
      <c r="G534" s="4" t="s">
        <v>51</v>
      </c>
      <c r="H534" s="4" t="s">
        <v>122</v>
      </c>
      <c r="I534" s="4" t="s">
        <v>123</v>
      </c>
      <c r="J534" s="4" t="s">
        <v>24</v>
      </c>
      <c r="K534" s="4" t="s">
        <v>25</v>
      </c>
      <c r="L534" s="4" t="s">
        <v>26</v>
      </c>
      <c r="M534" s="4" t="s">
        <v>161</v>
      </c>
      <c r="N534" s="5">
        <v>6517.52</v>
      </c>
      <c r="O534" s="6">
        <v>5</v>
      </c>
      <c r="P534" s="7">
        <v>0.05</v>
      </c>
      <c r="Q534" s="18">
        <v>1472.64</v>
      </c>
      <c r="R534" s="45" t="str">
        <f t="shared" si="32"/>
        <v>OK</v>
      </c>
      <c r="S534" s="45">
        <f t="shared" si="33"/>
        <v>647.38714285714286</v>
      </c>
      <c r="T534" s="45">
        <f t="shared" si="34"/>
        <v>7</v>
      </c>
      <c r="U534" s="45">
        <f t="shared" si="35"/>
        <v>4531.71</v>
      </c>
    </row>
    <row r="535" spans="1:21" x14ac:dyDescent="0.3">
      <c r="A535" s="17" t="s">
        <v>2364</v>
      </c>
      <c r="B535" s="32">
        <v>45001</v>
      </c>
      <c r="C535" s="32">
        <v>45003</v>
      </c>
      <c r="D535" s="8" t="s">
        <v>39</v>
      </c>
      <c r="E535" s="8" t="s">
        <v>537</v>
      </c>
      <c r="F535" s="10" t="s">
        <v>538</v>
      </c>
      <c r="G535" s="10" t="s">
        <v>42</v>
      </c>
      <c r="H535" s="10" t="s">
        <v>115</v>
      </c>
      <c r="I535" s="10" t="s">
        <v>116</v>
      </c>
      <c r="J535" s="10" t="s">
        <v>54</v>
      </c>
      <c r="K535" s="10" t="s">
        <v>25</v>
      </c>
      <c r="L535" s="10" t="s">
        <v>74</v>
      </c>
      <c r="M535" s="10" t="s">
        <v>2365</v>
      </c>
      <c r="N535" s="11">
        <v>2635.61</v>
      </c>
      <c r="O535" s="12">
        <v>4</v>
      </c>
      <c r="P535" s="13">
        <v>0.15</v>
      </c>
      <c r="Q535" s="19">
        <v>774.65</v>
      </c>
      <c r="R535" s="45" t="str">
        <f t="shared" si="32"/>
        <v>OK</v>
      </c>
      <c r="S535" s="45">
        <f t="shared" si="33"/>
        <v>647.38714285714286</v>
      </c>
      <c r="T535" s="45">
        <f t="shared" si="34"/>
        <v>7</v>
      </c>
      <c r="U535" s="45">
        <f t="shared" si="35"/>
        <v>4531.71</v>
      </c>
    </row>
    <row r="536" spans="1:21" x14ac:dyDescent="0.3">
      <c r="A536" s="16" t="s">
        <v>2431</v>
      </c>
      <c r="B536" s="31">
        <v>45001</v>
      </c>
      <c r="C536" s="31">
        <v>45004</v>
      </c>
      <c r="D536" s="2" t="s">
        <v>39</v>
      </c>
      <c r="E536" s="2" t="s">
        <v>84</v>
      </c>
      <c r="F536" s="4" t="s">
        <v>85</v>
      </c>
      <c r="G536" s="4" t="s">
        <v>21</v>
      </c>
      <c r="H536" s="4" t="s">
        <v>86</v>
      </c>
      <c r="I536" s="4" t="s">
        <v>87</v>
      </c>
      <c r="J536" s="4" t="s">
        <v>88</v>
      </c>
      <c r="K536" s="4" t="s">
        <v>25</v>
      </c>
      <c r="L536" s="4" t="s">
        <v>124</v>
      </c>
      <c r="M536" s="4" t="s">
        <v>2432</v>
      </c>
      <c r="N536" s="5">
        <v>4998.25</v>
      </c>
      <c r="O536" s="6">
        <v>5</v>
      </c>
      <c r="P536" s="7">
        <v>0.15</v>
      </c>
      <c r="Q536" s="18">
        <v>187.18</v>
      </c>
      <c r="R536" s="45" t="str">
        <f t="shared" si="32"/>
        <v>OK</v>
      </c>
      <c r="S536" s="45">
        <f t="shared" si="33"/>
        <v>647.38714285714286</v>
      </c>
      <c r="T536" s="45">
        <f t="shared" si="34"/>
        <v>7</v>
      </c>
      <c r="U536" s="45">
        <f t="shared" si="35"/>
        <v>4531.71</v>
      </c>
    </row>
    <row r="537" spans="1:21" x14ac:dyDescent="0.3">
      <c r="A537" s="16" t="s">
        <v>2397</v>
      </c>
      <c r="B537" s="31">
        <v>45002</v>
      </c>
      <c r="C537" s="31">
        <v>45009</v>
      </c>
      <c r="D537" s="2" t="s">
        <v>29</v>
      </c>
      <c r="E537" s="2" t="s">
        <v>618</v>
      </c>
      <c r="F537" s="4" t="s">
        <v>619</v>
      </c>
      <c r="G537" s="4" t="s">
        <v>42</v>
      </c>
      <c r="H537" s="4" t="s">
        <v>260</v>
      </c>
      <c r="I537" s="4" t="s">
        <v>151</v>
      </c>
      <c r="J537" s="4" t="s">
        <v>34</v>
      </c>
      <c r="K537" s="4" t="s">
        <v>35</v>
      </c>
      <c r="L537" s="4" t="s">
        <v>81</v>
      </c>
      <c r="M537" s="4" t="s">
        <v>2398</v>
      </c>
      <c r="N537" s="5">
        <v>116.77</v>
      </c>
      <c r="O537" s="6">
        <v>7</v>
      </c>
      <c r="P537" s="7">
        <v>0.05</v>
      </c>
      <c r="Q537" s="18">
        <v>53.02</v>
      </c>
      <c r="R537" s="45" t="str">
        <f t="shared" si="32"/>
        <v>OK</v>
      </c>
      <c r="S537" s="45">
        <f t="shared" si="33"/>
        <v>647.38714285714286</v>
      </c>
      <c r="T537" s="45">
        <f t="shared" si="34"/>
        <v>7</v>
      </c>
      <c r="U537" s="45">
        <f t="shared" si="35"/>
        <v>4531.71</v>
      </c>
    </row>
    <row r="538" spans="1:21" x14ac:dyDescent="0.3">
      <c r="A538" s="17" t="s">
        <v>231</v>
      </c>
      <c r="B538" s="32">
        <v>45004</v>
      </c>
      <c r="C538" s="32">
        <v>45011</v>
      </c>
      <c r="D538" s="8" t="s">
        <v>29</v>
      </c>
      <c r="E538" s="8" t="s">
        <v>232</v>
      </c>
      <c r="F538" s="10" t="s">
        <v>233</v>
      </c>
      <c r="G538" s="10" t="s">
        <v>21</v>
      </c>
      <c r="H538" s="10" t="s">
        <v>156</v>
      </c>
      <c r="I538" s="10" t="s">
        <v>157</v>
      </c>
      <c r="J538" s="10" t="s">
        <v>88</v>
      </c>
      <c r="K538" s="10" t="s">
        <v>25</v>
      </c>
      <c r="L538" s="10" t="s">
        <v>68</v>
      </c>
      <c r="M538" s="10" t="s">
        <v>234</v>
      </c>
      <c r="N538" s="11">
        <v>1083.1500000000001</v>
      </c>
      <c r="O538" s="12">
        <v>9</v>
      </c>
      <c r="P538" s="13">
        <v>0</v>
      </c>
      <c r="Q538" s="19">
        <v>409.48</v>
      </c>
      <c r="R538" s="45" t="str">
        <f t="shared" si="32"/>
        <v>OK</v>
      </c>
      <c r="S538" s="45">
        <f t="shared" si="33"/>
        <v>647.38714285714286</v>
      </c>
      <c r="T538" s="45">
        <f t="shared" si="34"/>
        <v>7</v>
      </c>
      <c r="U538" s="45">
        <f t="shared" si="35"/>
        <v>4531.71</v>
      </c>
    </row>
    <row r="539" spans="1:21" x14ac:dyDescent="0.3">
      <c r="A539" s="16" t="s">
        <v>1716</v>
      </c>
      <c r="B539" s="31">
        <v>45006</v>
      </c>
      <c r="C539" s="31">
        <v>45013</v>
      </c>
      <c r="D539" s="2" t="s">
        <v>29</v>
      </c>
      <c r="E539" s="2" t="s">
        <v>1136</v>
      </c>
      <c r="F539" s="4" t="s">
        <v>1137</v>
      </c>
      <c r="G539" s="4" t="s">
        <v>51</v>
      </c>
      <c r="H539" s="4" t="s">
        <v>386</v>
      </c>
      <c r="I539" s="4" t="s">
        <v>347</v>
      </c>
      <c r="J539" s="4" t="s">
        <v>88</v>
      </c>
      <c r="K539" s="4" t="s">
        <v>35</v>
      </c>
      <c r="L539" s="4" t="s">
        <v>158</v>
      </c>
      <c r="M539" s="4" t="s">
        <v>1717</v>
      </c>
      <c r="N539" s="5">
        <v>394.6</v>
      </c>
      <c r="O539" s="6">
        <v>10</v>
      </c>
      <c r="P539" s="7">
        <v>0.5</v>
      </c>
      <c r="Q539" s="18">
        <v>-59.62</v>
      </c>
      <c r="R539" s="45" t="str">
        <f t="shared" si="32"/>
        <v>OK</v>
      </c>
      <c r="S539" s="45">
        <f t="shared" si="33"/>
        <v>647.38714285714286</v>
      </c>
      <c r="T539" s="45">
        <f t="shared" si="34"/>
        <v>7</v>
      </c>
      <c r="U539" s="45">
        <f t="shared" si="35"/>
        <v>4531.71</v>
      </c>
    </row>
    <row r="540" spans="1:21" x14ac:dyDescent="0.3">
      <c r="A540" s="17" t="s">
        <v>1718</v>
      </c>
      <c r="B540" s="32">
        <v>45007</v>
      </c>
      <c r="C540" s="32">
        <v>45011</v>
      </c>
      <c r="D540" s="8" t="s">
        <v>39</v>
      </c>
      <c r="E540" s="8" t="s">
        <v>244</v>
      </c>
      <c r="F540" s="10" t="s">
        <v>245</v>
      </c>
      <c r="G540" s="10" t="s">
        <v>42</v>
      </c>
      <c r="H540" s="10" t="s">
        <v>79</v>
      </c>
      <c r="I540" s="10" t="s">
        <v>80</v>
      </c>
      <c r="J540" s="10" t="s">
        <v>54</v>
      </c>
      <c r="K540" s="10" t="s">
        <v>35</v>
      </c>
      <c r="L540" s="10" t="s">
        <v>216</v>
      </c>
      <c r="M540" s="10" t="s">
        <v>1719</v>
      </c>
      <c r="N540" s="11">
        <v>134.96</v>
      </c>
      <c r="O540" s="12">
        <v>10</v>
      </c>
      <c r="P540" s="13">
        <v>0.2</v>
      </c>
      <c r="Q540" s="19">
        <v>41.53</v>
      </c>
      <c r="R540" s="45" t="str">
        <f t="shared" si="32"/>
        <v>OK</v>
      </c>
      <c r="S540" s="45">
        <f t="shared" si="33"/>
        <v>647.38714285714286</v>
      </c>
      <c r="T540" s="45">
        <f t="shared" si="34"/>
        <v>7</v>
      </c>
      <c r="U540" s="45">
        <f t="shared" si="35"/>
        <v>4531.71</v>
      </c>
    </row>
    <row r="541" spans="1:21" x14ac:dyDescent="0.3">
      <c r="A541" s="16" t="s">
        <v>869</v>
      </c>
      <c r="B541" s="31">
        <v>45010</v>
      </c>
      <c r="C541" s="31">
        <v>45015</v>
      </c>
      <c r="D541" s="2" t="s">
        <v>29</v>
      </c>
      <c r="E541" s="2" t="s">
        <v>809</v>
      </c>
      <c r="F541" s="4" t="s">
        <v>810</v>
      </c>
      <c r="G541" s="4" t="s">
        <v>42</v>
      </c>
      <c r="H541" s="4" t="s">
        <v>352</v>
      </c>
      <c r="I541" s="4" t="s">
        <v>306</v>
      </c>
      <c r="J541" s="4" t="s">
        <v>34</v>
      </c>
      <c r="K541" s="4" t="s">
        <v>35</v>
      </c>
      <c r="L541" s="4" t="s">
        <v>229</v>
      </c>
      <c r="M541" s="4" t="s">
        <v>870</v>
      </c>
      <c r="N541" s="5">
        <v>15.45</v>
      </c>
      <c r="O541" s="6">
        <v>5</v>
      </c>
      <c r="P541" s="7">
        <v>0.4</v>
      </c>
      <c r="Q541" s="18">
        <v>0.72</v>
      </c>
      <c r="R541" s="45" t="str">
        <f t="shared" si="32"/>
        <v>OK</v>
      </c>
      <c r="S541" s="45">
        <f t="shared" si="33"/>
        <v>647.38714285714286</v>
      </c>
      <c r="T541" s="45">
        <f t="shared" si="34"/>
        <v>7</v>
      </c>
      <c r="U541" s="45">
        <f t="shared" si="35"/>
        <v>4531.71</v>
      </c>
    </row>
    <row r="542" spans="1:21" x14ac:dyDescent="0.3">
      <c r="A542" s="17" t="s">
        <v>1967</v>
      </c>
      <c r="B542" s="32">
        <v>45010</v>
      </c>
      <c r="C542" s="32">
        <v>45013</v>
      </c>
      <c r="D542" s="8" t="s">
        <v>39</v>
      </c>
      <c r="E542" s="8" t="s">
        <v>376</v>
      </c>
      <c r="F542" s="10" t="s">
        <v>377</v>
      </c>
      <c r="G542" s="10" t="s">
        <v>42</v>
      </c>
      <c r="H542" s="10" t="s">
        <v>122</v>
      </c>
      <c r="I542" s="10" t="s">
        <v>123</v>
      </c>
      <c r="J542" s="10" t="s">
        <v>24</v>
      </c>
      <c r="K542" s="10" t="s">
        <v>35</v>
      </c>
      <c r="L542" s="10" t="s">
        <v>110</v>
      </c>
      <c r="M542" s="10" t="s">
        <v>1968</v>
      </c>
      <c r="N542" s="11">
        <v>73.22</v>
      </c>
      <c r="O542" s="12">
        <v>2</v>
      </c>
      <c r="P542" s="13">
        <v>0</v>
      </c>
      <c r="Q542" s="19">
        <v>34.26</v>
      </c>
      <c r="R542" s="45" t="str">
        <f t="shared" si="32"/>
        <v>OK</v>
      </c>
      <c r="S542" s="45">
        <f t="shared" si="33"/>
        <v>647.38714285714286</v>
      </c>
      <c r="T542" s="45">
        <f t="shared" si="34"/>
        <v>7</v>
      </c>
      <c r="U542" s="45">
        <f t="shared" si="35"/>
        <v>4531.71</v>
      </c>
    </row>
    <row r="543" spans="1:21" x14ac:dyDescent="0.3">
      <c r="A543" s="17" t="s">
        <v>939</v>
      </c>
      <c r="B543" s="32">
        <v>45017</v>
      </c>
      <c r="C543" s="32">
        <v>45021</v>
      </c>
      <c r="D543" s="8" t="s">
        <v>39</v>
      </c>
      <c r="E543" s="8" t="s">
        <v>785</v>
      </c>
      <c r="F543" s="10" t="s">
        <v>786</v>
      </c>
      <c r="G543" s="10" t="s">
        <v>51</v>
      </c>
      <c r="H543" s="10" t="s">
        <v>422</v>
      </c>
      <c r="I543" s="10" t="s">
        <v>423</v>
      </c>
      <c r="J543" s="10" t="s">
        <v>88</v>
      </c>
      <c r="K543" s="10" t="s">
        <v>45</v>
      </c>
      <c r="L543" s="10" t="s">
        <v>46</v>
      </c>
      <c r="M543" s="10" t="s">
        <v>940</v>
      </c>
      <c r="N543" s="11">
        <v>354.44</v>
      </c>
      <c r="O543" s="12">
        <v>4</v>
      </c>
      <c r="P543" s="13">
        <v>0</v>
      </c>
      <c r="Q543" s="19">
        <v>141.16999999999999</v>
      </c>
      <c r="R543" s="45" t="str">
        <f t="shared" si="32"/>
        <v>OK</v>
      </c>
      <c r="S543" s="45">
        <f t="shared" si="33"/>
        <v>647.38714285714286</v>
      </c>
      <c r="T543" s="45">
        <f t="shared" si="34"/>
        <v>7</v>
      </c>
      <c r="U543" s="45">
        <f t="shared" si="35"/>
        <v>4531.71</v>
      </c>
    </row>
    <row r="544" spans="1:21" x14ac:dyDescent="0.3">
      <c r="A544" s="17" t="s">
        <v>2042</v>
      </c>
      <c r="B544" s="32">
        <v>45017</v>
      </c>
      <c r="C544" s="32">
        <v>45021</v>
      </c>
      <c r="D544" s="8" t="s">
        <v>39</v>
      </c>
      <c r="E544" s="8" t="s">
        <v>890</v>
      </c>
      <c r="F544" s="10"/>
      <c r="G544" s="10" t="s">
        <v>42</v>
      </c>
      <c r="H544" s="10" t="s">
        <v>22</v>
      </c>
      <c r="I544" s="10" t="s">
        <v>23</v>
      </c>
      <c r="J544" s="10" t="s">
        <v>24</v>
      </c>
      <c r="K544" s="10" t="s">
        <v>45</v>
      </c>
      <c r="L544" s="10" t="s">
        <v>117</v>
      </c>
      <c r="M544" s="10" t="s">
        <v>2043</v>
      </c>
      <c r="N544" s="11">
        <v>886.89</v>
      </c>
      <c r="O544" s="12">
        <v>3</v>
      </c>
      <c r="P544" s="13">
        <v>0</v>
      </c>
      <c r="Q544" s="19">
        <v>288.85000000000002</v>
      </c>
      <c r="R544" s="45" t="str">
        <f t="shared" si="32"/>
        <v>OK</v>
      </c>
      <c r="S544" s="45">
        <f t="shared" si="33"/>
        <v>647.38714285714286</v>
      </c>
      <c r="T544" s="45">
        <f t="shared" si="34"/>
        <v>7</v>
      </c>
      <c r="U544" s="45">
        <f t="shared" si="35"/>
        <v>4531.71</v>
      </c>
    </row>
    <row r="545" spans="1:21" x14ac:dyDescent="0.3">
      <c r="A545" s="17" t="s">
        <v>1690</v>
      </c>
      <c r="B545" s="32">
        <v>45018</v>
      </c>
      <c r="C545" s="32">
        <v>45023</v>
      </c>
      <c r="D545" s="8" t="s">
        <v>29</v>
      </c>
      <c r="E545" s="8" t="s">
        <v>1148</v>
      </c>
      <c r="F545" s="10" t="s">
        <v>1149</v>
      </c>
      <c r="G545" s="10" t="s">
        <v>51</v>
      </c>
      <c r="H545" s="10" t="s">
        <v>150</v>
      </c>
      <c r="I545" s="10" t="s">
        <v>151</v>
      </c>
      <c r="J545" s="10" t="s">
        <v>34</v>
      </c>
      <c r="K545" s="10" t="s">
        <v>25</v>
      </c>
      <c r="L545" s="10" t="s">
        <v>74</v>
      </c>
      <c r="M545" s="10" t="s">
        <v>1691</v>
      </c>
      <c r="N545" s="11">
        <v>3253.88</v>
      </c>
      <c r="O545" s="12">
        <v>8</v>
      </c>
      <c r="P545" s="13">
        <v>0.3</v>
      </c>
      <c r="Q545" s="19">
        <v>544.16999999999996</v>
      </c>
      <c r="R545" s="45" t="str">
        <f t="shared" si="32"/>
        <v>OK</v>
      </c>
      <c r="S545" s="45">
        <f t="shared" si="33"/>
        <v>647.38714285714286</v>
      </c>
      <c r="T545" s="45">
        <f t="shared" si="34"/>
        <v>7</v>
      </c>
      <c r="U545" s="45">
        <f t="shared" si="35"/>
        <v>4531.71</v>
      </c>
    </row>
    <row r="546" spans="1:21" x14ac:dyDescent="0.3">
      <c r="A546" s="16" t="s">
        <v>2181</v>
      </c>
      <c r="B546" s="31">
        <v>45020</v>
      </c>
      <c r="C546" s="31">
        <v>45027</v>
      </c>
      <c r="D546" s="2" t="s">
        <v>29</v>
      </c>
      <c r="E546" s="2" t="s">
        <v>410</v>
      </c>
      <c r="F546" s="4" t="s">
        <v>411</v>
      </c>
      <c r="G546" s="4" t="s">
        <v>42</v>
      </c>
      <c r="H546" s="4" t="s">
        <v>412</v>
      </c>
      <c r="I546" s="4" t="s">
        <v>178</v>
      </c>
      <c r="J546" s="4" t="s">
        <v>24</v>
      </c>
      <c r="K546" s="4" t="s">
        <v>35</v>
      </c>
      <c r="L546" s="4" t="s">
        <v>166</v>
      </c>
      <c r="M546" s="4" t="s">
        <v>2182</v>
      </c>
      <c r="N546" s="5">
        <v>273.24</v>
      </c>
      <c r="O546" s="6">
        <v>9</v>
      </c>
      <c r="P546" s="7">
        <v>0.2</v>
      </c>
      <c r="Q546" s="18">
        <v>38.33</v>
      </c>
      <c r="R546" s="45" t="str">
        <f t="shared" si="32"/>
        <v>OK</v>
      </c>
      <c r="S546" s="45">
        <f t="shared" si="33"/>
        <v>647.38714285714286</v>
      </c>
      <c r="T546" s="45">
        <f t="shared" si="34"/>
        <v>7</v>
      </c>
      <c r="U546" s="45">
        <f t="shared" si="35"/>
        <v>4531.71</v>
      </c>
    </row>
    <row r="547" spans="1:21" x14ac:dyDescent="0.3">
      <c r="A547" s="17" t="s">
        <v>760</v>
      </c>
      <c r="B547" s="32">
        <v>45027</v>
      </c>
      <c r="C547" s="32">
        <v>45034</v>
      </c>
      <c r="D547" s="8" t="s">
        <v>29</v>
      </c>
      <c r="E547" s="8" t="s">
        <v>723</v>
      </c>
      <c r="F547" s="10" t="s">
        <v>724</v>
      </c>
      <c r="G547" s="10" t="s">
        <v>21</v>
      </c>
      <c r="H547" s="10" t="s">
        <v>98</v>
      </c>
      <c r="I547" s="10" t="s">
        <v>80</v>
      </c>
      <c r="J547" s="10" t="s">
        <v>54</v>
      </c>
      <c r="K547" s="10" t="s">
        <v>25</v>
      </c>
      <c r="L547" s="10" t="s">
        <v>124</v>
      </c>
      <c r="M547" s="10" t="s">
        <v>761</v>
      </c>
      <c r="N547" s="11">
        <v>11203.54</v>
      </c>
      <c r="O547" s="12">
        <v>9</v>
      </c>
      <c r="P547" s="13">
        <v>0.4</v>
      </c>
      <c r="Q547" s="19">
        <v>-3392.08</v>
      </c>
      <c r="R547" s="45" t="str">
        <f t="shared" si="32"/>
        <v>OK</v>
      </c>
      <c r="S547" s="45">
        <f t="shared" si="33"/>
        <v>647.38714285714286</v>
      </c>
      <c r="T547" s="45">
        <f t="shared" si="34"/>
        <v>7</v>
      </c>
      <c r="U547" s="45">
        <f t="shared" si="35"/>
        <v>4531.71</v>
      </c>
    </row>
    <row r="548" spans="1:21" x14ac:dyDescent="0.3">
      <c r="A548" s="16" t="s">
        <v>2442</v>
      </c>
      <c r="B548" s="31">
        <v>45027</v>
      </c>
      <c r="C548" s="31">
        <v>45031</v>
      </c>
      <c r="D548" s="2" t="s">
        <v>73</v>
      </c>
      <c r="E548" s="2" t="s">
        <v>618</v>
      </c>
      <c r="F548" s="4" t="s">
        <v>619</v>
      </c>
      <c r="G548" s="4" t="s">
        <v>42</v>
      </c>
      <c r="H548" s="4" t="s">
        <v>260</v>
      </c>
      <c r="I548" s="4" t="s">
        <v>151</v>
      </c>
      <c r="J548" s="4" t="s">
        <v>34</v>
      </c>
      <c r="K548" s="4" t="s">
        <v>25</v>
      </c>
      <c r="L548" s="4" t="s">
        <v>68</v>
      </c>
      <c r="M548" s="4" t="s">
        <v>2443</v>
      </c>
      <c r="N548" s="5">
        <v>1564.16</v>
      </c>
      <c r="O548" s="6">
        <v>8</v>
      </c>
      <c r="P548" s="7">
        <v>0</v>
      </c>
      <c r="Q548" s="18">
        <v>532.01</v>
      </c>
      <c r="R548" s="45" t="str">
        <f t="shared" si="32"/>
        <v>OK</v>
      </c>
      <c r="S548" s="45">
        <f t="shared" si="33"/>
        <v>647.38714285714286</v>
      </c>
      <c r="T548" s="45">
        <f t="shared" si="34"/>
        <v>7</v>
      </c>
      <c r="U548" s="45">
        <f t="shared" si="35"/>
        <v>4531.71</v>
      </c>
    </row>
    <row r="549" spans="1:21" x14ac:dyDescent="0.3">
      <c r="A549" s="16" t="s">
        <v>1830</v>
      </c>
      <c r="B549" s="31">
        <v>45030</v>
      </c>
      <c r="C549" s="31">
        <v>45034</v>
      </c>
      <c r="D549" s="2" t="s">
        <v>39</v>
      </c>
      <c r="E549" s="2" t="s">
        <v>592</v>
      </c>
      <c r="F549" s="4" t="s">
        <v>593</v>
      </c>
      <c r="G549" s="4" t="s">
        <v>21</v>
      </c>
      <c r="H549" s="4" t="s">
        <v>207</v>
      </c>
      <c r="I549" s="4" t="s">
        <v>60</v>
      </c>
      <c r="J549" s="4" t="s">
        <v>54</v>
      </c>
      <c r="K549" s="4" t="s">
        <v>45</v>
      </c>
      <c r="L549" s="4" t="s">
        <v>46</v>
      </c>
      <c r="M549" s="4" t="s">
        <v>1831</v>
      </c>
      <c r="N549" s="5">
        <v>1530.05</v>
      </c>
      <c r="O549" s="6">
        <v>5</v>
      </c>
      <c r="P549" s="7">
        <v>0</v>
      </c>
      <c r="Q549" s="18">
        <v>437.45</v>
      </c>
      <c r="R549" s="45" t="str">
        <f t="shared" si="32"/>
        <v>OK</v>
      </c>
      <c r="S549" s="45">
        <f t="shared" si="33"/>
        <v>647.38714285714286</v>
      </c>
      <c r="T549" s="45">
        <f t="shared" si="34"/>
        <v>7</v>
      </c>
      <c r="U549" s="45">
        <f t="shared" si="35"/>
        <v>4531.71</v>
      </c>
    </row>
    <row r="550" spans="1:21" x14ac:dyDescent="0.3">
      <c r="A550" s="16" t="s">
        <v>2024</v>
      </c>
      <c r="B550" s="31">
        <v>45030</v>
      </c>
      <c r="C550" s="31">
        <v>45032</v>
      </c>
      <c r="D550" s="2" t="s">
        <v>39</v>
      </c>
      <c r="E550" s="2" t="s">
        <v>350</v>
      </c>
      <c r="F550" s="4" t="s">
        <v>351</v>
      </c>
      <c r="G550" s="4" t="s">
        <v>42</v>
      </c>
      <c r="H550" s="4" t="s">
        <v>352</v>
      </c>
      <c r="I550" s="4" t="s">
        <v>306</v>
      </c>
      <c r="J550" s="4" t="s">
        <v>34</v>
      </c>
      <c r="K550" s="4" t="s">
        <v>25</v>
      </c>
      <c r="L550" s="4" t="s">
        <v>68</v>
      </c>
      <c r="M550" s="4" t="s">
        <v>2025</v>
      </c>
      <c r="N550" s="5">
        <v>826.7</v>
      </c>
      <c r="O550" s="6">
        <v>6</v>
      </c>
      <c r="P550" s="7">
        <v>0.2</v>
      </c>
      <c r="Q550" s="18">
        <v>149.74</v>
      </c>
      <c r="R550" s="45" t="str">
        <f t="shared" si="32"/>
        <v>OK</v>
      </c>
      <c r="S550" s="45">
        <f t="shared" si="33"/>
        <v>647.38714285714286</v>
      </c>
      <c r="T550" s="45">
        <f t="shared" si="34"/>
        <v>7</v>
      </c>
      <c r="U550" s="45">
        <f t="shared" si="35"/>
        <v>4531.71</v>
      </c>
    </row>
    <row r="551" spans="1:21" x14ac:dyDescent="0.3">
      <c r="A551" s="16" t="s">
        <v>70</v>
      </c>
      <c r="B551" s="31">
        <v>45033</v>
      </c>
      <c r="C551" s="31">
        <v>45036</v>
      </c>
      <c r="D551" s="2" t="s">
        <v>39</v>
      </c>
      <c r="E551" s="2" t="s">
        <v>64</v>
      </c>
      <c r="F551" s="4" t="s">
        <v>65</v>
      </c>
      <c r="G551" s="4" t="s">
        <v>51</v>
      </c>
      <c r="H551" s="4" t="s">
        <v>66</v>
      </c>
      <c r="I551" s="4" t="s">
        <v>67</v>
      </c>
      <c r="J551" s="4" t="s">
        <v>34</v>
      </c>
      <c r="K551" s="4" t="s">
        <v>25</v>
      </c>
      <c r="L551" s="4" t="s">
        <v>26</v>
      </c>
      <c r="M551" s="4" t="s">
        <v>71</v>
      </c>
      <c r="N551" s="5">
        <v>6078.56</v>
      </c>
      <c r="O551" s="6">
        <v>9</v>
      </c>
      <c r="P551" s="7">
        <v>0.1</v>
      </c>
      <c r="Q551" s="18">
        <v>435.41</v>
      </c>
      <c r="R551" s="45" t="str">
        <f t="shared" si="32"/>
        <v>OK</v>
      </c>
      <c r="S551" s="45">
        <f t="shared" si="33"/>
        <v>647.38714285714286</v>
      </c>
      <c r="T551" s="45">
        <f t="shared" si="34"/>
        <v>7</v>
      </c>
      <c r="U551" s="45">
        <f t="shared" si="35"/>
        <v>4531.71</v>
      </c>
    </row>
    <row r="552" spans="1:21" x14ac:dyDescent="0.3">
      <c r="A552" s="17" t="s">
        <v>1218</v>
      </c>
      <c r="B552" s="32">
        <v>45035</v>
      </c>
      <c r="C552" s="32">
        <v>45040</v>
      </c>
      <c r="D552" s="8" t="s">
        <v>29</v>
      </c>
      <c r="E552" s="8" t="s">
        <v>1219</v>
      </c>
      <c r="F552" s="10" t="s">
        <v>1220</v>
      </c>
      <c r="G552" s="10" t="s">
        <v>21</v>
      </c>
      <c r="H552" s="10" t="s">
        <v>438</v>
      </c>
      <c r="I552" s="10" t="s">
        <v>157</v>
      </c>
      <c r="J552" s="10" t="s">
        <v>88</v>
      </c>
      <c r="K552" s="10" t="s">
        <v>45</v>
      </c>
      <c r="L552" s="10" t="s">
        <v>46</v>
      </c>
      <c r="M552" s="10" t="s">
        <v>1221</v>
      </c>
      <c r="N552" s="11">
        <v>1452.91</v>
      </c>
      <c r="O552" s="12">
        <v>8</v>
      </c>
      <c r="P552" s="13">
        <v>0.4</v>
      </c>
      <c r="Q552" s="19">
        <v>-86.52</v>
      </c>
      <c r="R552" s="45" t="str">
        <f t="shared" si="32"/>
        <v>OK</v>
      </c>
      <c r="S552" s="45">
        <f t="shared" si="33"/>
        <v>647.38714285714286</v>
      </c>
      <c r="T552" s="45">
        <f t="shared" si="34"/>
        <v>7</v>
      </c>
      <c r="U552" s="45">
        <f t="shared" si="35"/>
        <v>4531.71</v>
      </c>
    </row>
    <row r="553" spans="1:21" x14ac:dyDescent="0.3">
      <c r="A553" s="16" t="s">
        <v>2468</v>
      </c>
      <c r="B553" s="31">
        <v>45035</v>
      </c>
      <c r="C553" s="31">
        <v>45041</v>
      </c>
      <c r="D553" s="2" t="s">
        <v>29</v>
      </c>
      <c r="E553" s="2" t="s">
        <v>364</v>
      </c>
      <c r="F553" s="4" t="s">
        <v>365</v>
      </c>
      <c r="G553" s="4" t="s">
        <v>42</v>
      </c>
      <c r="H553" s="4" t="s">
        <v>193</v>
      </c>
      <c r="I553" s="4" t="s">
        <v>194</v>
      </c>
      <c r="J553" s="4" t="s">
        <v>34</v>
      </c>
      <c r="K553" s="4" t="s">
        <v>25</v>
      </c>
      <c r="L553" s="4" t="s">
        <v>68</v>
      </c>
      <c r="M553" s="4" t="s">
        <v>2469</v>
      </c>
      <c r="N553" s="5">
        <v>39.270000000000003</v>
      </c>
      <c r="O553" s="6">
        <v>3</v>
      </c>
      <c r="P553" s="7">
        <v>0.3</v>
      </c>
      <c r="Q553" s="18">
        <v>8.84</v>
      </c>
      <c r="R553" s="45" t="str">
        <f t="shared" si="32"/>
        <v>OK</v>
      </c>
      <c r="S553" s="45">
        <f t="shared" si="33"/>
        <v>647.38714285714286</v>
      </c>
      <c r="T553" s="45">
        <f t="shared" si="34"/>
        <v>7</v>
      </c>
      <c r="U553" s="45">
        <f t="shared" si="35"/>
        <v>4531.71</v>
      </c>
    </row>
    <row r="554" spans="1:21" x14ac:dyDescent="0.3">
      <c r="A554" s="16" t="s">
        <v>2260</v>
      </c>
      <c r="B554" s="31">
        <v>45036</v>
      </c>
      <c r="C554" s="31">
        <v>45041</v>
      </c>
      <c r="D554" s="2" t="s">
        <v>29</v>
      </c>
      <c r="E554" s="2" t="s">
        <v>400</v>
      </c>
      <c r="F554" s="4" t="s">
        <v>401</v>
      </c>
      <c r="G554" s="4" t="s">
        <v>21</v>
      </c>
      <c r="H554" s="4" t="s">
        <v>129</v>
      </c>
      <c r="I554" s="4" t="s">
        <v>33</v>
      </c>
      <c r="J554" s="4" t="s">
        <v>34</v>
      </c>
      <c r="K554" s="4" t="s">
        <v>35</v>
      </c>
      <c r="L554" s="4" t="s">
        <v>81</v>
      </c>
      <c r="M554" s="4" t="s">
        <v>2261</v>
      </c>
      <c r="N554" s="5">
        <v>192.46</v>
      </c>
      <c r="O554" s="6">
        <v>9</v>
      </c>
      <c r="P554" s="7">
        <v>0.05</v>
      </c>
      <c r="Q554" s="18">
        <v>102.49</v>
      </c>
      <c r="R554" s="45" t="str">
        <f t="shared" si="32"/>
        <v>OK</v>
      </c>
      <c r="S554" s="45">
        <f t="shared" si="33"/>
        <v>647.38714285714286</v>
      </c>
      <c r="T554" s="45">
        <f t="shared" si="34"/>
        <v>7</v>
      </c>
      <c r="U554" s="45">
        <f t="shared" si="35"/>
        <v>4531.71</v>
      </c>
    </row>
    <row r="555" spans="1:21" x14ac:dyDescent="0.3">
      <c r="A555" s="16" t="s">
        <v>923</v>
      </c>
      <c r="B555" s="31">
        <v>45038</v>
      </c>
      <c r="C555" s="31">
        <v>45043</v>
      </c>
      <c r="D555" s="2" t="s">
        <v>73</v>
      </c>
      <c r="E555" s="2" t="s">
        <v>924</v>
      </c>
      <c r="F555" s="4" t="s">
        <v>925</v>
      </c>
      <c r="G555" s="4" t="s">
        <v>42</v>
      </c>
      <c r="H555" s="4" t="s">
        <v>79</v>
      </c>
      <c r="I555" s="4" t="s">
        <v>80</v>
      </c>
      <c r="J555" s="4" t="s">
        <v>54</v>
      </c>
      <c r="K555" s="4" t="s">
        <v>45</v>
      </c>
      <c r="L555" s="4" t="s">
        <v>61</v>
      </c>
      <c r="M555" s="4" t="s">
        <v>926</v>
      </c>
      <c r="N555" s="5">
        <v>3277.23</v>
      </c>
      <c r="O555" s="6">
        <v>8</v>
      </c>
      <c r="P555" s="7">
        <v>0.3</v>
      </c>
      <c r="Q555" s="18">
        <v>-689.58</v>
      </c>
      <c r="R555" s="45" t="str">
        <f t="shared" si="32"/>
        <v>OK</v>
      </c>
      <c r="S555" s="45">
        <f t="shared" si="33"/>
        <v>647.38714285714286</v>
      </c>
      <c r="T555" s="45">
        <f t="shared" si="34"/>
        <v>7</v>
      </c>
      <c r="U555" s="45">
        <f t="shared" si="35"/>
        <v>4531.71</v>
      </c>
    </row>
    <row r="556" spans="1:21" x14ac:dyDescent="0.3">
      <c r="A556" s="17" t="s">
        <v>1008</v>
      </c>
      <c r="B556" s="32">
        <v>45039</v>
      </c>
      <c r="C556" s="32">
        <v>45045</v>
      </c>
      <c r="D556" s="8" t="s">
        <v>29</v>
      </c>
      <c r="E556" s="8" t="s">
        <v>512</v>
      </c>
      <c r="F556" s="10" t="s">
        <v>513</v>
      </c>
      <c r="G556" s="10" t="s">
        <v>21</v>
      </c>
      <c r="H556" s="10" t="s">
        <v>104</v>
      </c>
      <c r="I556" s="10" t="s">
        <v>105</v>
      </c>
      <c r="J556" s="10" t="s">
        <v>88</v>
      </c>
      <c r="K556" s="10" t="s">
        <v>25</v>
      </c>
      <c r="L556" s="10" t="s">
        <v>26</v>
      </c>
      <c r="M556" s="10" t="s">
        <v>1009</v>
      </c>
      <c r="N556" s="11">
        <v>2628.31</v>
      </c>
      <c r="O556" s="12">
        <v>2</v>
      </c>
      <c r="P556" s="13">
        <v>0.05</v>
      </c>
      <c r="Q556" s="19">
        <v>234.07</v>
      </c>
      <c r="R556" s="45" t="str">
        <f t="shared" si="32"/>
        <v>OK</v>
      </c>
      <c r="S556" s="45">
        <f t="shared" si="33"/>
        <v>647.38714285714286</v>
      </c>
      <c r="T556" s="45">
        <f t="shared" si="34"/>
        <v>7</v>
      </c>
      <c r="U556" s="45">
        <f t="shared" si="35"/>
        <v>4531.71</v>
      </c>
    </row>
    <row r="557" spans="1:21" x14ac:dyDescent="0.3">
      <c r="A557" s="17" t="s">
        <v>1575</v>
      </c>
      <c r="B557" s="32">
        <v>45041</v>
      </c>
      <c r="C557" s="32">
        <v>45046</v>
      </c>
      <c r="D557" s="8" t="s">
        <v>73</v>
      </c>
      <c r="E557" s="8" t="s">
        <v>350</v>
      </c>
      <c r="F557" s="10" t="s">
        <v>351</v>
      </c>
      <c r="G557" s="10" t="s">
        <v>42</v>
      </c>
      <c r="H557" s="10" t="s">
        <v>352</v>
      </c>
      <c r="I557" s="10" t="s">
        <v>306</v>
      </c>
      <c r="J557" s="10" t="s">
        <v>34</v>
      </c>
      <c r="K557" s="10" t="s">
        <v>45</v>
      </c>
      <c r="L557" s="10" t="s">
        <v>46</v>
      </c>
      <c r="M557" s="10" t="s">
        <v>1576</v>
      </c>
      <c r="N557" s="11">
        <v>1368.26</v>
      </c>
      <c r="O557" s="12">
        <v>2</v>
      </c>
      <c r="P557" s="13">
        <v>0</v>
      </c>
      <c r="Q557" s="19">
        <v>421.02</v>
      </c>
      <c r="R557" s="45" t="str">
        <f t="shared" si="32"/>
        <v>OK</v>
      </c>
      <c r="S557" s="45">
        <f t="shared" si="33"/>
        <v>647.38714285714286</v>
      </c>
      <c r="T557" s="45">
        <f t="shared" si="34"/>
        <v>7</v>
      </c>
      <c r="U557" s="45">
        <f t="shared" si="35"/>
        <v>4531.71</v>
      </c>
    </row>
    <row r="558" spans="1:21" x14ac:dyDescent="0.3">
      <c r="A558" s="16" t="s">
        <v>1651</v>
      </c>
      <c r="B558" s="31">
        <v>45041</v>
      </c>
      <c r="C558" s="31">
        <v>45045</v>
      </c>
      <c r="D558" s="2" t="s">
        <v>39</v>
      </c>
      <c r="E558" s="2" t="s">
        <v>813</v>
      </c>
      <c r="F558" s="4" t="s">
        <v>814</v>
      </c>
      <c r="G558" s="4" t="s">
        <v>51</v>
      </c>
      <c r="H558" s="4" t="s">
        <v>134</v>
      </c>
      <c r="I558" s="4" t="s">
        <v>87</v>
      </c>
      <c r="J558" s="4" t="s">
        <v>88</v>
      </c>
      <c r="K558" s="4" t="s">
        <v>45</v>
      </c>
      <c r="L558" s="4" t="s">
        <v>61</v>
      </c>
      <c r="M558" s="4" t="s">
        <v>1652</v>
      </c>
      <c r="N558" s="5">
        <v>2306.33</v>
      </c>
      <c r="O558" s="6">
        <v>4</v>
      </c>
      <c r="P558" s="7">
        <v>0.05</v>
      </c>
      <c r="Q558" s="18">
        <v>4.79</v>
      </c>
      <c r="R558" s="45" t="str">
        <f t="shared" si="32"/>
        <v>OK</v>
      </c>
      <c r="S558" s="45">
        <f t="shared" si="33"/>
        <v>647.38714285714286</v>
      </c>
      <c r="T558" s="45">
        <f t="shared" si="34"/>
        <v>7</v>
      </c>
      <c r="U558" s="45">
        <f t="shared" si="35"/>
        <v>4531.71</v>
      </c>
    </row>
    <row r="559" spans="1:21" x14ac:dyDescent="0.3">
      <c r="A559" s="17" t="s">
        <v>1434</v>
      </c>
      <c r="B559" s="32">
        <v>45042</v>
      </c>
      <c r="C559" s="32">
        <v>45046</v>
      </c>
      <c r="D559" s="8" t="s">
        <v>73</v>
      </c>
      <c r="E559" s="8" t="s">
        <v>1435</v>
      </c>
      <c r="F559" s="10" t="s">
        <v>1436</v>
      </c>
      <c r="G559" s="10" t="s">
        <v>21</v>
      </c>
      <c r="H559" s="10" t="s">
        <v>492</v>
      </c>
      <c r="I559" s="10" t="s">
        <v>53</v>
      </c>
      <c r="J559" s="10" t="s">
        <v>54</v>
      </c>
      <c r="K559" s="10" t="s">
        <v>25</v>
      </c>
      <c r="L559" s="10" t="s">
        <v>68</v>
      </c>
      <c r="M559" s="10" t="s">
        <v>1437</v>
      </c>
      <c r="N559" s="11">
        <v>314.5</v>
      </c>
      <c r="O559" s="12">
        <v>8</v>
      </c>
      <c r="P559" s="13">
        <v>0.15</v>
      </c>
      <c r="Q559" s="19">
        <v>97.31</v>
      </c>
      <c r="R559" s="45" t="str">
        <f t="shared" si="32"/>
        <v>OK</v>
      </c>
      <c r="S559" s="45">
        <f t="shared" si="33"/>
        <v>647.38714285714286</v>
      </c>
      <c r="T559" s="45">
        <f t="shared" si="34"/>
        <v>7</v>
      </c>
      <c r="U559" s="45">
        <f t="shared" si="35"/>
        <v>4531.71</v>
      </c>
    </row>
    <row r="560" spans="1:21" x14ac:dyDescent="0.3">
      <c r="A560" s="16" t="s">
        <v>1461</v>
      </c>
      <c r="B560" s="31">
        <v>45043</v>
      </c>
      <c r="C560" s="31">
        <v>45048</v>
      </c>
      <c r="D560" s="2" t="s">
        <v>73</v>
      </c>
      <c r="E560" s="2" t="s">
        <v>289</v>
      </c>
      <c r="F560" s="4" t="s">
        <v>290</v>
      </c>
      <c r="G560" s="4" t="s">
        <v>51</v>
      </c>
      <c r="H560" s="4" t="s">
        <v>115</v>
      </c>
      <c r="I560" s="4" t="s">
        <v>116</v>
      </c>
      <c r="J560" s="4" t="s">
        <v>54</v>
      </c>
      <c r="K560" s="4" t="s">
        <v>25</v>
      </c>
      <c r="L560" s="4" t="s">
        <v>68</v>
      </c>
      <c r="M560" s="4" t="s">
        <v>1462</v>
      </c>
      <c r="N560" s="5">
        <v>1011.53</v>
      </c>
      <c r="O560" s="6">
        <v>9</v>
      </c>
      <c r="P560" s="7">
        <v>0.3</v>
      </c>
      <c r="Q560" s="18">
        <v>167.44</v>
      </c>
      <c r="R560" s="45" t="str">
        <f t="shared" si="32"/>
        <v>OK</v>
      </c>
      <c r="S560" s="45">
        <f t="shared" si="33"/>
        <v>647.38714285714286</v>
      </c>
      <c r="T560" s="45">
        <f t="shared" si="34"/>
        <v>7</v>
      </c>
      <c r="U560" s="45">
        <f t="shared" si="35"/>
        <v>4531.71</v>
      </c>
    </row>
    <row r="561" spans="1:21" x14ac:dyDescent="0.3">
      <c r="A561" s="16" t="s">
        <v>257</v>
      </c>
      <c r="B561" s="31">
        <v>45044</v>
      </c>
      <c r="C561" s="31">
        <v>45046</v>
      </c>
      <c r="D561" s="2" t="s">
        <v>39</v>
      </c>
      <c r="E561" s="2" t="s">
        <v>258</v>
      </c>
      <c r="F561" s="4" t="s">
        <v>259</v>
      </c>
      <c r="G561" s="4" t="s">
        <v>51</v>
      </c>
      <c r="H561" s="4" t="s">
        <v>260</v>
      </c>
      <c r="I561" s="4" t="s">
        <v>151</v>
      </c>
      <c r="J561" s="4" t="s">
        <v>34</v>
      </c>
      <c r="K561" s="4" t="s">
        <v>45</v>
      </c>
      <c r="L561" s="4" t="s">
        <v>61</v>
      </c>
      <c r="M561" s="4" t="s">
        <v>261</v>
      </c>
      <c r="N561" s="5">
        <v>2445.38</v>
      </c>
      <c r="O561" s="6">
        <v>8</v>
      </c>
      <c r="P561" s="7">
        <v>0.2</v>
      </c>
      <c r="Q561" s="18">
        <v>-296.52</v>
      </c>
      <c r="R561" s="45" t="str">
        <f t="shared" si="32"/>
        <v>OK</v>
      </c>
      <c r="S561" s="45">
        <f t="shared" si="33"/>
        <v>647.38714285714286</v>
      </c>
      <c r="T561" s="45">
        <f t="shared" si="34"/>
        <v>7</v>
      </c>
      <c r="U561" s="45">
        <f t="shared" si="35"/>
        <v>4531.71</v>
      </c>
    </row>
    <row r="562" spans="1:21" x14ac:dyDescent="0.3">
      <c r="A562" s="17" t="s">
        <v>1210</v>
      </c>
      <c r="B562" s="32">
        <v>45044</v>
      </c>
      <c r="C562" s="32">
        <v>45050</v>
      </c>
      <c r="D562" s="8" t="s">
        <v>29</v>
      </c>
      <c r="E562" s="8" t="s">
        <v>969</v>
      </c>
      <c r="F562" s="10" t="s">
        <v>970</v>
      </c>
      <c r="G562" s="10" t="s">
        <v>42</v>
      </c>
      <c r="H562" s="10" t="s">
        <v>79</v>
      </c>
      <c r="I562" s="10" t="s">
        <v>80</v>
      </c>
      <c r="J562" s="10" t="s">
        <v>54</v>
      </c>
      <c r="K562" s="10" t="s">
        <v>35</v>
      </c>
      <c r="L562" s="10" t="s">
        <v>216</v>
      </c>
      <c r="M562" s="10" t="s">
        <v>1211</v>
      </c>
      <c r="N562" s="11">
        <v>90.08</v>
      </c>
      <c r="O562" s="12">
        <v>4</v>
      </c>
      <c r="P562" s="13">
        <v>0.5</v>
      </c>
      <c r="Q562" s="19">
        <v>-23.39</v>
      </c>
      <c r="R562" s="45" t="str">
        <f t="shared" si="32"/>
        <v>OK</v>
      </c>
      <c r="S562" s="45">
        <f t="shared" si="33"/>
        <v>647.38714285714286</v>
      </c>
      <c r="T562" s="45">
        <f t="shared" si="34"/>
        <v>7</v>
      </c>
      <c r="U562" s="45">
        <f t="shared" si="35"/>
        <v>4531.71</v>
      </c>
    </row>
    <row r="563" spans="1:21" x14ac:dyDescent="0.3">
      <c r="A563" s="17" t="s">
        <v>1737</v>
      </c>
      <c r="B563" s="32">
        <v>45044</v>
      </c>
      <c r="C563" s="32">
        <v>45046</v>
      </c>
      <c r="D563" s="8" t="s">
        <v>18</v>
      </c>
      <c r="E563" s="8" t="s">
        <v>1136</v>
      </c>
      <c r="F563" s="10" t="s">
        <v>1137</v>
      </c>
      <c r="G563" s="10" t="s">
        <v>51</v>
      </c>
      <c r="H563" s="10" t="s">
        <v>386</v>
      </c>
      <c r="I563" s="10" t="s">
        <v>347</v>
      </c>
      <c r="J563" s="10" t="s">
        <v>88</v>
      </c>
      <c r="K563" s="10" t="s">
        <v>45</v>
      </c>
      <c r="L563" s="10" t="s">
        <v>46</v>
      </c>
      <c r="M563" s="10" t="s">
        <v>1738</v>
      </c>
      <c r="N563" s="11">
        <v>637.74</v>
      </c>
      <c r="O563" s="12">
        <v>3</v>
      </c>
      <c r="P563" s="13">
        <v>0</v>
      </c>
      <c r="Q563" s="19">
        <v>196.12</v>
      </c>
      <c r="R563" s="45" t="str">
        <f t="shared" si="32"/>
        <v>OK</v>
      </c>
      <c r="S563" s="45">
        <f t="shared" si="33"/>
        <v>647.38714285714286</v>
      </c>
      <c r="T563" s="45">
        <f t="shared" si="34"/>
        <v>7</v>
      </c>
      <c r="U563" s="45">
        <f t="shared" si="35"/>
        <v>4531.71</v>
      </c>
    </row>
    <row r="564" spans="1:21" x14ac:dyDescent="0.3">
      <c r="A564" s="16" t="s">
        <v>1827</v>
      </c>
      <c r="B564" s="31">
        <v>45045</v>
      </c>
      <c r="C564" s="31">
        <v>45052</v>
      </c>
      <c r="D564" s="2" t="s">
        <v>29</v>
      </c>
      <c r="E564" s="2" t="s">
        <v>1708</v>
      </c>
      <c r="F564" s="4" t="s">
        <v>1709</v>
      </c>
      <c r="G564" s="4" t="s">
        <v>51</v>
      </c>
      <c r="H564" s="4" t="s">
        <v>177</v>
      </c>
      <c r="I564" s="4" t="s">
        <v>178</v>
      </c>
      <c r="J564" s="4" t="s">
        <v>24</v>
      </c>
      <c r="K564" s="4" t="s">
        <v>45</v>
      </c>
      <c r="L564" s="4" t="s">
        <v>61</v>
      </c>
      <c r="M564" s="4" t="s">
        <v>1828</v>
      </c>
      <c r="N564" s="5">
        <v>926.4</v>
      </c>
      <c r="O564" s="6">
        <v>4</v>
      </c>
      <c r="P564" s="7">
        <v>0.15</v>
      </c>
      <c r="Q564" s="18">
        <v>13.91</v>
      </c>
      <c r="R564" s="45" t="str">
        <f t="shared" si="32"/>
        <v>OK</v>
      </c>
      <c r="S564" s="45">
        <f t="shared" si="33"/>
        <v>647.38714285714286</v>
      </c>
      <c r="T564" s="45">
        <f t="shared" si="34"/>
        <v>7</v>
      </c>
      <c r="U564" s="45">
        <f t="shared" si="35"/>
        <v>4531.71</v>
      </c>
    </row>
    <row r="565" spans="1:21" x14ac:dyDescent="0.3">
      <c r="A565" s="17" t="s">
        <v>525</v>
      </c>
      <c r="B565" s="32">
        <v>45046</v>
      </c>
      <c r="C565" s="32">
        <v>45049</v>
      </c>
      <c r="D565" s="8" t="s">
        <v>73</v>
      </c>
      <c r="E565" s="8" t="s">
        <v>463</v>
      </c>
      <c r="F565" s="10" t="s">
        <v>464</v>
      </c>
      <c r="G565" s="10" t="s">
        <v>51</v>
      </c>
      <c r="H565" s="10" t="s">
        <v>465</v>
      </c>
      <c r="I565" s="10" t="s">
        <v>423</v>
      </c>
      <c r="J565" s="10" t="s">
        <v>88</v>
      </c>
      <c r="K565" s="10" t="s">
        <v>35</v>
      </c>
      <c r="L565" s="10" t="s">
        <v>81</v>
      </c>
      <c r="M565" s="10" t="s">
        <v>526</v>
      </c>
      <c r="N565" s="11">
        <v>72.95</v>
      </c>
      <c r="O565" s="12">
        <v>5</v>
      </c>
      <c r="P565" s="13">
        <v>0.1</v>
      </c>
      <c r="Q565" s="19">
        <v>34.92</v>
      </c>
      <c r="R565" s="45" t="str">
        <f t="shared" si="32"/>
        <v>OK</v>
      </c>
      <c r="S565" s="45">
        <f t="shared" si="33"/>
        <v>647.38714285714286</v>
      </c>
      <c r="T565" s="45">
        <f t="shared" si="34"/>
        <v>7</v>
      </c>
      <c r="U565" s="45">
        <f t="shared" si="35"/>
        <v>4531.71</v>
      </c>
    </row>
    <row r="566" spans="1:21" x14ac:dyDescent="0.3">
      <c r="A566" s="16" t="s">
        <v>1845</v>
      </c>
      <c r="B566" s="31">
        <v>45046</v>
      </c>
      <c r="C566" s="31">
        <v>45048</v>
      </c>
      <c r="D566" s="2" t="s">
        <v>39</v>
      </c>
      <c r="E566" s="2" t="s">
        <v>77</v>
      </c>
      <c r="F566" s="4" t="s">
        <v>78</v>
      </c>
      <c r="G566" s="4" t="s">
        <v>21</v>
      </c>
      <c r="H566" s="4" t="s">
        <v>79</v>
      </c>
      <c r="I566" s="4" t="s">
        <v>80</v>
      </c>
      <c r="J566" s="4" t="s">
        <v>54</v>
      </c>
      <c r="K566" s="4" t="s">
        <v>35</v>
      </c>
      <c r="L566" s="4" t="s">
        <v>110</v>
      </c>
      <c r="M566" s="4" t="s">
        <v>1846</v>
      </c>
      <c r="N566" s="5">
        <v>15.88</v>
      </c>
      <c r="O566" s="6">
        <v>1</v>
      </c>
      <c r="P566" s="7">
        <v>0.4</v>
      </c>
      <c r="Q566" s="18">
        <v>0.09</v>
      </c>
      <c r="R566" s="45" t="str">
        <f t="shared" si="32"/>
        <v>OK</v>
      </c>
      <c r="S566" s="45">
        <f t="shared" si="33"/>
        <v>647.38714285714286</v>
      </c>
      <c r="T566" s="45">
        <f t="shared" si="34"/>
        <v>7</v>
      </c>
      <c r="U566" s="45">
        <f t="shared" si="35"/>
        <v>4531.71</v>
      </c>
    </row>
    <row r="567" spans="1:21" x14ac:dyDescent="0.3">
      <c r="A567" s="17" t="s">
        <v>286</v>
      </c>
      <c r="B567" s="32">
        <v>45048</v>
      </c>
      <c r="C567" s="32">
        <v>45050</v>
      </c>
      <c r="D567" s="8" t="s">
        <v>18</v>
      </c>
      <c r="E567" s="8" t="s">
        <v>236</v>
      </c>
      <c r="F567" s="10" t="s">
        <v>237</v>
      </c>
      <c r="G567" s="10" t="s">
        <v>51</v>
      </c>
      <c r="H567" s="10" t="s">
        <v>22</v>
      </c>
      <c r="I567" s="10" t="s">
        <v>23</v>
      </c>
      <c r="J567" s="10" t="s">
        <v>24</v>
      </c>
      <c r="K567" s="10" t="s">
        <v>35</v>
      </c>
      <c r="L567" s="10" t="s">
        <v>158</v>
      </c>
      <c r="M567" s="10" t="s">
        <v>287</v>
      </c>
      <c r="N567" s="11">
        <v>41.47</v>
      </c>
      <c r="O567" s="12">
        <v>3</v>
      </c>
      <c r="P567" s="13">
        <v>0.5</v>
      </c>
      <c r="Q567" s="19">
        <v>-9.86</v>
      </c>
      <c r="R567" s="45" t="str">
        <f t="shared" si="32"/>
        <v>OK</v>
      </c>
      <c r="S567" s="45">
        <f t="shared" si="33"/>
        <v>647.38714285714286</v>
      </c>
      <c r="T567" s="45">
        <f t="shared" si="34"/>
        <v>7</v>
      </c>
      <c r="U567" s="45">
        <f t="shared" si="35"/>
        <v>4531.71</v>
      </c>
    </row>
    <row r="568" spans="1:21" x14ac:dyDescent="0.3">
      <c r="A568" s="16" t="s">
        <v>425</v>
      </c>
      <c r="B568" s="31">
        <v>45048</v>
      </c>
      <c r="C568" s="31">
        <v>45053</v>
      </c>
      <c r="D568" s="2" t="s">
        <v>29</v>
      </c>
      <c r="E568" s="2" t="s">
        <v>426</v>
      </c>
      <c r="F568" s="4" t="s">
        <v>427</v>
      </c>
      <c r="G568" s="4" t="s">
        <v>42</v>
      </c>
      <c r="H568" s="4" t="s">
        <v>412</v>
      </c>
      <c r="I568" s="4" t="s">
        <v>178</v>
      </c>
      <c r="J568" s="4" t="s">
        <v>24</v>
      </c>
      <c r="K568" s="4" t="s">
        <v>35</v>
      </c>
      <c r="L568" s="4" t="s">
        <v>166</v>
      </c>
      <c r="M568" s="4" t="s">
        <v>428</v>
      </c>
      <c r="N568" s="5">
        <v>15.64</v>
      </c>
      <c r="O568" s="6">
        <v>1</v>
      </c>
      <c r="P568" s="7">
        <v>0.3</v>
      </c>
      <c r="Q568" s="18">
        <v>1.42</v>
      </c>
      <c r="R568" s="45" t="str">
        <f t="shared" si="32"/>
        <v>OK</v>
      </c>
      <c r="S568" s="45">
        <f t="shared" si="33"/>
        <v>647.38714285714286</v>
      </c>
      <c r="T568" s="45">
        <f t="shared" si="34"/>
        <v>7</v>
      </c>
      <c r="U568" s="45">
        <f t="shared" si="35"/>
        <v>4531.71</v>
      </c>
    </row>
    <row r="569" spans="1:21" x14ac:dyDescent="0.3">
      <c r="A569" s="16" t="s">
        <v>1355</v>
      </c>
      <c r="B569" s="31">
        <v>45051</v>
      </c>
      <c r="C569" s="31">
        <v>45054</v>
      </c>
      <c r="D569" s="2" t="s">
        <v>39</v>
      </c>
      <c r="E569" s="2" t="s">
        <v>49</v>
      </c>
      <c r="F569" s="4" t="s">
        <v>50</v>
      </c>
      <c r="G569" s="4" t="s">
        <v>51</v>
      </c>
      <c r="H569" s="4" t="s">
        <v>52</v>
      </c>
      <c r="I569" s="4" t="s">
        <v>53</v>
      </c>
      <c r="J569" s="4" t="s">
        <v>54</v>
      </c>
      <c r="K569" s="4" t="s">
        <v>25</v>
      </c>
      <c r="L569" s="4" t="s">
        <v>124</v>
      </c>
      <c r="M569" s="4" t="s">
        <v>1356</v>
      </c>
      <c r="N569" s="5">
        <v>6536.36</v>
      </c>
      <c r="O569" s="6">
        <v>6</v>
      </c>
      <c r="P569" s="7">
        <v>0.15</v>
      </c>
      <c r="Q569" s="18">
        <v>903.06</v>
      </c>
      <c r="R569" s="45" t="str">
        <f t="shared" si="32"/>
        <v>OK</v>
      </c>
      <c r="S569" s="45">
        <f t="shared" si="33"/>
        <v>647.38714285714286</v>
      </c>
      <c r="T569" s="45">
        <f t="shared" si="34"/>
        <v>7</v>
      </c>
      <c r="U569" s="45">
        <f t="shared" si="35"/>
        <v>4531.71</v>
      </c>
    </row>
    <row r="570" spans="1:21" x14ac:dyDescent="0.3">
      <c r="A570" s="17" t="s">
        <v>1804</v>
      </c>
      <c r="B570" s="32">
        <v>45052</v>
      </c>
      <c r="C570" s="32">
        <v>45055</v>
      </c>
      <c r="D570" s="8" t="s">
        <v>18</v>
      </c>
      <c r="E570" s="8" t="s">
        <v>975</v>
      </c>
      <c r="F570" s="10" t="s">
        <v>976</v>
      </c>
      <c r="G570" s="10" t="s">
        <v>51</v>
      </c>
      <c r="H570" s="10" t="s">
        <v>459</v>
      </c>
      <c r="I570" s="10" t="s">
        <v>460</v>
      </c>
      <c r="J570" s="10" t="s">
        <v>54</v>
      </c>
      <c r="K570" s="10" t="s">
        <v>35</v>
      </c>
      <c r="L570" s="10" t="s">
        <v>36</v>
      </c>
      <c r="M570" s="10" t="s">
        <v>1805</v>
      </c>
      <c r="N570" s="11">
        <v>341.46</v>
      </c>
      <c r="O570" s="12">
        <v>6</v>
      </c>
      <c r="P570" s="13">
        <v>0</v>
      </c>
      <c r="Q570" s="19">
        <v>123.18</v>
      </c>
      <c r="R570" s="45" t="str">
        <f t="shared" si="32"/>
        <v>OK</v>
      </c>
      <c r="S570" s="45">
        <f t="shared" si="33"/>
        <v>647.38714285714286</v>
      </c>
      <c r="T570" s="45">
        <f t="shared" si="34"/>
        <v>7</v>
      </c>
      <c r="U570" s="45">
        <f t="shared" si="35"/>
        <v>4531.71</v>
      </c>
    </row>
    <row r="571" spans="1:21" x14ac:dyDescent="0.3">
      <c r="A571" s="16" t="s">
        <v>2159</v>
      </c>
      <c r="B571" s="31">
        <v>45052</v>
      </c>
      <c r="C571" s="31">
        <v>45054</v>
      </c>
      <c r="D571" s="2" t="s">
        <v>39</v>
      </c>
      <c r="E571" s="2" t="s">
        <v>707</v>
      </c>
      <c r="F571" s="4" t="s">
        <v>708</v>
      </c>
      <c r="G571" s="4" t="s">
        <v>51</v>
      </c>
      <c r="H571" s="4" t="s">
        <v>386</v>
      </c>
      <c r="I571" s="4" t="s">
        <v>347</v>
      </c>
      <c r="J571" s="4" t="s">
        <v>88</v>
      </c>
      <c r="K571" s="4" t="s">
        <v>45</v>
      </c>
      <c r="L571" s="4" t="s">
        <v>117</v>
      </c>
      <c r="M571" s="4" t="s">
        <v>2160</v>
      </c>
      <c r="N571" s="5">
        <v>265.14</v>
      </c>
      <c r="O571" s="6">
        <v>9</v>
      </c>
      <c r="P571" s="7">
        <v>0.5</v>
      </c>
      <c r="Q571" s="18">
        <v>-123.38</v>
      </c>
      <c r="R571" s="45" t="str">
        <f t="shared" si="32"/>
        <v>OK</v>
      </c>
      <c r="S571" s="45">
        <f t="shared" si="33"/>
        <v>647.38714285714286</v>
      </c>
      <c r="T571" s="45">
        <f t="shared" si="34"/>
        <v>7</v>
      </c>
      <c r="U571" s="45">
        <f t="shared" si="35"/>
        <v>4531.71</v>
      </c>
    </row>
    <row r="572" spans="1:21" x14ac:dyDescent="0.3">
      <c r="A572" s="16" t="s">
        <v>1735</v>
      </c>
      <c r="B572" s="31">
        <v>45054</v>
      </c>
      <c r="C572" s="31">
        <v>45056</v>
      </c>
      <c r="D572" s="2" t="s">
        <v>18</v>
      </c>
      <c r="E572" s="2" t="s">
        <v>954</v>
      </c>
      <c r="F572" s="4" t="s">
        <v>955</v>
      </c>
      <c r="G572" s="4" t="s">
        <v>51</v>
      </c>
      <c r="H572" s="4" t="s">
        <v>386</v>
      </c>
      <c r="I572" s="4" t="s">
        <v>347</v>
      </c>
      <c r="J572" s="4" t="s">
        <v>88</v>
      </c>
      <c r="K572" s="4" t="s">
        <v>35</v>
      </c>
      <c r="L572" s="4" t="s">
        <v>158</v>
      </c>
      <c r="M572" s="4" t="s">
        <v>1736</v>
      </c>
      <c r="N572" s="5">
        <v>783</v>
      </c>
      <c r="O572" s="6">
        <v>8</v>
      </c>
      <c r="P572" s="7">
        <v>0.1</v>
      </c>
      <c r="Q572" s="18">
        <v>277.08999999999997</v>
      </c>
      <c r="R572" s="45" t="str">
        <f t="shared" si="32"/>
        <v>OK</v>
      </c>
      <c r="S572" s="45">
        <f t="shared" si="33"/>
        <v>647.38714285714286</v>
      </c>
      <c r="T572" s="45">
        <f t="shared" si="34"/>
        <v>7</v>
      </c>
      <c r="U572" s="45">
        <f t="shared" si="35"/>
        <v>4531.71</v>
      </c>
    </row>
    <row r="573" spans="1:21" x14ac:dyDescent="0.3">
      <c r="A573" s="17" t="s">
        <v>475</v>
      </c>
      <c r="B573" s="32">
        <v>45055</v>
      </c>
      <c r="C573" s="32">
        <v>45057</v>
      </c>
      <c r="D573" s="8" t="s">
        <v>18</v>
      </c>
      <c r="E573" s="8" t="s">
        <v>476</v>
      </c>
      <c r="F573" s="10" t="s">
        <v>477</v>
      </c>
      <c r="G573" s="10" t="s">
        <v>42</v>
      </c>
      <c r="H573" s="10" t="s">
        <v>150</v>
      </c>
      <c r="I573" s="10" t="s">
        <v>151</v>
      </c>
      <c r="J573" s="10" t="s">
        <v>34</v>
      </c>
      <c r="K573" s="10" t="s">
        <v>35</v>
      </c>
      <c r="L573" s="10" t="s">
        <v>110</v>
      </c>
      <c r="M573" s="10" t="s">
        <v>478</v>
      </c>
      <c r="N573" s="11">
        <v>193.05</v>
      </c>
      <c r="O573" s="12">
        <v>5</v>
      </c>
      <c r="P573" s="13">
        <v>0</v>
      </c>
      <c r="Q573" s="19">
        <v>96.18</v>
      </c>
      <c r="R573" s="45" t="str">
        <f t="shared" si="32"/>
        <v>OK</v>
      </c>
      <c r="S573" s="45">
        <f t="shared" si="33"/>
        <v>647.38714285714286</v>
      </c>
      <c r="T573" s="45">
        <f t="shared" si="34"/>
        <v>7</v>
      </c>
      <c r="U573" s="45">
        <f t="shared" si="35"/>
        <v>4531.71</v>
      </c>
    </row>
    <row r="574" spans="1:21" x14ac:dyDescent="0.3">
      <c r="A574" s="17" t="s">
        <v>1722</v>
      </c>
      <c r="B574" s="32">
        <v>45055</v>
      </c>
      <c r="C574" s="32">
        <v>45058</v>
      </c>
      <c r="D574" s="8" t="s">
        <v>18</v>
      </c>
      <c r="E574" s="8" t="s">
        <v>838</v>
      </c>
      <c r="F574" s="10" t="s">
        <v>839</v>
      </c>
      <c r="G574" s="10" t="s">
        <v>51</v>
      </c>
      <c r="H574" s="10" t="s">
        <v>438</v>
      </c>
      <c r="I574" s="10" t="s">
        <v>157</v>
      </c>
      <c r="J574" s="10" t="s">
        <v>88</v>
      </c>
      <c r="K574" s="10" t="s">
        <v>45</v>
      </c>
      <c r="L574" s="10" t="s">
        <v>117</v>
      </c>
      <c r="M574" s="10" t="s">
        <v>1723</v>
      </c>
      <c r="N574" s="11">
        <v>327.83</v>
      </c>
      <c r="O574" s="12">
        <v>1</v>
      </c>
      <c r="P574" s="13">
        <v>0.4</v>
      </c>
      <c r="Q574" s="19">
        <v>-106.88</v>
      </c>
      <c r="R574" s="45" t="str">
        <f t="shared" si="32"/>
        <v>OK</v>
      </c>
      <c r="S574" s="45">
        <f t="shared" si="33"/>
        <v>647.38714285714286</v>
      </c>
      <c r="T574" s="45">
        <f t="shared" si="34"/>
        <v>7</v>
      </c>
      <c r="U574" s="45">
        <f t="shared" si="35"/>
        <v>4531.71</v>
      </c>
    </row>
    <row r="575" spans="1:21" x14ac:dyDescent="0.3">
      <c r="A575" s="16" t="s">
        <v>1471</v>
      </c>
      <c r="B575" s="31">
        <v>45057</v>
      </c>
      <c r="C575" s="31">
        <v>45059</v>
      </c>
      <c r="D575" s="2" t="s">
        <v>18</v>
      </c>
      <c r="E575" s="2" t="s">
        <v>1309</v>
      </c>
      <c r="F575" s="4" t="s">
        <v>1310</v>
      </c>
      <c r="G575" s="4" t="s">
        <v>51</v>
      </c>
      <c r="H575" s="4" t="s">
        <v>98</v>
      </c>
      <c r="I575" s="4" t="s">
        <v>80</v>
      </c>
      <c r="J575" s="4" t="s">
        <v>54</v>
      </c>
      <c r="K575" s="4" t="s">
        <v>35</v>
      </c>
      <c r="L575" s="4" t="s">
        <v>110</v>
      </c>
      <c r="M575" s="4" t="s">
        <v>1472</v>
      </c>
      <c r="N575" s="5">
        <v>20.58</v>
      </c>
      <c r="O575" s="6">
        <v>1</v>
      </c>
      <c r="P575" s="7">
        <v>0.05</v>
      </c>
      <c r="Q575" s="18">
        <v>10.24</v>
      </c>
      <c r="R575" s="45" t="str">
        <f t="shared" si="32"/>
        <v>OK</v>
      </c>
      <c r="S575" s="45">
        <f t="shared" si="33"/>
        <v>647.38714285714286</v>
      </c>
      <c r="T575" s="45">
        <f t="shared" si="34"/>
        <v>7</v>
      </c>
      <c r="U575" s="45">
        <f t="shared" si="35"/>
        <v>4531.71</v>
      </c>
    </row>
    <row r="576" spans="1:21" x14ac:dyDescent="0.3">
      <c r="A576" s="17" t="s">
        <v>1570</v>
      </c>
      <c r="B576" s="32">
        <v>45059</v>
      </c>
      <c r="C576" s="32">
        <v>45064</v>
      </c>
      <c r="D576" s="8" t="s">
        <v>29</v>
      </c>
      <c r="E576" s="8" t="s">
        <v>205</v>
      </c>
      <c r="F576" s="10" t="s">
        <v>206</v>
      </c>
      <c r="G576" s="10" t="s">
        <v>51</v>
      </c>
      <c r="H576" s="10" t="s">
        <v>207</v>
      </c>
      <c r="I576" s="10" t="s">
        <v>60</v>
      </c>
      <c r="J576" s="10" t="s">
        <v>54</v>
      </c>
      <c r="K576" s="10" t="s">
        <v>45</v>
      </c>
      <c r="L576" s="10" t="s">
        <v>46</v>
      </c>
      <c r="M576" s="10" t="s">
        <v>1490</v>
      </c>
      <c r="N576" s="11">
        <v>5263.68</v>
      </c>
      <c r="O576" s="12">
        <v>8</v>
      </c>
      <c r="P576" s="13">
        <v>0</v>
      </c>
      <c r="Q576" s="19">
        <v>1429.4</v>
      </c>
      <c r="R576" s="45" t="str">
        <f t="shared" si="32"/>
        <v>OK</v>
      </c>
      <c r="S576" s="45">
        <f t="shared" si="33"/>
        <v>647.38714285714286</v>
      </c>
      <c r="T576" s="45">
        <f t="shared" si="34"/>
        <v>7</v>
      </c>
      <c r="U576" s="45">
        <f t="shared" si="35"/>
        <v>4531.71</v>
      </c>
    </row>
    <row r="577" spans="1:21" x14ac:dyDescent="0.3">
      <c r="A577" s="16" t="s">
        <v>2316</v>
      </c>
      <c r="B577" s="31">
        <v>45059</v>
      </c>
      <c r="C577" s="31">
        <v>45062</v>
      </c>
      <c r="D577" s="2" t="s">
        <v>39</v>
      </c>
      <c r="E577" s="2" t="s">
        <v>543</v>
      </c>
      <c r="F577" s="4" t="s">
        <v>544</v>
      </c>
      <c r="G577" s="4" t="s">
        <v>42</v>
      </c>
      <c r="H577" s="4" t="s">
        <v>346</v>
      </c>
      <c r="I577" s="4" t="s">
        <v>347</v>
      </c>
      <c r="J577" s="4" t="s">
        <v>88</v>
      </c>
      <c r="K577" s="4" t="s">
        <v>45</v>
      </c>
      <c r="L577" s="4" t="s">
        <v>61</v>
      </c>
      <c r="M577" s="4" t="s">
        <v>2317</v>
      </c>
      <c r="N577" s="5">
        <v>1852.92</v>
      </c>
      <c r="O577" s="6">
        <v>8</v>
      </c>
      <c r="P577" s="7">
        <v>0.5</v>
      </c>
      <c r="Q577" s="18">
        <v>-1620.97</v>
      </c>
      <c r="R577" s="45" t="str">
        <f t="shared" si="32"/>
        <v>OK</v>
      </c>
      <c r="S577" s="45">
        <f t="shared" si="33"/>
        <v>647.38714285714286</v>
      </c>
      <c r="T577" s="45">
        <f t="shared" si="34"/>
        <v>7</v>
      </c>
      <c r="U577" s="45">
        <f t="shared" si="35"/>
        <v>4531.71</v>
      </c>
    </row>
    <row r="578" spans="1:21" x14ac:dyDescent="0.3">
      <c r="A578" s="16" t="s">
        <v>209</v>
      </c>
      <c r="B578" s="31">
        <v>45060</v>
      </c>
      <c r="C578" s="31">
        <v>45062</v>
      </c>
      <c r="D578" s="2" t="s">
        <v>39</v>
      </c>
      <c r="E578" s="2" t="s">
        <v>210</v>
      </c>
      <c r="F578" s="4" t="s">
        <v>211</v>
      </c>
      <c r="G578" s="4" t="s">
        <v>42</v>
      </c>
      <c r="H578" s="4" t="s">
        <v>86</v>
      </c>
      <c r="I578" s="4" t="s">
        <v>87</v>
      </c>
      <c r="J578" s="4" t="s">
        <v>88</v>
      </c>
      <c r="K578" s="4" t="s">
        <v>25</v>
      </c>
      <c r="L578" s="4" t="s">
        <v>68</v>
      </c>
      <c r="M578" s="4" t="s">
        <v>212</v>
      </c>
      <c r="N578" s="5">
        <v>603.65</v>
      </c>
      <c r="O578" s="6">
        <v>5</v>
      </c>
      <c r="P578" s="7">
        <v>0</v>
      </c>
      <c r="Q578" s="18">
        <v>286.63</v>
      </c>
      <c r="R578" s="45" t="str">
        <f t="shared" ref="R578:R641" si="36">IF(C578&lt;B578,"Error","OK")</f>
        <v>OK</v>
      </c>
      <c r="S578" s="45">
        <f t="shared" ref="S578:S641" si="37">AVERAGEIF(E578:E1576,"CU-1057",N578:N1576)</f>
        <v>647.38714285714286</v>
      </c>
      <c r="T578" s="45">
        <f t="shared" ref="T578:T641" si="38">COUNTIF(E578:E1576,"CU-1057")</f>
        <v>7</v>
      </c>
      <c r="U578" s="45">
        <f t="shared" ref="U578:U641" si="39">SUMIF(E578:E1576,"CU-1057",N578:N1576)</f>
        <v>4531.71</v>
      </c>
    </row>
    <row r="579" spans="1:21" x14ac:dyDescent="0.3">
      <c r="A579" s="17" t="s">
        <v>1993</v>
      </c>
      <c r="B579" s="32">
        <v>45060</v>
      </c>
      <c r="C579" s="32">
        <v>45062</v>
      </c>
      <c r="D579" s="8" t="s">
        <v>18</v>
      </c>
      <c r="E579" s="8" t="s">
        <v>785</v>
      </c>
      <c r="F579" s="10" t="s">
        <v>786</v>
      </c>
      <c r="G579" s="10" t="s">
        <v>51</v>
      </c>
      <c r="H579" s="10" t="s">
        <v>422</v>
      </c>
      <c r="I579" s="10" t="s">
        <v>423</v>
      </c>
      <c r="J579" s="10" t="s">
        <v>88</v>
      </c>
      <c r="K579" s="10" t="s">
        <v>25</v>
      </c>
      <c r="L579" s="10" t="s">
        <v>26</v>
      </c>
      <c r="M579" s="10" t="s">
        <v>1994</v>
      </c>
      <c r="N579" s="11">
        <v>1475.09</v>
      </c>
      <c r="O579" s="12">
        <v>2</v>
      </c>
      <c r="P579" s="13">
        <v>0.5</v>
      </c>
      <c r="Q579" s="19">
        <v>-1070.4000000000001</v>
      </c>
      <c r="R579" s="45" t="str">
        <f t="shared" si="36"/>
        <v>OK</v>
      </c>
      <c r="S579" s="45">
        <f t="shared" si="37"/>
        <v>647.38714285714286</v>
      </c>
      <c r="T579" s="45">
        <f t="shared" si="38"/>
        <v>7</v>
      </c>
      <c r="U579" s="45">
        <f t="shared" si="39"/>
        <v>4531.71</v>
      </c>
    </row>
    <row r="580" spans="1:21" x14ac:dyDescent="0.3">
      <c r="A580" s="17" t="s">
        <v>328</v>
      </c>
      <c r="B580" s="32">
        <v>45062</v>
      </c>
      <c r="C580" s="32">
        <v>45064</v>
      </c>
      <c r="D580" s="8" t="s">
        <v>18</v>
      </c>
      <c r="E580" s="8" t="s">
        <v>329</v>
      </c>
      <c r="F580" s="10" t="s">
        <v>330</v>
      </c>
      <c r="G580" s="10" t="s">
        <v>42</v>
      </c>
      <c r="H580" s="10" t="s">
        <v>66</v>
      </c>
      <c r="I580" s="10" t="s">
        <v>67</v>
      </c>
      <c r="J580" s="10" t="s">
        <v>34</v>
      </c>
      <c r="K580" s="10" t="s">
        <v>45</v>
      </c>
      <c r="L580" s="10" t="s">
        <v>46</v>
      </c>
      <c r="M580" s="10" t="s">
        <v>331</v>
      </c>
      <c r="N580" s="11">
        <v>327.36</v>
      </c>
      <c r="O580" s="12">
        <v>1</v>
      </c>
      <c r="P580" s="13">
        <v>0.3</v>
      </c>
      <c r="Q580" s="19">
        <v>11.58</v>
      </c>
      <c r="R580" s="45" t="str">
        <f t="shared" si="36"/>
        <v>OK</v>
      </c>
      <c r="S580" s="45">
        <f t="shared" si="37"/>
        <v>647.38714285714286</v>
      </c>
      <c r="T580" s="45">
        <f t="shared" si="38"/>
        <v>7</v>
      </c>
      <c r="U580" s="45">
        <f t="shared" si="39"/>
        <v>4531.71</v>
      </c>
    </row>
    <row r="581" spans="1:21" x14ac:dyDescent="0.3">
      <c r="A581" s="17" t="s">
        <v>388</v>
      </c>
      <c r="B581" s="32">
        <v>45063</v>
      </c>
      <c r="C581" s="32">
        <v>45066</v>
      </c>
      <c r="D581" s="8" t="s">
        <v>18</v>
      </c>
      <c r="E581" s="8" t="s">
        <v>389</v>
      </c>
      <c r="F581" s="10" t="s">
        <v>390</v>
      </c>
      <c r="G581" s="10" t="s">
        <v>51</v>
      </c>
      <c r="H581" s="10" t="s">
        <v>59</v>
      </c>
      <c r="I581" s="10" t="s">
        <v>60</v>
      </c>
      <c r="J581" s="10"/>
      <c r="K581" s="10" t="s">
        <v>45</v>
      </c>
      <c r="L581" s="10" t="s">
        <v>99</v>
      </c>
      <c r="M581" s="10" t="s">
        <v>391</v>
      </c>
      <c r="N581" s="11">
        <v>856</v>
      </c>
      <c r="O581" s="12">
        <v>10</v>
      </c>
      <c r="P581" s="13">
        <v>0</v>
      </c>
      <c r="Q581" s="19">
        <v>334.98</v>
      </c>
      <c r="R581" s="45" t="str">
        <f t="shared" si="36"/>
        <v>OK</v>
      </c>
      <c r="S581" s="45">
        <f t="shared" si="37"/>
        <v>647.38714285714286</v>
      </c>
      <c r="T581" s="45">
        <f t="shared" si="38"/>
        <v>7</v>
      </c>
      <c r="U581" s="45">
        <f t="shared" si="39"/>
        <v>4531.71</v>
      </c>
    </row>
    <row r="582" spans="1:21" x14ac:dyDescent="0.3">
      <c r="A582" s="16" t="s">
        <v>1727</v>
      </c>
      <c r="B582" s="31">
        <v>45065</v>
      </c>
      <c r="C582" s="31">
        <v>45069</v>
      </c>
      <c r="D582" s="2" t="s">
        <v>73</v>
      </c>
      <c r="E582" s="2" t="s">
        <v>265</v>
      </c>
      <c r="F582" s="4" t="s">
        <v>266</v>
      </c>
      <c r="G582" s="4" t="s">
        <v>21</v>
      </c>
      <c r="H582" s="4" t="s">
        <v>171</v>
      </c>
      <c r="I582" s="4" t="s">
        <v>172</v>
      </c>
      <c r="J582" s="4" t="s">
        <v>24</v>
      </c>
      <c r="K582" s="4" t="s">
        <v>35</v>
      </c>
      <c r="L582" s="4" t="s">
        <v>89</v>
      </c>
      <c r="M582" s="4" t="s">
        <v>1728</v>
      </c>
      <c r="N582" s="5">
        <v>1469.72</v>
      </c>
      <c r="O582" s="6">
        <v>6</v>
      </c>
      <c r="P582" s="7">
        <v>0.15</v>
      </c>
      <c r="Q582" s="18">
        <v>433.26</v>
      </c>
      <c r="R582" s="45" t="str">
        <f t="shared" si="36"/>
        <v>OK</v>
      </c>
      <c r="S582" s="45">
        <f t="shared" si="37"/>
        <v>647.38714285714286</v>
      </c>
      <c r="T582" s="45">
        <f t="shared" si="38"/>
        <v>7</v>
      </c>
      <c r="U582" s="45">
        <f t="shared" si="39"/>
        <v>4531.71</v>
      </c>
    </row>
    <row r="583" spans="1:21" x14ac:dyDescent="0.3">
      <c r="A583" s="17" t="s">
        <v>2380</v>
      </c>
      <c r="B583" s="32">
        <v>45065</v>
      </c>
      <c r="C583" s="32">
        <v>45066</v>
      </c>
      <c r="D583" s="8" t="s">
        <v>18</v>
      </c>
      <c r="E583" s="8" t="s">
        <v>2013</v>
      </c>
      <c r="F583" s="10" t="s">
        <v>2014</v>
      </c>
      <c r="G583" s="10" t="s">
        <v>42</v>
      </c>
      <c r="H583" s="10" t="s">
        <v>177</v>
      </c>
      <c r="I583" s="10" t="s">
        <v>178</v>
      </c>
      <c r="J583" s="10" t="s">
        <v>24</v>
      </c>
      <c r="K583" s="10" t="s">
        <v>25</v>
      </c>
      <c r="L583" s="10" t="s">
        <v>74</v>
      </c>
      <c r="M583" s="10" t="s">
        <v>2381</v>
      </c>
      <c r="N583" s="11">
        <v>2944.8</v>
      </c>
      <c r="O583" s="12">
        <v>7</v>
      </c>
      <c r="P583" s="13">
        <v>0.3</v>
      </c>
      <c r="Q583" s="19">
        <v>478.82</v>
      </c>
      <c r="R583" s="45" t="str">
        <f t="shared" si="36"/>
        <v>OK</v>
      </c>
      <c r="S583" s="45">
        <f t="shared" si="37"/>
        <v>647.38714285714286</v>
      </c>
      <c r="T583" s="45">
        <f t="shared" si="38"/>
        <v>7</v>
      </c>
      <c r="U583" s="45">
        <f t="shared" si="39"/>
        <v>4531.71</v>
      </c>
    </row>
    <row r="584" spans="1:21" x14ac:dyDescent="0.3">
      <c r="A584" s="16" t="s">
        <v>2209</v>
      </c>
      <c r="B584" s="31">
        <v>45066</v>
      </c>
      <c r="C584" s="31">
        <v>45072</v>
      </c>
      <c r="D584" s="2" t="s">
        <v>29</v>
      </c>
      <c r="E584" s="2" t="s">
        <v>102</v>
      </c>
      <c r="F584" s="4" t="s">
        <v>103</v>
      </c>
      <c r="G584" s="4" t="s">
        <v>42</v>
      </c>
      <c r="H584" s="4" t="s">
        <v>104</v>
      </c>
      <c r="I584" s="4" t="s">
        <v>105</v>
      </c>
      <c r="J584" s="4" t="s">
        <v>88</v>
      </c>
      <c r="K584" s="4" t="s">
        <v>25</v>
      </c>
      <c r="L584" s="4" t="s">
        <v>74</v>
      </c>
      <c r="M584" s="4" t="s">
        <v>2210</v>
      </c>
      <c r="N584" s="5">
        <v>2534.17</v>
      </c>
      <c r="O584" s="6">
        <v>9</v>
      </c>
      <c r="P584" s="7">
        <v>0.1</v>
      </c>
      <c r="Q584" s="18">
        <v>652.74</v>
      </c>
      <c r="R584" s="45" t="str">
        <f t="shared" si="36"/>
        <v>OK</v>
      </c>
      <c r="S584" s="45">
        <f t="shared" si="37"/>
        <v>647.38714285714286</v>
      </c>
      <c r="T584" s="45">
        <f t="shared" si="38"/>
        <v>7</v>
      </c>
      <c r="U584" s="45">
        <f t="shared" si="39"/>
        <v>4531.71</v>
      </c>
    </row>
    <row r="585" spans="1:21" x14ac:dyDescent="0.3">
      <c r="A585" s="16" t="s">
        <v>527</v>
      </c>
      <c r="B585" s="31">
        <v>45067</v>
      </c>
      <c r="C585" s="31">
        <v>45074</v>
      </c>
      <c r="D585" s="2" t="s">
        <v>29</v>
      </c>
      <c r="E585" s="2" t="s">
        <v>528</v>
      </c>
      <c r="F585" s="4" t="s">
        <v>529</v>
      </c>
      <c r="G585" s="4" t="s">
        <v>51</v>
      </c>
      <c r="H585" s="4" t="s">
        <v>530</v>
      </c>
      <c r="I585" s="4" t="s">
        <v>373</v>
      </c>
      <c r="J585" s="4" t="s">
        <v>34</v>
      </c>
      <c r="K585" s="4" t="s">
        <v>25</v>
      </c>
      <c r="L585" s="4" t="s">
        <v>26</v>
      </c>
      <c r="M585" s="4" t="s">
        <v>531</v>
      </c>
      <c r="N585" s="5">
        <v>806.95</v>
      </c>
      <c r="O585" s="6">
        <v>1</v>
      </c>
      <c r="P585" s="7">
        <v>0.3</v>
      </c>
      <c r="Q585" s="18">
        <v>-123.82</v>
      </c>
      <c r="R585" s="45" t="str">
        <f t="shared" si="36"/>
        <v>OK</v>
      </c>
      <c r="S585" s="45">
        <f t="shared" si="37"/>
        <v>647.38714285714286</v>
      </c>
      <c r="T585" s="45">
        <f t="shared" si="38"/>
        <v>7</v>
      </c>
      <c r="U585" s="45">
        <f t="shared" si="39"/>
        <v>4531.71</v>
      </c>
    </row>
    <row r="586" spans="1:21" x14ac:dyDescent="0.3">
      <c r="A586" s="16" t="s">
        <v>579</v>
      </c>
      <c r="B586" s="31">
        <v>45072</v>
      </c>
      <c r="C586" s="31">
        <v>45077</v>
      </c>
      <c r="D586" s="2" t="s">
        <v>29</v>
      </c>
      <c r="E586" s="2" t="s">
        <v>580</v>
      </c>
      <c r="F586" s="4" t="s">
        <v>581</v>
      </c>
      <c r="G586" s="4" t="s">
        <v>51</v>
      </c>
      <c r="H586" s="4" t="s">
        <v>156</v>
      </c>
      <c r="I586" s="4" t="s">
        <v>157</v>
      </c>
      <c r="J586" s="4" t="s">
        <v>88</v>
      </c>
      <c r="K586" s="4" t="s">
        <v>25</v>
      </c>
      <c r="L586" s="4" t="s">
        <v>124</v>
      </c>
      <c r="M586" s="4" t="s">
        <v>582</v>
      </c>
      <c r="N586" s="5">
        <v>9305.49</v>
      </c>
      <c r="O586" s="6">
        <v>6</v>
      </c>
      <c r="P586" s="7">
        <v>0.5</v>
      </c>
      <c r="Q586" s="18">
        <v>-4456.4399999999996</v>
      </c>
      <c r="R586" s="45" t="str">
        <f t="shared" si="36"/>
        <v>OK</v>
      </c>
      <c r="S586" s="45">
        <f t="shared" si="37"/>
        <v>647.38714285714286</v>
      </c>
      <c r="T586" s="45">
        <f t="shared" si="38"/>
        <v>7</v>
      </c>
      <c r="U586" s="45">
        <f t="shared" si="39"/>
        <v>4531.71</v>
      </c>
    </row>
    <row r="587" spans="1:21" x14ac:dyDescent="0.3">
      <c r="A587" s="16" t="s">
        <v>857</v>
      </c>
      <c r="B587" s="31">
        <v>45072</v>
      </c>
      <c r="C587" s="31">
        <v>45074</v>
      </c>
      <c r="D587" s="2" t="s">
        <v>18</v>
      </c>
      <c r="E587" s="2" t="s">
        <v>858</v>
      </c>
      <c r="F587" s="4" t="s">
        <v>859</v>
      </c>
      <c r="G587" s="4" t="s">
        <v>51</v>
      </c>
      <c r="H587" s="4" t="s">
        <v>145</v>
      </c>
      <c r="I587" s="4" t="s">
        <v>140</v>
      </c>
      <c r="J587" s="4" t="s">
        <v>24</v>
      </c>
      <c r="K587" s="4" t="s">
        <v>45</v>
      </c>
      <c r="L587" s="4" t="s">
        <v>61</v>
      </c>
      <c r="M587" s="4" t="s">
        <v>860</v>
      </c>
      <c r="N587" s="5">
        <v>5013.12</v>
      </c>
      <c r="O587" s="6">
        <v>9</v>
      </c>
      <c r="P587" s="7">
        <v>0.15</v>
      </c>
      <c r="Q587" s="18">
        <v>-265.05</v>
      </c>
      <c r="R587" s="45" t="str">
        <f t="shared" si="36"/>
        <v>OK</v>
      </c>
      <c r="S587" s="45">
        <f t="shared" si="37"/>
        <v>647.38714285714286</v>
      </c>
      <c r="T587" s="45">
        <f t="shared" si="38"/>
        <v>7</v>
      </c>
      <c r="U587" s="45">
        <f t="shared" si="39"/>
        <v>4531.71</v>
      </c>
    </row>
    <row r="588" spans="1:21" x14ac:dyDescent="0.3">
      <c r="A588" s="17" t="s">
        <v>142</v>
      </c>
      <c r="B588" s="32">
        <v>45076</v>
      </c>
      <c r="C588" s="32">
        <v>45080</v>
      </c>
      <c r="D588" s="8" t="s">
        <v>73</v>
      </c>
      <c r="E588" s="8" t="s">
        <v>143</v>
      </c>
      <c r="F588" s="10" t="s">
        <v>144</v>
      </c>
      <c r="G588" s="10" t="s">
        <v>21</v>
      </c>
      <c r="H588" s="10" t="s">
        <v>145</v>
      </c>
      <c r="I588" s="10" t="s">
        <v>140</v>
      </c>
      <c r="J588" s="10" t="s">
        <v>24</v>
      </c>
      <c r="K588" s="10" t="s">
        <v>25</v>
      </c>
      <c r="L588" s="10" t="s">
        <v>26</v>
      </c>
      <c r="M588" s="10" t="s">
        <v>146</v>
      </c>
      <c r="N588" s="11">
        <v>1773.74</v>
      </c>
      <c r="O588" s="12">
        <v>2</v>
      </c>
      <c r="P588" s="13">
        <v>0</v>
      </c>
      <c r="Q588" s="19">
        <v>267.04000000000002</v>
      </c>
      <c r="R588" s="45" t="str">
        <f t="shared" si="36"/>
        <v>OK</v>
      </c>
      <c r="S588" s="45">
        <f t="shared" si="37"/>
        <v>647.38714285714286</v>
      </c>
      <c r="T588" s="45">
        <f t="shared" si="38"/>
        <v>7</v>
      </c>
      <c r="U588" s="45">
        <f t="shared" si="39"/>
        <v>4531.71</v>
      </c>
    </row>
    <row r="589" spans="1:21" x14ac:dyDescent="0.3">
      <c r="A589" s="17" t="s">
        <v>2086</v>
      </c>
      <c r="B589" s="32">
        <v>45076</v>
      </c>
      <c r="C589" s="32">
        <v>45077</v>
      </c>
      <c r="D589" s="8" t="s">
        <v>18</v>
      </c>
      <c r="E589" s="8" t="s">
        <v>309</v>
      </c>
      <c r="F589" s="10" t="s">
        <v>310</v>
      </c>
      <c r="G589" s="10" t="s">
        <v>21</v>
      </c>
      <c r="H589" s="10" t="s">
        <v>115</v>
      </c>
      <c r="I589" s="10" t="s">
        <v>116</v>
      </c>
      <c r="J589" s="10" t="s">
        <v>54</v>
      </c>
      <c r="K589" s="10" t="s">
        <v>25</v>
      </c>
      <c r="L589" s="10" t="s">
        <v>74</v>
      </c>
      <c r="M589" s="10" t="s">
        <v>2087</v>
      </c>
      <c r="N589" s="11">
        <v>3178.7</v>
      </c>
      <c r="O589" s="12">
        <v>10</v>
      </c>
      <c r="P589" s="13">
        <v>0.05</v>
      </c>
      <c r="Q589" s="19">
        <v>1131.18</v>
      </c>
      <c r="R589" s="45" t="str">
        <f t="shared" si="36"/>
        <v>OK</v>
      </c>
      <c r="S589" s="45">
        <f t="shared" si="37"/>
        <v>647.38714285714286</v>
      </c>
      <c r="T589" s="45">
        <f t="shared" si="38"/>
        <v>7</v>
      </c>
      <c r="U589" s="45">
        <f t="shared" si="39"/>
        <v>4531.71</v>
      </c>
    </row>
    <row r="590" spans="1:21" x14ac:dyDescent="0.3">
      <c r="A590" s="16" t="s">
        <v>782</v>
      </c>
      <c r="B590" s="31">
        <v>45077</v>
      </c>
      <c r="C590" s="31">
        <v>45082</v>
      </c>
      <c r="D590" s="2" t="s">
        <v>73</v>
      </c>
      <c r="E590" s="2" t="s">
        <v>733</v>
      </c>
      <c r="F590" s="4" t="s">
        <v>734</v>
      </c>
      <c r="G590" s="4" t="s">
        <v>51</v>
      </c>
      <c r="H590" s="4" t="s">
        <v>324</v>
      </c>
      <c r="I590" s="4" t="s">
        <v>116</v>
      </c>
      <c r="J590" s="4" t="s">
        <v>54</v>
      </c>
      <c r="K590" s="4" t="s">
        <v>25</v>
      </c>
      <c r="L590" s="4" t="s">
        <v>124</v>
      </c>
      <c r="M590" s="4" t="s">
        <v>783</v>
      </c>
      <c r="N590" s="5">
        <v>10474.709999999999</v>
      </c>
      <c r="O590" s="6">
        <v>5</v>
      </c>
      <c r="P590" s="7">
        <v>0.4</v>
      </c>
      <c r="Q590" s="18">
        <v>-3762.69</v>
      </c>
      <c r="R590" s="45" t="str">
        <f t="shared" si="36"/>
        <v>OK</v>
      </c>
      <c r="S590" s="45">
        <f t="shared" si="37"/>
        <v>647.38714285714286</v>
      </c>
      <c r="T590" s="45">
        <f t="shared" si="38"/>
        <v>7</v>
      </c>
      <c r="U590" s="45">
        <f t="shared" si="39"/>
        <v>4531.71</v>
      </c>
    </row>
    <row r="591" spans="1:21" x14ac:dyDescent="0.3">
      <c r="A591" s="16" t="s">
        <v>1243</v>
      </c>
      <c r="B591" s="31">
        <v>45077</v>
      </c>
      <c r="C591" s="31">
        <v>45080</v>
      </c>
      <c r="D591" s="2" t="s">
        <v>39</v>
      </c>
      <c r="E591" s="2" t="s">
        <v>445</v>
      </c>
      <c r="F591" s="4" t="s">
        <v>446</v>
      </c>
      <c r="G591" s="4" t="s">
        <v>51</v>
      </c>
      <c r="H591" s="4" t="s">
        <v>183</v>
      </c>
      <c r="I591" s="4" t="s">
        <v>184</v>
      </c>
      <c r="J591" s="4" t="s">
        <v>54</v>
      </c>
      <c r="K591" s="4" t="s">
        <v>35</v>
      </c>
      <c r="L591" s="4" t="s">
        <v>36</v>
      </c>
      <c r="M591" s="4" t="s">
        <v>1244</v>
      </c>
      <c r="N591" s="5">
        <v>1765.94</v>
      </c>
      <c r="O591" s="6">
        <v>8</v>
      </c>
      <c r="P591" s="7">
        <v>0.1</v>
      </c>
      <c r="Q591" s="18">
        <v>550.08000000000004</v>
      </c>
      <c r="R591" s="45" t="str">
        <f t="shared" si="36"/>
        <v>OK</v>
      </c>
      <c r="S591" s="45">
        <f t="shared" si="37"/>
        <v>647.38714285714286</v>
      </c>
      <c r="T591" s="45">
        <f t="shared" si="38"/>
        <v>7</v>
      </c>
      <c r="U591" s="45">
        <f t="shared" si="39"/>
        <v>4531.71</v>
      </c>
    </row>
    <row r="592" spans="1:21" x14ac:dyDescent="0.3">
      <c r="A592" s="16" t="s">
        <v>2185</v>
      </c>
      <c r="B592" s="31">
        <v>45078</v>
      </c>
      <c r="C592" s="31">
        <v>45082</v>
      </c>
      <c r="D592" s="2" t="s">
        <v>39</v>
      </c>
      <c r="E592" s="2" t="s">
        <v>1982</v>
      </c>
      <c r="F592" s="4" t="s">
        <v>1983</v>
      </c>
      <c r="G592" s="4" t="s">
        <v>21</v>
      </c>
      <c r="H592" s="4" t="s">
        <v>22</v>
      </c>
      <c r="I592" s="4" t="s">
        <v>23</v>
      </c>
      <c r="J592" s="4" t="s">
        <v>24</v>
      </c>
      <c r="K592" s="4" t="s">
        <v>45</v>
      </c>
      <c r="L592" s="4" t="s">
        <v>61</v>
      </c>
      <c r="M592" s="4" t="s">
        <v>2186</v>
      </c>
      <c r="N592" s="5">
        <v>6174.5</v>
      </c>
      <c r="O592" s="6">
        <v>8</v>
      </c>
      <c r="P592" s="7">
        <v>0.1</v>
      </c>
      <c r="Q592" s="18">
        <v>538.82000000000005</v>
      </c>
      <c r="R592" s="45" t="str">
        <f t="shared" si="36"/>
        <v>OK</v>
      </c>
      <c r="S592" s="45">
        <f t="shared" si="37"/>
        <v>647.38714285714286</v>
      </c>
      <c r="T592" s="45">
        <f t="shared" si="38"/>
        <v>7</v>
      </c>
      <c r="U592" s="45">
        <f t="shared" si="39"/>
        <v>4531.71</v>
      </c>
    </row>
    <row r="593" spans="1:21" x14ac:dyDescent="0.3">
      <c r="A593" s="16" t="s">
        <v>1055</v>
      </c>
      <c r="B593" s="31">
        <v>45081</v>
      </c>
      <c r="C593" s="31">
        <v>45084</v>
      </c>
      <c r="D593" s="2" t="s">
        <v>39</v>
      </c>
      <c r="E593" s="2" t="s">
        <v>701</v>
      </c>
      <c r="F593" s="4" t="s">
        <v>702</v>
      </c>
      <c r="G593" s="4" t="s">
        <v>21</v>
      </c>
      <c r="H593" s="4" t="s">
        <v>43</v>
      </c>
      <c r="I593" s="4" t="s">
        <v>44</v>
      </c>
      <c r="J593" s="4" t="s">
        <v>24</v>
      </c>
      <c r="K593" s="4" t="s">
        <v>25</v>
      </c>
      <c r="L593" s="4" t="s">
        <v>68</v>
      </c>
      <c r="M593" s="4" t="s">
        <v>1056</v>
      </c>
      <c r="N593" s="5">
        <v>218.03</v>
      </c>
      <c r="O593" s="6">
        <v>9</v>
      </c>
      <c r="P593" s="7">
        <v>0.15</v>
      </c>
      <c r="Q593" s="18">
        <v>45.41</v>
      </c>
      <c r="R593" s="45" t="str">
        <f t="shared" si="36"/>
        <v>OK</v>
      </c>
      <c r="S593" s="45">
        <f t="shared" si="37"/>
        <v>647.38714285714286</v>
      </c>
      <c r="T593" s="45">
        <f t="shared" si="38"/>
        <v>7</v>
      </c>
      <c r="U593" s="45">
        <f t="shared" si="39"/>
        <v>4531.71</v>
      </c>
    </row>
    <row r="594" spans="1:21" x14ac:dyDescent="0.3">
      <c r="A594" s="16" t="s">
        <v>2351</v>
      </c>
      <c r="B594" s="31">
        <v>45081</v>
      </c>
      <c r="C594" s="31">
        <v>45086</v>
      </c>
      <c r="D594" s="2" t="s">
        <v>73</v>
      </c>
      <c r="E594" s="2" t="s">
        <v>1166</v>
      </c>
      <c r="F594" s="4" t="s">
        <v>1167</v>
      </c>
      <c r="G594" s="4" t="s">
        <v>21</v>
      </c>
      <c r="H594" s="4" t="s">
        <v>98</v>
      </c>
      <c r="I594" s="4" t="s">
        <v>80</v>
      </c>
      <c r="J594" s="4" t="s">
        <v>54</v>
      </c>
      <c r="K594" s="4" t="s">
        <v>35</v>
      </c>
      <c r="L594" s="4" t="s">
        <v>89</v>
      </c>
      <c r="M594" s="4" t="s">
        <v>2352</v>
      </c>
      <c r="N594" s="5">
        <v>557.35</v>
      </c>
      <c r="O594" s="6">
        <v>6</v>
      </c>
      <c r="P594" s="7">
        <v>0.4</v>
      </c>
      <c r="Q594" s="18">
        <v>-112.01</v>
      </c>
      <c r="R594" s="45" t="str">
        <f t="shared" si="36"/>
        <v>OK</v>
      </c>
      <c r="S594" s="45">
        <f t="shared" si="37"/>
        <v>647.38714285714286</v>
      </c>
      <c r="T594" s="45">
        <f t="shared" si="38"/>
        <v>7</v>
      </c>
      <c r="U594" s="45">
        <f t="shared" si="39"/>
        <v>4531.71</v>
      </c>
    </row>
    <row r="595" spans="1:21" x14ac:dyDescent="0.3">
      <c r="A595" s="17" t="s">
        <v>1989</v>
      </c>
      <c r="B595" s="32">
        <v>45084</v>
      </c>
      <c r="C595" s="32">
        <v>45086</v>
      </c>
      <c r="D595" s="8" t="s">
        <v>18</v>
      </c>
      <c r="E595" s="8" t="s">
        <v>946</v>
      </c>
      <c r="F595" s="10" t="s">
        <v>947</v>
      </c>
      <c r="G595" s="10" t="s">
        <v>21</v>
      </c>
      <c r="H595" s="10" t="s">
        <v>156</v>
      </c>
      <c r="I595" s="10" t="s">
        <v>157</v>
      </c>
      <c r="J595" s="10" t="s">
        <v>88</v>
      </c>
      <c r="K595" s="10" t="s">
        <v>45</v>
      </c>
      <c r="L595" s="10" t="s">
        <v>46</v>
      </c>
      <c r="M595" s="10" t="s">
        <v>1990</v>
      </c>
      <c r="N595" s="11">
        <v>758.44</v>
      </c>
      <c r="O595" s="12">
        <v>1</v>
      </c>
      <c r="P595" s="13">
        <v>0</v>
      </c>
      <c r="Q595" s="19">
        <v>213.99</v>
      </c>
      <c r="R595" s="45" t="str">
        <f t="shared" si="36"/>
        <v>OK</v>
      </c>
      <c r="S595" s="45">
        <f t="shared" si="37"/>
        <v>647.38714285714286</v>
      </c>
      <c r="T595" s="45">
        <f t="shared" si="38"/>
        <v>7</v>
      </c>
      <c r="U595" s="45">
        <f t="shared" si="39"/>
        <v>4531.71</v>
      </c>
    </row>
    <row r="596" spans="1:21" x14ac:dyDescent="0.3">
      <c r="A596" s="16" t="s">
        <v>1838</v>
      </c>
      <c r="B596" s="31">
        <v>45085</v>
      </c>
      <c r="C596" s="31">
        <v>45086</v>
      </c>
      <c r="D596" s="2" t="s">
        <v>18</v>
      </c>
      <c r="E596" s="2" t="s">
        <v>768</v>
      </c>
      <c r="F596" s="4" t="s">
        <v>769</v>
      </c>
      <c r="G596" s="4" t="s">
        <v>51</v>
      </c>
      <c r="H596" s="4" t="s">
        <v>183</v>
      </c>
      <c r="I596" s="4" t="s">
        <v>184</v>
      </c>
      <c r="J596" s="4" t="s">
        <v>54</v>
      </c>
      <c r="K596" s="4" t="s">
        <v>35</v>
      </c>
      <c r="L596" s="4" t="s">
        <v>166</v>
      </c>
      <c r="M596" s="4" t="s">
        <v>531</v>
      </c>
      <c r="N596" s="5">
        <v>521.99</v>
      </c>
      <c r="O596" s="6">
        <v>7</v>
      </c>
      <c r="P596" s="7">
        <v>0</v>
      </c>
      <c r="Q596" s="18">
        <v>171.93</v>
      </c>
      <c r="R596" s="45" t="str">
        <f t="shared" si="36"/>
        <v>OK</v>
      </c>
      <c r="S596" s="45">
        <f t="shared" si="37"/>
        <v>647.38714285714286</v>
      </c>
      <c r="T596" s="45">
        <f t="shared" si="38"/>
        <v>7</v>
      </c>
      <c r="U596" s="45">
        <f t="shared" si="39"/>
        <v>4531.71</v>
      </c>
    </row>
    <row r="597" spans="1:21" x14ac:dyDescent="0.3">
      <c r="A597" s="16" t="s">
        <v>1858</v>
      </c>
      <c r="B597" s="31">
        <v>45085</v>
      </c>
      <c r="C597" s="31">
        <v>45089</v>
      </c>
      <c r="D597" s="2" t="s">
        <v>39</v>
      </c>
      <c r="E597" s="2" t="s">
        <v>281</v>
      </c>
      <c r="F597" s="4" t="s">
        <v>282</v>
      </c>
      <c r="G597" s="4" t="s">
        <v>21</v>
      </c>
      <c r="H597" s="4" t="s">
        <v>250</v>
      </c>
      <c r="I597" s="4" t="s">
        <v>251</v>
      </c>
      <c r="J597" s="4" t="s">
        <v>88</v>
      </c>
      <c r="K597" s="4" t="s">
        <v>35</v>
      </c>
      <c r="L597" s="4" t="s">
        <v>166</v>
      </c>
      <c r="M597" s="4" t="s">
        <v>1859</v>
      </c>
      <c r="N597" s="5">
        <v>59.74</v>
      </c>
      <c r="O597" s="6">
        <v>1</v>
      </c>
      <c r="P597" s="7">
        <v>0</v>
      </c>
      <c r="Q597" s="18">
        <v>21.91</v>
      </c>
      <c r="R597" s="45" t="str">
        <f t="shared" si="36"/>
        <v>OK</v>
      </c>
      <c r="S597" s="45">
        <f t="shared" si="37"/>
        <v>647.38714285714286</v>
      </c>
      <c r="T597" s="45">
        <f t="shared" si="38"/>
        <v>7</v>
      </c>
      <c r="U597" s="45">
        <f t="shared" si="39"/>
        <v>4531.71</v>
      </c>
    </row>
    <row r="598" spans="1:21" x14ac:dyDescent="0.3">
      <c r="A598" s="16" t="s">
        <v>190</v>
      </c>
      <c r="B598" s="31">
        <v>45088</v>
      </c>
      <c r="C598" s="31">
        <v>45093</v>
      </c>
      <c r="D598" s="2" t="s">
        <v>29</v>
      </c>
      <c r="E598" s="2" t="s">
        <v>191</v>
      </c>
      <c r="F598" s="4" t="s">
        <v>192</v>
      </c>
      <c r="G598" s="4" t="s">
        <v>21</v>
      </c>
      <c r="H598" s="4" t="s">
        <v>193</v>
      </c>
      <c r="I598" s="4" t="s">
        <v>194</v>
      </c>
      <c r="J598" s="4" t="s">
        <v>34</v>
      </c>
      <c r="K598" s="4" t="s">
        <v>35</v>
      </c>
      <c r="L598" s="4" t="s">
        <v>36</v>
      </c>
      <c r="M598" s="4" t="s">
        <v>195</v>
      </c>
      <c r="N598" s="5">
        <v>434.62</v>
      </c>
      <c r="O598" s="6">
        <v>3</v>
      </c>
      <c r="P598" s="7">
        <v>0.3</v>
      </c>
      <c r="Q598" s="18">
        <v>32.200000000000003</v>
      </c>
      <c r="R598" s="45" t="str">
        <f t="shared" si="36"/>
        <v>OK</v>
      </c>
      <c r="S598" s="45">
        <f t="shared" si="37"/>
        <v>647.38714285714286</v>
      </c>
      <c r="T598" s="45">
        <f t="shared" si="38"/>
        <v>7</v>
      </c>
      <c r="U598" s="45">
        <f t="shared" si="39"/>
        <v>4531.71</v>
      </c>
    </row>
    <row r="599" spans="1:21" x14ac:dyDescent="0.3">
      <c r="A599" s="17" t="s">
        <v>444</v>
      </c>
      <c r="B599" s="32">
        <v>45090</v>
      </c>
      <c r="C599" s="32">
        <v>45088</v>
      </c>
      <c r="D599" s="8" t="s">
        <v>18</v>
      </c>
      <c r="E599" s="8" t="s">
        <v>445</v>
      </c>
      <c r="F599" s="10" t="s">
        <v>446</v>
      </c>
      <c r="G599" s="10" t="s">
        <v>51</v>
      </c>
      <c r="H599" s="10" t="s">
        <v>183</v>
      </c>
      <c r="I599" s="10" t="s">
        <v>184</v>
      </c>
      <c r="J599" s="10" t="s">
        <v>54</v>
      </c>
      <c r="K599" s="10" t="s">
        <v>45</v>
      </c>
      <c r="L599" s="10" t="s">
        <v>117</v>
      </c>
      <c r="M599" s="10" t="s">
        <v>447</v>
      </c>
      <c r="N599" s="11">
        <v>228.34</v>
      </c>
      <c r="O599" s="12">
        <v>5</v>
      </c>
      <c r="P599" s="13">
        <v>0.3</v>
      </c>
      <c r="Q599" s="19">
        <v>-5.76</v>
      </c>
      <c r="R599" s="45" t="str">
        <f t="shared" si="36"/>
        <v>Error</v>
      </c>
      <c r="S599" s="45">
        <f t="shared" si="37"/>
        <v>647.38714285714286</v>
      </c>
      <c r="T599" s="45">
        <f t="shared" si="38"/>
        <v>7</v>
      </c>
      <c r="U599" s="45">
        <f t="shared" si="39"/>
        <v>4531.71</v>
      </c>
    </row>
    <row r="600" spans="1:21" x14ac:dyDescent="0.3">
      <c r="A600" s="17" t="s">
        <v>661</v>
      </c>
      <c r="B600" s="32">
        <v>45094</v>
      </c>
      <c r="C600" s="32">
        <v>45099</v>
      </c>
      <c r="D600" s="8" t="s">
        <v>29</v>
      </c>
      <c r="E600" s="8" t="s">
        <v>662</v>
      </c>
      <c r="F600" s="10" t="s">
        <v>663</v>
      </c>
      <c r="G600" s="10" t="s">
        <v>21</v>
      </c>
      <c r="H600" s="10" t="s">
        <v>104</v>
      </c>
      <c r="I600" s="10" t="s">
        <v>105</v>
      </c>
      <c r="J600" s="10" t="s">
        <v>88</v>
      </c>
      <c r="K600" s="10" t="s">
        <v>25</v>
      </c>
      <c r="L600" s="10" t="s">
        <v>124</v>
      </c>
      <c r="M600" s="10" t="s">
        <v>664</v>
      </c>
      <c r="N600" s="11">
        <v>5737.98</v>
      </c>
      <c r="O600" s="12">
        <v>3</v>
      </c>
      <c r="P600" s="13">
        <v>0.5</v>
      </c>
      <c r="Q600" s="19">
        <v>-3195.99</v>
      </c>
      <c r="R600" s="45" t="str">
        <f t="shared" si="36"/>
        <v>OK</v>
      </c>
      <c r="S600" s="45">
        <f t="shared" si="37"/>
        <v>647.38714285714286</v>
      </c>
      <c r="T600" s="45">
        <f t="shared" si="38"/>
        <v>7</v>
      </c>
      <c r="U600" s="45">
        <f t="shared" si="39"/>
        <v>4531.71</v>
      </c>
    </row>
    <row r="601" spans="1:21" x14ac:dyDescent="0.3">
      <c r="A601" s="16" t="s">
        <v>1413</v>
      </c>
      <c r="B601" s="31">
        <v>45095</v>
      </c>
      <c r="C601" s="31">
        <v>45098</v>
      </c>
      <c r="D601" s="2" t="s">
        <v>73</v>
      </c>
      <c r="E601" s="2" t="s">
        <v>741</v>
      </c>
      <c r="F601" s="4" t="s">
        <v>742</v>
      </c>
      <c r="G601" s="4" t="s">
        <v>51</v>
      </c>
      <c r="H601" s="4" t="s">
        <v>260</v>
      </c>
      <c r="I601" s="4" t="s">
        <v>151</v>
      </c>
      <c r="J601" s="4" t="s">
        <v>34</v>
      </c>
      <c r="K601" s="4" t="s">
        <v>45</v>
      </c>
      <c r="L601" s="4" t="s">
        <v>61</v>
      </c>
      <c r="M601" s="4" t="s">
        <v>989</v>
      </c>
      <c r="N601" s="5">
        <v>2188.9699999999998</v>
      </c>
      <c r="O601" s="6">
        <v>9</v>
      </c>
      <c r="P601" s="7">
        <v>0.15</v>
      </c>
      <c r="Q601" s="18">
        <v>-254.65</v>
      </c>
      <c r="R601" s="45" t="str">
        <f t="shared" si="36"/>
        <v>OK</v>
      </c>
      <c r="S601" s="45">
        <f t="shared" si="37"/>
        <v>647.38714285714286</v>
      </c>
      <c r="T601" s="45">
        <f t="shared" si="38"/>
        <v>7</v>
      </c>
      <c r="U601" s="45">
        <f t="shared" si="39"/>
        <v>4531.71</v>
      </c>
    </row>
    <row r="602" spans="1:21" x14ac:dyDescent="0.3">
      <c r="A602" s="16" t="s">
        <v>1050</v>
      </c>
      <c r="B602" s="31">
        <v>45097</v>
      </c>
      <c r="C602" s="31">
        <v>45103</v>
      </c>
      <c r="D602" s="2" t="s">
        <v>29</v>
      </c>
      <c r="E602" s="2" t="s">
        <v>380</v>
      </c>
      <c r="F602" s="4" t="s">
        <v>381</v>
      </c>
      <c r="G602" s="4" t="s">
        <v>51</v>
      </c>
      <c r="H602" s="4" t="s">
        <v>156</v>
      </c>
      <c r="I602" s="4" t="s">
        <v>157</v>
      </c>
      <c r="J602" s="4" t="s">
        <v>88</v>
      </c>
      <c r="K602" s="4" t="s">
        <v>25</v>
      </c>
      <c r="L602" s="4" t="s">
        <v>26</v>
      </c>
      <c r="M602" s="4" t="s">
        <v>447</v>
      </c>
      <c r="N602" s="5">
        <v>3562.86</v>
      </c>
      <c r="O602" s="6">
        <v>3</v>
      </c>
      <c r="P602" s="7">
        <v>0.3</v>
      </c>
      <c r="Q602" s="18">
        <v>-478.62</v>
      </c>
      <c r="R602" s="45" t="str">
        <f t="shared" si="36"/>
        <v>OK</v>
      </c>
      <c r="S602" s="45">
        <f t="shared" si="37"/>
        <v>647.38714285714286</v>
      </c>
      <c r="T602" s="45">
        <f t="shared" si="38"/>
        <v>7</v>
      </c>
      <c r="U602" s="45">
        <f t="shared" si="39"/>
        <v>4531.71</v>
      </c>
    </row>
    <row r="603" spans="1:21" x14ac:dyDescent="0.3">
      <c r="A603" s="17" t="s">
        <v>1496</v>
      </c>
      <c r="B603" s="32">
        <v>45097</v>
      </c>
      <c r="C603" s="32">
        <v>45099</v>
      </c>
      <c r="D603" s="8" t="s">
        <v>18</v>
      </c>
      <c r="E603" s="8" t="s">
        <v>543</v>
      </c>
      <c r="F603" s="10" t="s">
        <v>544</v>
      </c>
      <c r="G603" s="10" t="s">
        <v>42</v>
      </c>
      <c r="H603" s="10" t="s">
        <v>346</v>
      </c>
      <c r="I603" s="10" t="s">
        <v>347</v>
      </c>
      <c r="J603" s="10" t="s">
        <v>88</v>
      </c>
      <c r="K603" s="10" t="s">
        <v>45</v>
      </c>
      <c r="L603" s="10" t="s">
        <v>99</v>
      </c>
      <c r="M603" s="10" t="s">
        <v>1497</v>
      </c>
      <c r="N603" s="11">
        <v>297.17</v>
      </c>
      <c r="O603" s="12">
        <v>6</v>
      </c>
      <c r="P603" s="13">
        <v>0.2</v>
      </c>
      <c r="Q603" s="19">
        <v>21.43</v>
      </c>
      <c r="R603" s="45" t="str">
        <f t="shared" si="36"/>
        <v>OK</v>
      </c>
      <c r="S603" s="45">
        <f t="shared" si="37"/>
        <v>647.38714285714286</v>
      </c>
      <c r="T603" s="45">
        <f t="shared" si="38"/>
        <v>7</v>
      </c>
      <c r="U603" s="45">
        <f t="shared" si="39"/>
        <v>4531.71</v>
      </c>
    </row>
    <row r="604" spans="1:21" x14ac:dyDescent="0.3">
      <c r="A604" s="17" t="s">
        <v>1554</v>
      </c>
      <c r="B604" s="32">
        <v>45097</v>
      </c>
      <c r="C604" s="32">
        <v>45099</v>
      </c>
      <c r="D604" s="8" t="s">
        <v>18</v>
      </c>
      <c r="E604" s="8" t="s">
        <v>303</v>
      </c>
      <c r="F604" s="10" t="s">
        <v>304</v>
      </c>
      <c r="G604" s="10" t="s">
        <v>42</v>
      </c>
      <c r="H604" s="10" t="s">
        <v>305</v>
      </c>
      <c r="I604" s="10" t="s">
        <v>306</v>
      </c>
      <c r="J604" s="10" t="s">
        <v>34</v>
      </c>
      <c r="K604" s="10" t="s">
        <v>25</v>
      </c>
      <c r="L604" s="10" t="s">
        <v>68</v>
      </c>
      <c r="M604" s="10" t="s">
        <v>1555</v>
      </c>
      <c r="N604" s="11">
        <v>1043.6400000000001</v>
      </c>
      <c r="O604" s="12">
        <v>9</v>
      </c>
      <c r="P604" s="13">
        <v>0</v>
      </c>
      <c r="Q604" s="19">
        <v>469.25</v>
      </c>
      <c r="R604" s="45" t="str">
        <f t="shared" si="36"/>
        <v>OK</v>
      </c>
      <c r="S604" s="45">
        <f t="shared" si="37"/>
        <v>647.38714285714286</v>
      </c>
      <c r="T604" s="45">
        <f t="shared" si="38"/>
        <v>7</v>
      </c>
      <c r="U604" s="45">
        <f t="shared" si="39"/>
        <v>4531.71</v>
      </c>
    </row>
    <row r="605" spans="1:21" x14ac:dyDescent="0.3">
      <c r="A605" s="16" t="s">
        <v>984</v>
      </c>
      <c r="B605" s="31">
        <v>45099</v>
      </c>
      <c r="C605" s="31">
        <v>45104</v>
      </c>
      <c r="D605" s="2" t="s">
        <v>29</v>
      </c>
      <c r="E605" s="2" t="s">
        <v>248</v>
      </c>
      <c r="F605" s="4" t="s">
        <v>249</v>
      </c>
      <c r="G605" s="4" t="s">
        <v>51</v>
      </c>
      <c r="H605" s="4" t="s">
        <v>250</v>
      </c>
      <c r="I605" s="4" t="s">
        <v>251</v>
      </c>
      <c r="J605" s="4" t="s">
        <v>88</v>
      </c>
      <c r="K605" s="4" t="s">
        <v>25</v>
      </c>
      <c r="L605" s="4" t="s">
        <v>124</v>
      </c>
      <c r="M605" s="4" t="s">
        <v>985</v>
      </c>
      <c r="N605" s="5">
        <v>16699.12</v>
      </c>
      <c r="O605" s="6">
        <v>8</v>
      </c>
      <c r="P605" s="7">
        <v>0</v>
      </c>
      <c r="Q605" s="18">
        <v>3139.18</v>
      </c>
      <c r="R605" s="45" t="str">
        <f t="shared" si="36"/>
        <v>OK</v>
      </c>
      <c r="S605" s="45">
        <f t="shared" si="37"/>
        <v>647.38714285714286</v>
      </c>
      <c r="T605" s="45">
        <f t="shared" si="38"/>
        <v>7</v>
      </c>
      <c r="U605" s="45">
        <f t="shared" si="39"/>
        <v>4531.71</v>
      </c>
    </row>
    <row r="606" spans="1:21" x14ac:dyDescent="0.3">
      <c r="A606" s="17" t="s">
        <v>1749</v>
      </c>
      <c r="B606" s="32">
        <v>45102</v>
      </c>
      <c r="C606" s="32">
        <v>45105</v>
      </c>
      <c r="D606" s="8" t="s">
        <v>73</v>
      </c>
      <c r="E606" s="8" t="s">
        <v>277</v>
      </c>
      <c r="F606" s="10" t="s">
        <v>278</v>
      </c>
      <c r="G606" s="10" t="s">
        <v>21</v>
      </c>
      <c r="H606" s="10" t="s">
        <v>104</v>
      </c>
      <c r="I606" s="10" t="s">
        <v>105</v>
      </c>
      <c r="J606" s="10" t="s">
        <v>88</v>
      </c>
      <c r="K606" s="10" t="s">
        <v>45</v>
      </c>
      <c r="L606" s="10" t="s">
        <v>61</v>
      </c>
      <c r="M606" s="10" t="s">
        <v>1750</v>
      </c>
      <c r="N606" s="11">
        <v>2205.79</v>
      </c>
      <c r="O606" s="12">
        <v>8</v>
      </c>
      <c r="P606" s="13">
        <v>0.1</v>
      </c>
      <c r="Q606" s="19">
        <v>-103.19</v>
      </c>
      <c r="R606" s="45" t="str">
        <f t="shared" si="36"/>
        <v>OK</v>
      </c>
      <c r="S606" s="45">
        <f t="shared" si="37"/>
        <v>647.38714285714286</v>
      </c>
      <c r="T606" s="45">
        <f t="shared" si="38"/>
        <v>7</v>
      </c>
      <c r="U606" s="45">
        <f t="shared" si="39"/>
        <v>4531.71</v>
      </c>
    </row>
    <row r="607" spans="1:21" x14ac:dyDescent="0.3">
      <c r="A607" s="17" t="s">
        <v>935</v>
      </c>
      <c r="B607" s="32">
        <v>45104</v>
      </c>
      <c r="C607" s="32">
        <v>45107</v>
      </c>
      <c r="D607" s="8" t="s">
        <v>39</v>
      </c>
      <c r="E607" s="8" t="s">
        <v>441</v>
      </c>
      <c r="F607" s="10" t="s">
        <v>442</v>
      </c>
      <c r="G607" s="10" t="s">
        <v>21</v>
      </c>
      <c r="H607" s="10" t="s">
        <v>98</v>
      </c>
      <c r="I607" s="10" t="s">
        <v>80</v>
      </c>
      <c r="J607" s="10" t="s">
        <v>54</v>
      </c>
      <c r="K607" s="10" t="s">
        <v>25</v>
      </c>
      <c r="L607" s="10" t="s">
        <v>74</v>
      </c>
      <c r="M607" s="10" t="s">
        <v>936</v>
      </c>
      <c r="N607" s="11">
        <v>753.5</v>
      </c>
      <c r="O607" s="12">
        <v>3</v>
      </c>
      <c r="P607" s="13">
        <v>0.4</v>
      </c>
      <c r="Q607" s="19">
        <v>-125.27</v>
      </c>
      <c r="R607" s="45" t="str">
        <f t="shared" si="36"/>
        <v>OK</v>
      </c>
      <c r="S607" s="45">
        <f t="shared" si="37"/>
        <v>647.38714285714286</v>
      </c>
      <c r="T607" s="45">
        <f t="shared" si="38"/>
        <v>7</v>
      </c>
      <c r="U607" s="45">
        <f t="shared" si="39"/>
        <v>4531.71</v>
      </c>
    </row>
    <row r="608" spans="1:21" x14ac:dyDescent="0.3">
      <c r="A608" s="16" t="s">
        <v>1234</v>
      </c>
      <c r="B608" s="31">
        <v>45104</v>
      </c>
      <c r="C608" s="31">
        <v>45109</v>
      </c>
      <c r="D608" s="2" t="s">
        <v>73</v>
      </c>
      <c r="E608" s="2" t="s">
        <v>298</v>
      </c>
      <c r="F608" s="4" t="s">
        <v>299</v>
      </c>
      <c r="G608" s="4" t="s">
        <v>21</v>
      </c>
      <c r="H608" s="4" t="s">
        <v>300</v>
      </c>
      <c r="I608" s="4" t="s">
        <v>184</v>
      </c>
      <c r="J608" s="4" t="s">
        <v>54</v>
      </c>
      <c r="K608" s="4" t="s">
        <v>45</v>
      </c>
      <c r="L608" s="4" t="s">
        <v>46</v>
      </c>
      <c r="M608" s="4" t="s">
        <v>815</v>
      </c>
      <c r="N608" s="5">
        <v>1230.8800000000001</v>
      </c>
      <c r="O608" s="6">
        <v>4</v>
      </c>
      <c r="P608" s="7">
        <v>0.5</v>
      </c>
      <c r="Q608" s="18">
        <v>-514.54999999999995</v>
      </c>
      <c r="R608" s="45" t="str">
        <f t="shared" si="36"/>
        <v>OK</v>
      </c>
      <c r="S608" s="45">
        <f t="shared" si="37"/>
        <v>647.38714285714286</v>
      </c>
      <c r="T608" s="45">
        <f t="shared" si="38"/>
        <v>7</v>
      </c>
      <c r="U608" s="45">
        <f t="shared" si="39"/>
        <v>4531.71</v>
      </c>
    </row>
    <row r="609" spans="1:21" x14ac:dyDescent="0.3">
      <c r="A609" s="16" t="s">
        <v>200</v>
      </c>
      <c r="B609" s="31">
        <v>45109</v>
      </c>
      <c r="C609" s="31">
        <v>45114</v>
      </c>
      <c r="D609" s="2" t="s">
        <v>73</v>
      </c>
      <c r="E609" s="2" t="s">
        <v>201</v>
      </c>
      <c r="F609" s="4" t="s">
        <v>202</v>
      </c>
      <c r="G609" s="4" t="s">
        <v>21</v>
      </c>
      <c r="H609" s="4" t="s">
        <v>98</v>
      </c>
      <c r="I609" s="4" t="s">
        <v>80</v>
      </c>
      <c r="J609" s="4" t="s">
        <v>54</v>
      </c>
      <c r="K609" s="4" t="s">
        <v>25</v>
      </c>
      <c r="L609" s="4" t="s">
        <v>74</v>
      </c>
      <c r="M609" s="4" t="s">
        <v>203</v>
      </c>
      <c r="N609" s="5">
        <v>797.41</v>
      </c>
      <c r="O609" s="6">
        <v>1</v>
      </c>
      <c r="P609" s="7">
        <v>0</v>
      </c>
      <c r="Q609" s="18">
        <v>281.45999999999998</v>
      </c>
      <c r="R609" s="45" t="str">
        <f t="shared" si="36"/>
        <v>OK</v>
      </c>
      <c r="S609" s="45">
        <f t="shared" si="37"/>
        <v>647.38714285714286</v>
      </c>
      <c r="T609" s="45">
        <f t="shared" si="38"/>
        <v>7</v>
      </c>
      <c r="U609" s="45">
        <f t="shared" si="39"/>
        <v>4531.71</v>
      </c>
    </row>
    <row r="610" spans="1:21" x14ac:dyDescent="0.3">
      <c r="A610" s="16" t="s">
        <v>748</v>
      </c>
      <c r="B610" s="31">
        <v>45110</v>
      </c>
      <c r="C610" s="31">
        <v>45114</v>
      </c>
      <c r="D610" s="2" t="s">
        <v>39</v>
      </c>
      <c r="E610" s="2" t="s">
        <v>191</v>
      </c>
      <c r="F610" s="4" t="s">
        <v>192</v>
      </c>
      <c r="G610" s="4" t="s">
        <v>21</v>
      </c>
      <c r="H610" s="4" t="s">
        <v>193</v>
      </c>
      <c r="I610" s="4" t="s">
        <v>194</v>
      </c>
      <c r="J610" s="4" t="s">
        <v>34</v>
      </c>
      <c r="K610" s="4" t="s">
        <v>45</v>
      </c>
      <c r="L610" s="4" t="s">
        <v>117</v>
      </c>
      <c r="M610" s="4" t="s">
        <v>749</v>
      </c>
      <c r="N610" s="5">
        <v>378.43</v>
      </c>
      <c r="O610" s="6">
        <v>1</v>
      </c>
      <c r="P610" s="7">
        <v>0.2</v>
      </c>
      <c r="Q610" s="18">
        <v>52.37</v>
      </c>
      <c r="R610" s="45" t="str">
        <f t="shared" si="36"/>
        <v>OK</v>
      </c>
      <c r="S610" s="45">
        <f t="shared" si="37"/>
        <v>647.38714285714286</v>
      </c>
      <c r="T610" s="45">
        <f t="shared" si="38"/>
        <v>7</v>
      </c>
      <c r="U610" s="45">
        <f t="shared" si="39"/>
        <v>4531.71</v>
      </c>
    </row>
    <row r="611" spans="1:21" x14ac:dyDescent="0.3">
      <c r="A611" s="17" t="s">
        <v>1485</v>
      </c>
      <c r="B611" s="32">
        <v>45110</v>
      </c>
      <c r="C611" s="32">
        <v>45113</v>
      </c>
      <c r="D611" s="8" t="s">
        <v>73</v>
      </c>
      <c r="E611" s="8" t="s">
        <v>281</v>
      </c>
      <c r="F611" s="10" t="s">
        <v>282</v>
      </c>
      <c r="G611" s="10" t="s">
        <v>21</v>
      </c>
      <c r="H611" s="10" t="s">
        <v>250</v>
      </c>
      <c r="I611" s="10" t="s">
        <v>251</v>
      </c>
      <c r="J611" s="10" t="s">
        <v>88</v>
      </c>
      <c r="K611" s="10" t="s">
        <v>25</v>
      </c>
      <c r="L611" s="10" t="s">
        <v>74</v>
      </c>
      <c r="M611" s="10" t="s">
        <v>1486</v>
      </c>
      <c r="N611" s="11">
        <v>652.24</v>
      </c>
      <c r="O611" s="12">
        <v>4</v>
      </c>
      <c r="P611" s="13">
        <v>0</v>
      </c>
      <c r="Q611" s="19">
        <v>271.33</v>
      </c>
      <c r="R611" s="45" t="str">
        <f t="shared" si="36"/>
        <v>OK</v>
      </c>
      <c r="S611" s="45">
        <f t="shared" si="37"/>
        <v>647.38714285714286</v>
      </c>
      <c r="T611" s="45">
        <f t="shared" si="38"/>
        <v>7</v>
      </c>
      <c r="U611" s="45">
        <f t="shared" si="39"/>
        <v>4531.71</v>
      </c>
    </row>
    <row r="612" spans="1:21" x14ac:dyDescent="0.3">
      <c r="A612" s="17" t="s">
        <v>222</v>
      </c>
      <c r="B612" s="32">
        <v>45115</v>
      </c>
      <c r="C612" s="32">
        <v>45121</v>
      </c>
      <c r="D612" s="8" t="s">
        <v>29</v>
      </c>
      <c r="E612" s="8" t="s">
        <v>223</v>
      </c>
      <c r="F612" s="10" t="s">
        <v>224</v>
      </c>
      <c r="G612" s="10" t="s">
        <v>21</v>
      </c>
      <c r="H612" s="10" t="s">
        <v>59</v>
      </c>
      <c r="I612" s="10" t="s">
        <v>60</v>
      </c>
      <c r="J612" s="10" t="s">
        <v>54</v>
      </c>
      <c r="K612" s="10" t="s">
        <v>25</v>
      </c>
      <c r="L612" s="10" t="s">
        <v>26</v>
      </c>
      <c r="M612" s="10" t="s">
        <v>225</v>
      </c>
      <c r="N612" s="11">
        <v>13765.72</v>
      </c>
      <c r="O612" s="12">
        <v>9</v>
      </c>
      <c r="P612" s="13">
        <v>0.15</v>
      </c>
      <c r="Q612" s="19">
        <v>-213.54</v>
      </c>
      <c r="R612" s="45" t="str">
        <f t="shared" si="36"/>
        <v>OK</v>
      </c>
      <c r="S612" s="45">
        <f t="shared" si="37"/>
        <v>647.38714285714286</v>
      </c>
      <c r="T612" s="45">
        <f t="shared" si="38"/>
        <v>7</v>
      </c>
      <c r="U612" s="45">
        <f t="shared" si="39"/>
        <v>4531.71</v>
      </c>
    </row>
    <row r="613" spans="1:21" x14ac:dyDescent="0.3">
      <c r="A613" s="16" t="s">
        <v>550</v>
      </c>
      <c r="B613" s="31">
        <v>45116</v>
      </c>
      <c r="C613" s="31">
        <v>45121</v>
      </c>
      <c r="D613" s="2" t="s">
        <v>73</v>
      </c>
      <c r="E613" s="2" t="s">
        <v>370</v>
      </c>
      <c r="F613" s="4" t="s">
        <v>371</v>
      </c>
      <c r="G613" s="4" t="s">
        <v>51</v>
      </c>
      <c r="H613" s="4" t="s">
        <v>372</v>
      </c>
      <c r="I613" s="4" t="s">
        <v>373</v>
      </c>
      <c r="J613" s="4" t="s">
        <v>34</v>
      </c>
      <c r="K613" s="4" t="s">
        <v>35</v>
      </c>
      <c r="L613" s="4" t="s">
        <v>110</v>
      </c>
      <c r="M613" s="4" t="s">
        <v>551</v>
      </c>
      <c r="N613" s="5">
        <v>77.56</v>
      </c>
      <c r="O613" s="6">
        <v>4</v>
      </c>
      <c r="P613" s="7">
        <v>0.3</v>
      </c>
      <c r="Q613" s="18">
        <v>14.66</v>
      </c>
      <c r="R613" s="45" t="str">
        <f t="shared" si="36"/>
        <v>OK</v>
      </c>
      <c r="S613" s="45">
        <f t="shared" si="37"/>
        <v>647.38714285714286</v>
      </c>
      <c r="T613" s="45">
        <f t="shared" si="38"/>
        <v>7</v>
      </c>
      <c r="U613" s="45">
        <f t="shared" si="39"/>
        <v>4531.71</v>
      </c>
    </row>
    <row r="614" spans="1:21" x14ac:dyDescent="0.3">
      <c r="A614" s="17" t="s">
        <v>867</v>
      </c>
      <c r="B614" s="32">
        <v>45116</v>
      </c>
      <c r="C614" s="32">
        <v>45119</v>
      </c>
      <c r="D614" s="8" t="s">
        <v>18</v>
      </c>
      <c r="E614" s="8" t="s">
        <v>504</v>
      </c>
      <c r="F614" s="10" t="s">
        <v>505</v>
      </c>
      <c r="G614" s="10" t="s">
        <v>42</v>
      </c>
      <c r="H614" s="10" t="s">
        <v>150</v>
      </c>
      <c r="I614" s="10" t="s">
        <v>151</v>
      </c>
      <c r="J614" s="10" t="s">
        <v>34</v>
      </c>
      <c r="K614" s="10" t="s">
        <v>35</v>
      </c>
      <c r="L614" s="10" t="s">
        <v>158</v>
      </c>
      <c r="M614" s="10" t="s">
        <v>868</v>
      </c>
      <c r="N614" s="11">
        <v>563.57000000000005</v>
      </c>
      <c r="O614" s="12">
        <v>7</v>
      </c>
      <c r="P614" s="13">
        <v>0</v>
      </c>
      <c r="Q614" s="19">
        <v>233.2</v>
      </c>
      <c r="R614" s="45" t="str">
        <f t="shared" si="36"/>
        <v>OK</v>
      </c>
      <c r="S614" s="45">
        <f t="shared" si="37"/>
        <v>647.38714285714286</v>
      </c>
      <c r="T614" s="45">
        <f t="shared" si="38"/>
        <v>7</v>
      </c>
      <c r="U614" s="45">
        <f t="shared" si="39"/>
        <v>4531.71</v>
      </c>
    </row>
    <row r="615" spans="1:21" x14ac:dyDescent="0.3">
      <c r="A615" s="16" t="s">
        <v>494</v>
      </c>
      <c r="B615" s="31">
        <v>45117</v>
      </c>
      <c r="C615" s="31">
        <v>45119</v>
      </c>
      <c r="D615" s="2" t="s">
        <v>39</v>
      </c>
      <c r="E615" s="2" t="s">
        <v>495</v>
      </c>
      <c r="F615" s="4" t="s">
        <v>496</v>
      </c>
      <c r="G615" s="4" t="s">
        <v>51</v>
      </c>
      <c r="H615" s="4" t="s">
        <v>497</v>
      </c>
      <c r="I615" s="4" t="s">
        <v>423</v>
      </c>
      <c r="J615" s="4" t="s">
        <v>88</v>
      </c>
      <c r="K615" s="4" t="s">
        <v>35</v>
      </c>
      <c r="L615" s="4" t="s">
        <v>158</v>
      </c>
      <c r="M615" s="4" t="s">
        <v>498</v>
      </c>
      <c r="N615" s="5">
        <v>216.64</v>
      </c>
      <c r="O615" s="6">
        <v>2</v>
      </c>
      <c r="P615" s="7">
        <v>0</v>
      </c>
      <c r="Q615" s="18">
        <v>95.7</v>
      </c>
      <c r="R615" s="45" t="str">
        <f t="shared" si="36"/>
        <v>OK</v>
      </c>
      <c r="S615" s="45">
        <f t="shared" si="37"/>
        <v>647.38714285714286</v>
      </c>
      <c r="T615" s="45">
        <f t="shared" si="38"/>
        <v>7</v>
      </c>
      <c r="U615" s="45">
        <f t="shared" si="39"/>
        <v>4531.71</v>
      </c>
    </row>
    <row r="616" spans="1:21" x14ac:dyDescent="0.3">
      <c r="A616" s="17" t="s">
        <v>337</v>
      </c>
      <c r="B616" s="32">
        <v>45118</v>
      </c>
      <c r="C616" s="32">
        <v>45120</v>
      </c>
      <c r="D616" s="8" t="s">
        <v>18</v>
      </c>
      <c r="E616" s="8" t="s">
        <v>187</v>
      </c>
      <c r="F616" s="10" t="s">
        <v>188</v>
      </c>
      <c r="G616" s="10" t="s">
        <v>21</v>
      </c>
      <c r="H616" s="10" t="s">
        <v>22</v>
      </c>
      <c r="I616" s="10" t="s">
        <v>23</v>
      </c>
      <c r="J616" s="10" t="s">
        <v>24</v>
      </c>
      <c r="K616" s="10" t="s">
        <v>25</v>
      </c>
      <c r="L616" s="10" t="s">
        <v>74</v>
      </c>
      <c r="M616" s="10" t="s">
        <v>338</v>
      </c>
      <c r="N616" s="11">
        <v>2447.52</v>
      </c>
      <c r="O616" s="12">
        <v>8</v>
      </c>
      <c r="P616" s="13">
        <v>0.4</v>
      </c>
      <c r="Q616" s="19">
        <v>-32.06</v>
      </c>
      <c r="R616" s="45" t="str">
        <f t="shared" si="36"/>
        <v>OK</v>
      </c>
      <c r="S616" s="45">
        <f t="shared" si="37"/>
        <v>647.38714285714286</v>
      </c>
      <c r="T616" s="45">
        <f t="shared" si="38"/>
        <v>7</v>
      </c>
      <c r="U616" s="45">
        <f t="shared" si="39"/>
        <v>4531.71</v>
      </c>
    </row>
    <row r="617" spans="1:21" x14ac:dyDescent="0.3">
      <c r="A617" s="16" t="s">
        <v>1483</v>
      </c>
      <c r="B617" s="31">
        <v>45119</v>
      </c>
      <c r="C617" s="31">
        <v>45123</v>
      </c>
      <c r="D617" s="2" t="s">
        <v>39</v>
      </c>
      <c r="E617" s="2" t="s">
        <v>380</v>
      </c>
      <c r="F617" s="4" t="s">
        <v>381</v>
      </c>
      <c r="G617" s="4" t="s">
        <v>51</v>
      </c>
      <c r="H617" s="4" t="s">
        <v>156</v>
      </c>
      <c r="I617" s="4" t="s">
        <v>157</v>
      </c>
      <c r="J617" s="4" t="s">
        <v>88</v>
      </c>
      <c r="K617" s="4" t="s">
        <v>25</v>
      </c>
      <c r="L617" s="4" t="s">
        <v>124</v>
      </c>
      <c r="M617" s="4" t="s">
        <v>1484</v>
      </c>
      <c r="N617" s="5">
        <v>8206.7000000000007</v>
      </c>
      <c r="O617" s="6">
        <v>5</v>
      </c>
      <c r="P617" s="7">
        <v>0</v>
      </c>
      <c r="Q617" s="18">
        <v>2200.91</v>
      </c>
      <c r="R617" s="45" t="str">
        <f t="shared" si="36"/>
        <v>OK</v>
      </c>
      <c r="S617" s="45">
        <f t="shared" si="37"/>
        <v>647.38714285714286</v>
      </c>
      <c r="T617" s="45">
        <f t="shared" si="38"/>
        <v>7</v>
      </c>
      <c r="U617" s="45">
        <f t="shared" si="39"/>
        <v>4531.71</v>
      </c>
    </row>
    <row r="618" spans="1:21" x14ac:dyDescent="0.3">
      <c r="A618" s="16" t="s">
        <v>1866</v>
      </c>
      <c r="B618" s="31">
        <v>45120</v>
      </c>
      <c r="C618" s="31">
        <v>45123</v>
      </c>
      <c r="D618" s="2" t="s">
        <v>73</v>
      </c>
      <c r="E618" s="2" t="s">
        <v>1015</v>
      </c>
      <c r="F618" s="4" t="s">
        <v>1016</v>
      </c>
      <c r="G618" s="4" t="s">
        <v>42</v>
      </c>
      <c r="H618" s="4" t="s">
        <v>134</v>
      </c>
      <c r="I618" s="4" t="s">
        <v>87</v>
      </c>
      <c r="J618" s="4" t="s">
        <v>88</v>
      </c>
      <c r="K618" s="4" t="s">
        <v>45</v>
      </c>
      <c r="L618" s="4" t="s">
        <v>117</v>
      </c>
      <c r="M618" s="4" t="s">
        <v>1867</v>
      </c>
      <c r="N618" s="5">
        <v>2546.84</v>
      </c>
      <c r="O618" s="6">
        <v>7</v>
      </c>
      <c r="P618" s="7">
        <v>0.15</v>
      </c>
      <c r="Q618" s="18">
        <v>325.49</v>
      </c>
      <c r="R618" s="45" t="str">
        <f t="shared" si="36"/>
        <v>OK</v>
      </c>
      <c r="S618" s="45">
        <f t="shared" si="37"/>
        <v>647.38714285714286</v>
      </c>
      <c r="T618" s="45">
        <f t="shared" si="38"/>
        <v>7</v>
      </c>
      <c r="U618" s="45">
        <f t="shared" si="39"/>
        <v>4531.71</v>
      </c>
    </row>
    <row r="619" spans="1:21" x14ac:dyDescent="0.3">
      <c r="A619" s="17" t="s">
        <v>131</v>
      </c>
      <c r="B619" s="32">
        <v>45122</v>
      </c>
      <c r="C619" s="32">
        <v>45126</v>
      </c>
      <c r="D619" s="8" t="s">
        <v>39</v>
      </c>
      <c r="E619" s="8" t="s">
        <v>132</v>
      </c>
      <c r="F619" s="10" t="s">
        <v>133</v>
      </c>
      <c r="G619" s="10" t="s">
        <v>21</v>
      </c>
      <c r="H619" s="10" t="s">
        <v>134</v>
      </c>
      <c r="I619" s="10" t="s">
        <v>87</v>
      </c>
      <c r="J619" s="10" t="s">
        <v>88</v>
      </c>
      <c r="K619" s="10" t="s">
        <v>25</v>
      </c>
      <c r="L619" s="10" t="s">
        <v>68</v>
      </c>
      <c r="M619" s="10" t="s">
        <v>135</v>
      </c>
      <c r="N619" s="11">
        <v>536.38</v>
      </c>
      <c r="O619" s="12">
        <v>9</v>
      </c>
      <c r="P619" s="13">
        <v>0.4</v>
      </c>
      <c r="Q619" s="19">
        <v>-57.14</v>
      </c>
      <c r="R619" s="45" t="str">
        <f t="shared" si="36"/>
        <v>OK</v>
      </c>
      <c r="S619" s="45">
        <f t="shared" si="37"/>
        <v>647.38714285714286</v>
      </c>
      <c r="T619" s="45">
        <f t="shared" si="38"/>
        <v>7</v>
      </c>
      <c r="U619" s="45">
        <f t="shared" si="39"/>
        <v>4531.71</v>
      </c>
    </row>
    <row r="620" spans="1:21" x14ac:dyDescent="0.3">
      <c r="A620" s="16" t="s">
        <v>716</v>
      </c>
      <c r="B620" s="31">
        <v>45123</v>
      </c>
      <c r="C620" s="31">
        <v>45127</v>
      </c>
      <c r="D620" s="2" t="s">
        <v>73</v>
      </c>
      <c r="E620" s="2" t="s">
        <v>717</v>
      </c>
      <c r="F620" s="4" t="s">
        <v>718</v>
      </c>
      <c r="G620" s="4" t="s">
        <v>51</v>
      </c>
      <c r="H620" s="4" t="s">
        <v>86</v>
      </c>
      <c r="I620" s="4" t="s">
        <v>87</v>
      </c>
      <c r="J620" s="4" t="s">
        <v>88</v>
      </c>
      <c r="K620" s="4" t="s">
        <v>45</v>
      </c>
      <c r="L620" s="4" t="s">
        <v>46</v>
      </c>
      <c r="M620" s="4" t="s">
        <v>719</v>
      </c>
      <c r="N620" s="5">
        <v>2509.7800000000002</v>
      </c>
      <c r="O620" s="6">
        <v>4</v>
      </c>
      <c r="P620" s="7">
        <v>0.15</v>
      </c>
      <c r="Q620" s="18">
        <v>644.6</v>
      </c>
      <c r="R620" s="45" t="str">
        <f t="shared" si="36"/>
        <v>OK</v>
      </c>
      <c r="S620" s="45">
        <f t="shared" si="37"/>
        <v>647.38714285714286</v>
      </c>
      <c r="T620" s="45">
        <f t="shared" si="38"/>
        <v>7</v>
      </c>
      <c r="U620" s="45">
        <f t="shared" si="39"/>
        <v>4531.71</v>
      </c>
    </row>
    <row r="621" spans="1:21" x14ac:dyDescent="0.3">
      <c r="A621" s="17" t="s">
        <v>1245</v>
      </c>
      <c r="B621" s="32">
        <v>45123</v>
      </c>
      <c r="C621" s="32">
        <v>45126</v>
      </c>
      <c r="D621" s="8" t="s">
        <v>73</v>
      </c>
      <c r="E621" s="8" t="s">
        <v>1246</v>
      </c>
      <c r="F621" s="10" t="s">
        <v>1247</v>
      </c>
      <c r="G621" s="10" t="s">
        <v>42</v>
      </c>
      <c r="H621" s="10" t="s">
        <v>1091</v>
      </c>
      <c r="I621" s="10" t="s">
        <v>23</v>
      </c>
      <c r="J621" s="10" t="s">
        <v>24</v>
      </c>
      <c r="K621" s="10" t="s">
        <v>25</v>
      </c>
      <c r="L621" s="10" t="s">
        <v>26</v>
      </c>
      <c r="M621" s="10" t="s">
        <v>1248</v>
      </c>
      <c r="N621" s="11">
        <v>1893.93</v>
      </c>
      <c r="O621" s="12">
        <v>3</v>
      </c>
      <c r="P621" s="13">
        <v>0</v>
      </c>
      <c r="Q621" s="19">
        <v>241.79</v>
      </c>
      <c r="R621" s="45" t="str">
        <f t="shared" si="36"/>
        <v>OK</v>
      </c>
      <c r="S621" s="45">
        <f t="shared" si="37"/>
        <v>647.38714285714286</v>
      </c>
      <c r="T621" s="45">
        <f t="shared" si="38"/>
        <v>7</v>
      </c>
      <c r="U621" s="45">
        <f t="shared" si="39"/>
        <v>4531.71</v>
      </c>
    </row>
    <row r="622" spans="1:21" x14ac:dyDescent="0.3">
      <c r="A622" s="17" t="s">
        <v>1303</v>
      </c>
      <c r="B622" s="32">
        <v>45123</v>
      </c>
      <c r="C622" s="32">
        <v>45130</v>
      </c>
      <c r="D622" s="8" t="s">
        <v>29</v>
      </c>
      <c r="E622" s="8" t="s">
        <v>1201</v>
      </c>
      <c r="F622" s="10" t="s">
        <v>1202</v>
      </c>
      <c r="G622" s="10" t="s">
        <v>51</v>
      </c>
      <c r="H622" s="10" t="s">
        <v>530</v>
      </c>
      <c r="I622" s="10" t="s">
        <v>373</v>
      </c>
      <c r="J622" s="10" t="s">
        <v>1304</v>
      </c>
      <c r="K622" s="10" t="s">
        <v>45</v>
      </c>
      <c r="L622" s="10" t="s">
        <v>99</v>
      </c>
      <c r="M622" s="10" t="s">
        <v>1305</v>
      </c>
      <c r="N622" s="11">
        <v>438.84</v>
      </c>
      <c r="O622" s="12">
        <v>9</v>
      </c>
      <c r="P622" s="13">
        <v>0</v>
      </c>
      <c r="Q622" s="19">
        <v>150.35</v>
      </c>
      <c r="R622" s="45" t="str">
        <f t="shared" si="36"/>
        <v>OK</v>
      </c>
      <c r="S622" s="45">
        <f t="shared" si="37"/>
        <v>647.38714285714286</v>
      </c>
      <c r="T622" s="45">
        <f t="shared" si="38"/>
        <v>7</v>
      </c>
      <c r="U622" s="45">
        <f t="shared" si="39"/>
        <v>4531.71</v>
      </c>
    </row>
    <row r="623" spans="1:21" x14ac:dyDescent="0.3">
      <c r="A623" s="16" t="s">
        <v>560</v>
      </c>
      <c r="B623" s="31">
        <v>45124</v>
      </c>
      <c r="C623" s="31">
        <v>45127</v>
      </c>
      <c r="D623" s="2" t="s">
        <v>39</v>
      </c>
      <c r="E623" s="2" t="s">
        <v>561</v>
      </c>
      <c r="F623" s="4" t="s">
        <v>562</v>
      </c>
      <c r="G623" s="4" t="s">
        <v>42</v>
      </c>
      <c r="H623" s="4" t="s">
        <v>563</v>
      </c>
      <c r="I623" s="4" t="s">
        <v>460</v>
      </c>
      <c r="J623" s="4" t="s">
        <v>54</v>
      </c>
      <c r="K623" s="4" t="s">
        <v>45</v>
      </c>
      <c r="L623" s="4" t="s">
        <v>61</v>
      </c>
      <c r="M623" s="4" t="s">
        <v>564</v>
      </c>
      <c r="N623" s="5">
        <v>174.73</v>
      </c>
      <c r="O623" s="6">
        <v>1</v>
      </c>
      <c r="P623" s="7">
        <v>0.3</v>
      </c>
      <c r="Q623" s="18">
        <v>-56.39</v>
      </c>
      <c r="R623" s="45" t="str">
        <f t="shared" si="36"/>
        <v>OK</v>
      </c>
      <c r="S623" s="45">
        <f t="shared" si="37"/>
        <v>647.38714285714286</v>
      </c>
      <c r="T623" s="45">
        <f t="shared" si="38"/>
        <v>7</v>
      </c>
      <c r="U623" s="45">
        <f t="shared" si="39"/>
        <v>4531.71</v>
      </c>
    </row>
    <row r="624" spans="1:21" x14ac:dyDescent="0.3">
      <c r="A624" s="16" t="s">
        <v>1973</v>
      </c>
      <c r="B624" s="31">
        <v>45125</v>
      </c>
      <c r="C624" s="31">
        <v>45130</v>
      </c>
      <c r="D624" s="2" t="s">
        <v>73</v>
      </c>
      <c r="E624" s="2" t="s">
        <v>666</v>
      </c>
      <c r="F624" s="4" t="s">
        <v>667</v>
      </c>
      <c r="G624" s="4" t="s">
        <v>21</v>
      </c>
      <c r="H624" s="4" t="s">
        <v>372</v>
      </c>
      <c r="I624" s="4" t="s">
        <v>373</v>
      </c>
      <c r="J624" s="4" t="s">
        <v>34</v>
      </c>
      <c r="K624" s="4" t="s">
        <v>25</v>
      </c>
      <c r="L624" s="4" t="s">
        <v>74</v>
      </c>
      <c r="M624" s="4" t="s">
        <v>1974</v>
      </c>
      <c r="N624" s="5">
        <v>630.19000000000005</v>
      </c>
      <c r="O624" s="6">
        <v>9</v>
      </c>
      <c r="P624" s="7">
        <v>0.3</v>
      </c>
      <c r="Q624" s="18">
        <v>27.56</v>
      </c>
      <c r="R624" s="45" t="str">
        <f t="shared" si="36"/>
        <v>OK</v>
      </c>
      <c r="S624" s="45">
        <f t="shared" si="37"/>
        <v>647.38714285714286</v>
      </c>
      <c r="T624" s="45">
        <f t="shared" si="38"/>
        <v>7</v>
      </c>
      <c r="U624" s="45">
        <f t="shared" si="39"/>
        <v>4531.71</v>
      </c>
    </row>
    <row r="625" spans="1:21" x14ac:dyDescent="0.3">
      <c r="A625" s="17" t="s">
        <v>613</v>
      </c>
      <c r="B625" s="32">
        <v>45126</v>
      </c>
      <c r="C625" s="32">
        <v>45130</v>
      </c>
      <c r="D625" s="8" t="s">
        <v>73</v>
      </c>
      <c r="E625" s="8" t="s">
        <v>614</v>
      </c>
      <c r="F625" s="10" t="s">
        <v>615</v>
      </c>
      <c r="G625" s="10" t="s">
        <v>21</v>
      </c>
      <c r="H625" s="10" t="s">
        <v>139</v>
      </c>
      <c r="I625" s="10" t="s">
        <v>140</v>
      </c>
      <c r="J625" s="10" t="s">
        <v>24</v>
      </c>
      <c r="K625" s="10" t="s">
        <v>45</v>
      </c>
      <c r="L625" s="10" t="s">
        <v>117</v>
      </c>
      <c r="M625" s="10" t="s">
        <v>616</v>
      </c>
      <c r="N625" s="11">
        <v>1118</v>
      </c>
      <c r="O625" s="12">
        <v>6</v>
      </c>
      <c r="P625" s="13">
        <v>0.3</v>
      </c>
      <c r="Q625" s="19">
        <v>89.46</v>
      </c>
      <c r="R625" s="45" t="str">
        <f t="shared" si="36"/>
        <v>OK</v>
      </c>
      <c r="S625" s="45">
        <f t="shared" si="37"/>
        <v>647.38714285714286</v>
      </c>
      <c r="T625" s="45">
        <f t="shared" si="38"/>
        <v>7</v>
      </c>
      <c r="U625" s="45">
        <f t="shared" si="39"/>
        <v>4531.71</v>
      </c>
    </row>
    <row r="626" spans="1:21" x14ac:dyDescent="0.3">
      <c r="A626" s="16" t="s">
        <v>235</v>
      </c>
      <c r="B626" s="31">
        <v>45128</v>
      </c>
      <c r="C626" s="31">
        <v>45133</v>
      </c>
      <c r="D626" s="2" t="s">
        <v>29</v>
      </c>
      <c r="E626" s="2" t="s">
        <v>236</v>
      </c>
      <c r="F626" s="4" t="s">
        <v>237</v>
      </c>
      <c r="G626" s="4" t="s">
        <v>51</v>
      </c>
      <c r="H626" s="4" t="s">
        <v>22</v>
      </c>
      <c r="I626" s="4" t="s">
        <v>23</v>
      </c>
      <c r="J626" s="4" t="s">
        <v>24</v>
      </c>
      <c r="K626" s="4" t="s">
        <v>25</v>
      </c>
      <c r="L626" s="4" t="s">
        <v>74</v>
      </c>
      <c r="M626" s="4" t="s">
        <v>238</v>
      </c>
      <c r="N626" s="5">
        <v>6402.16</v>
      </c>
      <c r="O626" s="6">
        <v>9</v>
      </c>
      <c r="P626" s="7">
        <v>0.1</v>
      </c>
      <c r="Q626" s="18">
        <v>2393.13</v>
      </c>
      <c r="R626" s="45" t="str">
        <f t="shared" si="36"/>
        <v>OK</v>
      </c>
      <c r="S626" s="45">
        <f t="shared" si="37"/>
        <v>647.38714285714286</v>
      </c>
      <c r="T626" s="45">
        <f t="shared" si="38"/>
        <v>7</v>
      </c>
      <c r="U626" s="45">
        <f t="shared" si="39"/>
        <v>4531.71</v>
      </c>
    </row>
    <row r="627" spans="1:21" x14ac:dyDescent="0.3">
      <c r="A627" s="16" t="s">
        <v>1447</v>
      </c>
      <c r="B627" s="31">
        <v>45128</v>
      </c>
      <c r="C627" s="31">
        <v>45131</v>
      </c>
      <c r="D627" s="2" t="s">
        <v>39</v>
      </c>
      <c r="E627" s="2" t="s">
        <v>1448</v>
      </c>
      <c r="F627" s="4" t="s">
        <v>1449</v>
      </c>
      <c r="G627" s="4" t="s">
        <v>21</v>
      </c>
      <c r="H627" s="4" t="s">
        <v>122</v>
      </c>
      <c r="I627" s="4" t="s">
        <v>123</v>
      </c>
      <c r="J627" s="4" t="s">
        <v>24</v>
      </c>
      <c r="K627" s="4" t="s">
        <v>35</v>
      </c>
      <c r="L627" s="4" t="s">
        <v>110</v>
      </c>
      <c r="M627" s="4" t="s">
        <v>1450</v>
      </c>
      <c r="N627" s="5">
        <v>101.44</v>
      </c>
      <c r="O627" s="6">
        <v>4</v>
      </c>
      <c r="P627" s="7">
        <v>0</v>
      </c>
      <c r="Q627" s="18">
        <v>46</v>
      </c>
      <c r="R627" s="45" t="str">
        <f t="shared" si="36"/>
        <v>OK</v>
      </c>
      <c r="S627" s="45">
        <f t="shared" si="37"/>
        <v>647.38714285714286</v>
      </c>
      <c r="T627" s="45">
        <f t="shared" si="38"/>
        <v>7</v>
      </c>
      <c r="U627" s="45">
        <f t="shared" si="39"/>
        <v>4531.71</v>
      </c>
    </row>
    <row r="628" spans="1:21" x14ac:dyDescent="0.3">
      <c r="A628" s="16" t="s">
        <v>2173</v>
      </c>
      <c r="B628" s="31">
        <v>45128</v>
      </c>
      <c r="C628" s="31">
        <v>45132</v>
      </c>
      <c r="D628" s="2" t="s">
        <v>73</v>
      </c>
      <c r="E628" s="2" t="s">
        <v>420</v>
      </c>
      <c r="F628" s="4" t="s">
        <v>421</v>
      </c>
      <c r="G628" s="4" t="s">
        <v>51</v>
      </c>
      <c r="H628" s="4" t="s">
        <v>422</v>
      </c>
      <c r="I628" s="4" t="s">
        <v>423</v>
      </c>
      <c r="J628" s="4" t="s">
        <v>88</v>
      </c>
      <c r="K628" s="4" t="s">
        <v>35</v>
      </c>
      <c r="L628" s="4" t="s">
        <v>36</v>
      </c>
      <c r="M628" s="4" t="s">
        <v>2174</v>
      </c>
      <c r="N628" s="5">
        <v>643.84</v>
      </c>
      <c r="O628" s="6">
        <v>3</v>
      </c>
      <c r="P628" s="7">
        <v>0.05</v>
      </c>
      <c r="Q628" s="18">
        <v>204.36</v>
      </c>
      <c r="R628" s="45" t="str">
        <f t="shared" si="36"/>
        <v>OK</v>
      </c>
      <c r="S628" s="45">
        <f t="shared" si="37"/>
        <v>647.38714285714286</v>
      </c>
      <c r="T628" s="45">
        <f t="shared" si="38"/>
        <v>7</v>
      </c>
      <c r="U628" s="45">
        <f t="shared" si="39"/>
        <v>4531.71</v>
      </c>
    </row>
    <row r="629" spans="1:21" x14ac:dyDescent="0.3">
      <c r="A629" s="17" t="s">
        <v>540</v>
      </c>
      <c r="B629" s="32">
        <v>45130</v>
      </c>
      <c r="C629" s="32">
        <v>45133</v>
      </c>
      <c r="D629" s="8" t="s">
        <v>39</v>
      </c>
      <c r="E629" s="8" t="s">
        <v>317</v>
      </c>
      <c r="F629" s="10" t="s">
        <v>318</v>
      </c>
      <c r="G629" s="10" t="s">
        <v>21</v>
      </c>
      <c r="H629" s="10" t="s">
        <v>319</v>
      </c>
      <c r="I629" s="10" t="s">
        <v>194</v>
      </c>
      <c r="J629" s="10" t="s">
        <v>34</v>
      </c>
      <c r="K629" s="10" t="s">
        <v>25</v>
      </c>
      <c r="L629" s="10" t="s">
        <v>26</v>
      </c>
      <c r="M629" s="10" t="s">
        <v>541</v>
      </c>
      <c r="N629" s="11">
        <v>413.09</v>
      </c>
      <c r="O629" s="12">
        <v>1</v>
      </c>
      <c r="P629" s="13">
        <v>0.1</v>
      </c>
      <c r="Q629" s="19">
        <v>12.96</v>
      </c>
      <c r="R629" s="45" t="str">
        <f t="shared" si="36"/>
        <v>OK</v>
      </c>
      <c r="S629" s="45">
        <f t="shared" si="37"/>
        <v>647.38714285714286</v>
      </c>
      <c r="T629" s="45">
        <f t="shared" si="38"/>
        <v>7</v>
      </c>
      <c r="U629" s="45">
        <f t="shared" si="39"/>
        <v>4531.71</v>
      </c>
    </row>
    <row r="630" spans="1:21" x14ac:dyDescent="0.3">
      <c r="A630" s="16" t="s">
        <v>1794</v>
      </c>
      <c r="B630" s="31">
        <v>45131</v>
      </c>
      <c r="C630" s="31">
        <v>45137</v>
      </c>
      <c r="D630" s="2" t="s">
        <v>29</v>
      </c>
      <c r="E630" s="2" t="s">
        <v>148</v>
      </c>
      <c r="F630" s="4" t="s">
        <v>149</v>
      </c>
      <c r="G630" s="4" t="s">
        <v>42</v>
      </c>
      <c r="H630" s="4" t="s">
        <v>150</v>
      </c>
      <c r="I630" s="4" t="s">
        <v>151</v>
      </c>
      <c r="J630" s="4" t="s">
        <v>34</v>
      </c>
      <c r="K630" s="4" t="s">
        <v>45</v>
      </c>
      <c r="L630" s="4" t="s">
        <v>46</v>
      </c>
      <c r="M630" s="4" t="s">
        <v>1795</v>
      </c>
      <c r="N630" s="5">
        <v>820.36</v>
      </c>
      <c r="O630" s="6">
        <v>4</v>
      </c>
      <c r="P630" s="7">
        <v>0</v>
      </c>
      <c r="Q630" s="18">
        <v>320.01</v>
      </c>
      <c r="R630" s="45" t="str">
        <f t="shared" si="36"/>
        <v>OK</v>
      </c>
      <c r="S630" s="45">
        <f t="shared" si="37"/>
        <v>647.38714285714286</v>
      </c>
      <c r="T630" s="45">
        <f t="shared" si="38"/>
        <v>7</v>
      </c>
      <c r="U630" s="45">
        <f t="shared" si="39"/>
        <v>4531.71</v>
      </c>
    </row>
    <row r="631" spans="1:21" x14ac:dyDescent="0.3">
      <c r="A631" s="16" t="s">
        <v>1703</v>
      </c>
      <c r="B631" s="31">
        <v>45133</v>
      </c>
      <c r="C631" s="31">
        <v>45140</v>
      </c>
      <c r="D631" s="2" t="s">
        <v>29</v>
      </c>
      <c r="E631" s="2" t="s">
        <v>426</v>
      </c>
      <c r="F631" s="4" t="s">
        <v>427</v>
      </c>
      <c r="G631" s="4" t="s">
        <v>42</v>
      </c>
      <c r="H631" s="4" t="s">
        <v>412</v>
      </c>
      <c r="I631" s="4" t="s">
        <v>178</v>
      </c>
      <c r="J631" s="4" t="s">
        <v>24</v>
      </c>
      <c r="K631" s="4" t="s">
        <v>35</v>
      </c>
      <c r="L631" s="4" t="s">
        <v>216</v>
      </c>
      <c r="M631" s="4" t="s">
        <v>1704</v>
      </c>
      <c r="N631" s="5">
        <v>206.15</v>
      </c>
      <c r="O631" s="6">
        <v>7</v>
      </c>
      <c r="P631" s="7">
        <v>0</v>
      </c>
      <c r="Q631" s="18">
        <v>108.34</v>
      </c>
      <c r="R631" s="45" t="str">
        <f t="shared" si="36"/>
        <v>OK</v>
      </c>
      <c r="S631" s="45">
        <f t="shared" si="37"/>
        <v>647.38714285714286</v>
      </c>
      <c r="T631" s="45">
        <f t="shared" si="38"/>
        <v>7</v>
      </c>
      <c r="U631" s="45">
        <f t="shared" si="39"/>
        <v>4531.71</v>
      </c>
    </row>
    <row r="632" spans="1:21" x14ac:dyDescent="0.3">
      <c r="A632" s="16" t="s">
        <v>1898</v>
      </c>
      <c r="B632" s="31">
        <v>45137</v>
      </c>
      <c r="C632" s="31">
        <v>45140</v>
      </c>
      <c r="D632" s="2" t="s">
        <v>73</v>
      </c>
      <c r="E632" s="2" t="s">
        <v>163</v>
      </c>
      <c r="F632" s="4" t="s">
        <v>164</v>
      </c>
      <c r="G632" s="4" t="s">
        <v>21</v>
      </c>
      <c r="H632" s="4" t="s">
        <v>165</v>
      </c>
      <c r="I632" s="4" t="s">
        <v>44</v>
      </c>
      <c r="J632" s="4" t="s">
        <v>24</v>
      </c>
      <c r="K632" s="4" t="s">
        <v>25</v>
      </c>
      <c r="L632" s="4" t="s">
        <v>74</v>
      </c>
      <c r="M632" s="4" t="s">
        <v>1899</v>
      </c>
      <c r="N632" s="5">
        <v>2510.8000000000002</v>
      </c>
      <c r="O632" s="6">
        <v>8</v>
      </c>
      <c r="P632" s="7">
        <v>0</v>
      </c>
      <c r="Q632" s="18">
        <v>955.73</v>
      </c>
      <c r="R632" s="45" t="str">
        <f t="shared" si="36"/>
        <v>OK</v>
      </c>
      <c r="S632" s="45">
        <f t="shared" si="37"/>
        <v>647.38714285714286</v>
      </c>
      <c r="T632" s="45">
        <f t="shared" si="38"/>
        <v>7</v>
      </c>
      <c r="U632" s="45">
        <f t="shared" si="39"/>
        <v>4531.71</v>
      </c>
    </row>
    <row r="633" spans="1:21" x14ac:dyDescent="0.3">
      <c r="A633" s="16" t="s">
        <v>896</v>
      </c>
      <c r="B633" s="31">
        <v>45138</v>
      </c>
      <c r="C633" s="31">
        <v>45143</v>
      </c>
      <c r="D633" s="2" t="s">
        <v>29</v>
      </c>
      <c r="E633" s="2" t="s">
        <v>817</v>
      </c>
      <c r="F633" s="4" t="s">
        <v>818</v>
      </c>
      <c r="G633" s="4" t="s">
        <v>42</v>
      </c>
      <c r="H633" s="4" t="s">
        <v>98</v>
      </c>
      <c r="I633" s="4" t="s">
        <v>80</v>
      </c>
      <c r="J633" s="4" t="s">
        <v>54</v>
      </c>
      <c r="K633" s="4" t="s">
        <v>45</v>
      </c>
      <c r="L633" s="4" t="s">
        <v>61</v>
      </c>
      <c r="M633" s="4" t="s">
        <v>897</v>
      </c>
      <c r="N633" s="5">
        <v>730.64</v>
      </c>
      <c r="O633" s="6">
        <v>1</v>
      </c>
      <c r="P633" s="7">
        <v>0</v>
      </c>
      <c r="Q633" s="18">
        <v>119.87</v>
      </c>
      <c r="R633" s="45" t="str">
        <f t="shared" si="36"/>
        <v>OK</v>
      </c>
      <c r="S633" s="45">
        <f t="shared" si="37"/>
        <v>647.38714285714286</v>
      </c>
      <c r="T633" s="45">
        <f t="shared" si="38"/>
        <v>7</v>
      </c>
      <c r="U633" s="45">
        <f t="shared" si="39"/>
        <v>4531.71</v>
      </c>
    </row>
    <row r="634" spans="1:21" x14ac:dyDescent="0.3">
      <c r="A634" s="17" t="s">
        <v>1196</v>
      </c>
      <c r="B634" s="32">
        <v>45141</v>
      </c>
      <c r="C634" s="32">
        <v>45145</v>
      </c>
      <c r="D634" s="8" t="s">
        <v>73</v>
      </c>
      <c r="E634" s="8" t="s">
        <v>298</v>
      </c>
      <c r="F634" s="10" t="s">
        <v>299</v>
      </c>
      <c r="G634" s="10" t="s">
        <v>21</v>
      </c>
      <c r="H634" s="10" t="s">
        <v>300</v>
      </c>
      <c r="I634" s="10" t="s">
        <v>184</v>
      </c>
      <c r="J634" s="10" t="s">
        <v>54</v>
      </c>
      <c r="K634" s="10" t="s">
        <v>45</v>
      </c>
      <c r="L634" s="10" t="s">
        <v>99</v>
      </c>
      <c r="M634" s="10" t="s">
        <v>1197</v>
      </c>
      <c r="N634" s="11">
        <v>169.88</v>
      </c>
      <c r="O634" s="12">
        <v>5</v>
      </c>
      <c r="P634" s="13">
        <v>0.5</v>
      </c>
      <c r="Q634" s="19">
        <v>-84.37</v>
      </c>
      <c r="R634" s="45" t="str">
        <f t="shared" si="36"/>
        <v>OK</v>
      </c>
      <c r="S634" s="45">
        <f t="shared" si="37"/>
        <v>647.38714285714286</v>
      </c>
      <c r="T634" s="45">
        <f t="shared" si="38"/>
        <v>7</v>
      </c>
      <c r="U634" s="45">
        <f t="shared" si="39"/>
        <v>4531.71</v>
      </c>
    </row>
    <row r="635" spans="1:21" x14ac:dyDescent="0.3">
      <c r="A635" s="17" t="s">
        <v>1852</v>
      </c>
      <c r="B635" s="32">
        <v>45142</v>
      </c>
      <c r="C635" s="32">
        <v>45146</v>
      </c>
      <c r="D635" s="8" t="s">
        <v>73</v>
      </c>
      <c r="E635" s="8" t="s">
        <v>400</v>
      </c>
      <c r="F635" s="10" t="s">
        <v>401</v>
      </c>
      <c r="G635" s="10" t="s">
        <v>21</v>
      </c>
      <c r="H635" s="10" t="s">
        <v>129</v>
      </c>
      <c r="I635" s="10" t="s">
        <v>33</v>
      </c>
      <c r="J635" s="10" t="s">
        <v>34</v>
      </c>
      <c r="K635" s="10" t="s">
        <v>25</v>
      </c>
      <c r="L635" s="10" t="s">
        <v>124</v>
      </c>
      <c r="M635" s="10" t="s">
        <v>1853</v>
      </c>
      <c r="N635" s="11">
        <v>25401.06</v>
      </c>
      <c r="O635" s="12">
        <v>9</v>
      </c>
      <c r="P635" s="13">
        <v>0</v>
      </c>
      <c r="Q635" s="19">
        <v>4509.18</v>
      </c>
      <c r="R635" s="45" t="str">
        <f t="shared" si="36"/>
        <v>OK</v>
      </c>
      <c r="S635" s="45">
        <f t="shared" si="37"/>
        <v>647.38714285714286</v>
      </c>
      <c r="T635" s="45">
        <f t="shared" si="38"/>
        <v>7</v>
      </c>
      <c r="U635" s="45">
        <f t="shared" si="39"/>
        <v>4531.71</v>
      </c>
    </row>
    <row r="636" spans="1:21" x14ac:dyDescent="0.3">
      <c r="A636" s="16" t="s">
        <v>980</v>
      </c>
      <c r="B636" s="31">
        <v>45143</v>
      </c>
      <c r="C636" s="31">
        <v>45147</v>
      </c>
      <c r="D636" s="2" t="s">
        <v>73</v>
      </c>
      <c r="E636" s="2" t="s">
        <v>975</v>
      </c>
      <c r="F636" s="4" t="s">
        <v>976</v>
      </c>
      <c r="G636" s="4" t="s">
        <v>51</v>
      </c>
      <c r="H636" s="4" t="s">
        <v>459</v>
      </c>
      <c r="I636" s="4" t="s">
        <v>460</v>
      </c>
      <c r="J636" s="4" t="s">
        <v>54</v>
      </c>
      <c r="K636" s="4" t="s">
        <v>45</v>
      </c>
      <c r="L636" s="4" t="s">
        <v>117</v>
      </c>
      <c r="M636" s="4" t="s">
        <v>981</v>
      </c>
      <c r="N636" s="5">
        <v>1272.78</v>
      </c>
      <c r="O636" s="6">
        <v>6</v>
      </c>
      <c r="P636" s="7">
        <v>0.4</v>
      </c>
      <c r="Q636" s="18">
        <v>-229.57</v>
      </c>
      <c r="R636" s="45" t="str">
        <f t="shared" si="36"/>
        <v>OK</v>
      </c>
      <c r="S636" s="45">
        <f t="shared" si="37"/>
        <v>647.38714285714286</v>
      </c>
      <c r="T636" s="45">
        <f t="shared" si="38"/>
        <v>7</v>
      </c>
      <c r="U636" s="45">
        <f t="shared" si="39"/>
        <v>4531.71</v>
      </c>
    </row>
    <row r="637" spans="1:21" x14ac:dyDescent="0.3">
      <c r="A637" s="16" t="s">
        <v>1191</v>
      </c>
      <c r="B637" s="31">
        <v>45146</v>
      </c>
      <c r="C637" s="31">
        <v>45147</v>
      </c>
      <c r="D637" s="2" t="s">
        <v>18</v>
      </c>
      <c r="E637" s="2" t="s">
        <v>642</v>
      </c>
      <c r="F637" s="4" t="s">
        <v>643</v>
      </c>
      <c r="G637" s="4" t="s">
        <v>51</v>
      </c>
      <c r="H637" s="4" t="s">
        <v>171</v>
      </c>
      <c r="I637" s="4" t="s">
        <v>172</v>
      </c>
      <c r="J637" s="4" t="s">
        <v>24</v>
      </c>
      <c r="K637" s="4" t="s">
        <v>45</v>
      </c>
      <c r="L637" s="4" t="s">
        <v>61</v>
      </c>
      <c r="M637" s="4" t="s">
        <v>1192</v>
      </c>
      <c r="N637" s="5">
        <v>201.32</v>
      </c>
      <c r="O637" s="6">
        <v>1</v>
      </c>
      <c r="P637" s="7">
        <v>0.4</v>
      </c>
      <c r="Q637" s="18">
        <v>-122.34</v>
      </c>
      <c r="R637" s="45" t="str">
        <f t="shared" si="36"/>
        <v>OK</v>
      </c>
      <c r="S637" s="45">
        <f t="shared" si="37"/>
        <v>647.38714285714286</v>
      </c>
      <c r="T637" s="45">
        <f t="shared" si="38"/>
        <v>7</v>
      </c>
      <c r="U637" s="45">
        <f t="shared" si="39"/>
        <v>4531.71</v>
      </c>
    </row>
    <row r="638" spans="1:21" x14ac:dyDescent="0.3">
      <c r="A638" s="16" t="s">
        <v>136</v>
      </c>
      <c r="B638" s="31">
        <v>45147</v>
      </c>
      <c r="C638" s="31">
        <v>45151</v>
      </c>
      <c r="D638" s="2" t="s">
        <v>73</v>
      </c>
      <c r="E638" s="2" t="s">
        <v>137</v>
      </c>
      <c r="F638" s="4" t="s">
        <v>138</v>
      </c>
      <c r="G638" s="4" t="s">
        <v>51</v>
      </c>
      <c r="H638" s="4" t="s">
        <v>139</v>
      </c>
      <c r="I638" s="4" t="s">
        <v>140</v>
      </c>
      <c r="J638" s="4" t="s">
        <v>24</v>
      </c>
      <c r="K638" s="4" t="s">
        <v>25</v>
      </c>
      <c r="L638" s="4" t="s">
        <v>74</v>
      </c>
      <c r="M638" s="4" t="s">
        <v>141</v>
      </c>
      <c r="N638" s="5">
        <v>4655.1000000000004</v>
      </c>
      <c r="O638" s="6">
        <v>9</v>
      </c>
      <c r="P638" s="7">
        <v>0.15</v>
      </c>
      <c r="Q638" s="18">
        <v>1260.8499999999999</v>
      </c>
      <c r="R638" s="45" t="str">
        <f t="shared" si="36"/>
        <v>OK</v>
      </c>
      <c r="S638" s="45">
        <f t="shared" si="37"/>
        <v>647.38714285714286</v>
      </c>
      <c r="T638" s="45">
        <f t="shared" si="38"/>
        <v>7</v>
      </c>
      <c r="U638" s="45">
        <f t="shared" si="39"/>
        <v>4531.71</v>
      </c>
    </row>
    <row r="639" spans="1:21" x14ac:dyDescent="0.3">
      <c r="A639" s="16" t="s">
        <v>2007</v>
      </c>
      <c r="B639" s="31">
        <v>45153</v>
      </c>
      <c r="C639" s="31">
        <v>45154</v>
      </c>
      <c r="D639" s="2" t="s">
        <v>18</v>
      </c>
      <c r="E639" s="2" t="s">
        <v>1926</v>
      </c>
      <c r="F639" s="4" t="s">
        <v>1927</v>
      </c>
      <c r="G639" s="4" t="s">
        <v>51</v>
      </c>
      <c r="H639" s="4" t="s">
        <v>145</v>
      </c>
      <c r="I639" s="4" t="s">
        <v>140</v>
      </c>
      <c r="J639" s="4" t="s">
        <v>24</v>
      </c>
      <c r="K639" s="4" t="s">
        <v>45</v>
      </c>
      <c r="L639" s="4" t="s">
        <v>117</v>
      </c>
      <c r="M639" s="4" t="s">
        <v>2008</v>
      </c>
      <c r="N639" s="5">
        <v>1085.26</v>
      </c>
      <c r="O639" s="6">
        <v>8</v>
      </c>
      <c r="P639" s="7">
        <v>0.1</v>
      </c>
      <c r="Q639" s="18">
        <v>281.97000000000003</v>
      </c>
      <c r="R639" s="45" t="str">
        <f t="shared" si="36"/>
        <v>OK</v>
      </c>
      <c r="S639" s="45">
        <f t="shared" si="37"/>
        <v>647.38714285714286</v>
      </c>
      <c r="T639" s="45">
        <f t="shared" si="38"/>
        <v>7</v>
      </c>
      <c r="U639" s="45">
        <f t="shared" si="39"/>
        <v>4531.71</v>
      </c>
    </row>
    <row r="640" spans="1:21" x14ac:dyDescent="0.3">
      <c r="A640" s="16" t="s">
        <v>915</v>
      </c>
      <c r="B640" s="31">
        <v>45155</v>
      </c>
      <c r="C640" s="31">
        <v>45156</v>
      </c>
      <c r="D640" s="2" t="s">
        <v>18</v>
      </c>
      <c r="E640" s="2" t="s">
        <v>30</v>
      </c>
      <c r="F640" s="4" t="s">
        <v>31</v>
      </c>
      <c r="G640" s="4" t="s">
        <v>21</v>
      </c>
      <c r="H640" s="4" t="s">
        <v>32</v>
      </c>
      <c r="I640" s="4" t="s">
        <v>33</v>
      </c>
      <c r="J640" s="4" t="s">
        <v>34</v>
      </c>
      <c r="K640" s="4" t="s">
        <v>25</v>
      </c>
      <c r="L640" s="4" t="s">
        <v>124</v>
      </c>
      <c r="M640" s="4" t="s">
        <v>916</v>
      </c>
      <c r="N640" s="5">
        <v>20214.740000000002</v>
      </c>
      <c r="O640" s="6">
        <v>9</v>
      </c>
      <c r="P640" s="7">
        <v>0.4</v>
      </c>
      <c r="Q640" s="18">
        <v>-2811.03</v>
      </c>
      <c r="R640" s="45" t="str">
        <f t="shared" si="36"/>
        <v>OK</v>
      </c>
      <c r="S640" s="45">
        <f t="shared" si="37"/>
        <v>647.38714285714286</v>
      </c>
      <c r="T640" s="45">
        <f t="shared" si="38"/>
        <v>7</v>
      </c>
      <c r="U640" s="45">
        <f t="shared" si="39"/>
        <v>4531.71</v>
      </c>
    </row>
    <row r="641" spans="1:21" x14ac:dyDescent="0.3">
      <c r="A641" s="17" t="s">
        <v>489</v>
      </c>
      <c r="B641" s="32">
        <v>45156</v>
      </c>
      <c r="C641" s="32">
        <v>45158</v>
      </c>
      <c r="D641" s="8" t="s">
        <v>18</v>
      </c>
      <c r="E641" s="8" t="s">
        <v>490</v>
      </c>
      <c r="F641" s="10" t="s">
        <v>491</v>
      </c>
      <c r="G641" s="10" t="s">
        <v>42</v>
      </c>
      <c r="H641" s="10" t="s">
        <v>492</v>
      </c>
      <c r="I641" s="10" t="s">
        <v>53</v>
      </c>
      <c r="J641" s="10" t="s">
        <v>54</v>
      </c>
      <c r="K641" s="10" t="s">
        <v>25</v>
      </c>
      <c r="L641" s="10" t="s">
        <v>124</v>
      </c>
      <c r="M641" s="10" t="s">
        <v>493</v>
      </c>
      <c r="N641" s="11">
        <v>9249.39</v>
      </c>
      <c r="O641" s="12">
        <v>9</v>
      </c>
      <c r="P641" s="13">
        <v>0.5</v>
      </c>
      <c r="Q641" s="19">
        <v>-5471.12</v>
      </c>
      <c r="R641" s="45" t="str">
        <f t="shared" si="36"/>
        <v>OK</v>
      </c>
      <c r="S641" s="45">
        <f t="shared" si="37"/>
        <v>647.38714285714286</v>
      </c>
      <c r="T641" s="45">
        <f t="shared" si="38"/>
        <v>7</v>
      </c>
      <c r="U641" s="45">
        <f t="shared" si="39"/>
        <v>4531.71</v>
      </c>
    </row>
    <row r="642" spans="1:21" x14ac:dyDescent="0.3">
      <c r="A642" s="17" t="s">
        <v>1127</v>
      </c>
      <c r="B642" s="32">
        <v>45156</v>
      </c>
      <c r="C642" s="32">
        <v>45159</v>
      </c>
      <c r="D642" s="8" t="s">
        <v>39</v>
      </c>
      <c r="E642" s="8" t="s">
        <v>1047</v>
      </c>
      <c r="F642" s="10" t="s">
        <v>1048</v>
      </c>
      <c r="G642" s="10" t="s">
        <v>42</v>
      </c>
      <c r="H642" s="10" t="s">
        <v>79</v>
      </c>
      <c r="I642" s="10" t="s">
        <v>80</v>
      </c>
      <c r="J642" s="10" t="s">
        <v>54</v>
      </c>
      <c r="K642" s="10" t="s">
        <v>45</v>
      </c>
      <c r="L642" s="10" t="s">
        <v>61</v>
      </c>
      <c r="M642" s="10" t="s">
        <v>1128</v>
      </c>
      <c r="N642" s="11">
        <v>1397.4</v>
      </c>
      <c r="O642" s="12">
        <v>3</v>
      </c>
      <c r="P642" s="13">
        <v>0.3</v>
      </c>
      <c r="Q642" s="19">
        <v>-554.57000000000005</v>
      </c>
      <c r="R642" s="45" t="str">
        <f t="shared" ref="R642:R705" si="40">IF(C642&lt;B642,"Error","OK")</f>
        <v>OK</v>
      </c>
      <c r="S642" s="45">
        <f t="shared" ref="S642:S705" si="41">AVERAGEIF(E642:E1640,"CU-1057",N642:N1640)</f>
        <v>647.38714285714286</v>
      </c>
      <c r="T642" s="45">
        <f t="shared" ref="T642:T705" si="42">COUNTIF(E642:E1640,"CU-1057")</f>
        <v>7</v>
      </c>
      <c r="U642" s="45">
        <f t="shared" ref="U642:U705" si="43">SUMIF(E642:E1640,"CU-1057",N642:N1640)</f>
        <v>4531.71</v>
      </c>
    </row>
    <row r="643" spans="1:21" x14ac:dyDescent="0.3">
      <c r="A643" s="17" t="s">
        <v>2376</v>
      </c>
      <c r="B643" s="32">
        <v>45157</v>
      </c>
      <c r="C643" s="32">
        <v>45163</v>
      </c>
      <c r="D643" s="8" t="s">
        <v>29</v>
      </c>
      <c r="E643" s="8" t="s">
        <v>1352</v>
      </c>
      <c r="F643" s="10" t="s">
        <v>1353</v>
      </c>
      <c r="G643" s="10" t="s">
        <v>42</v>
      </c>
      <c r="H643" s="10" t="s">
        <v>207</v>
      </c>
      <c r="I643" s="10" t="s">
        <v>60</v>
      </c>
      <c r="J643" s="10" t="s">
        <v>54</v>
      </c>
      <c r="K643" s="10" t="s">
        <v>35</v>
      </c>
      <c r="L643" s="10" t="s">
        <v>36</v>
      </c>
      <c r="M643" s="10" t="s">
        <v>2377</v>
      </c>
      <c r="N643" s="11">
        <v>43.92</v>
      </c>
      <c r="O643" s="12">
        <v>1</v>
      </c>
      <c r="P643" s="13">
        <v>0.4</v>
      </c>
      <c r="Q643" s="19">
        <v>0.37</v>
      </c>
      <c r="R643" s="45" t="str">
        <f t="shared" si="40"/>
        <v>OK</v>
      </c>
      <c r="S643" s="45">
        <f t="shared" si="41"/>
        <v>647.38714285714286</v>
      </c>
      <c r="T643" s="45">
        <f t="shared" si="42"/>
        <v>7</v>
      </c>
      <c r="U643" s="45">
        <f t="shared" si="43"/>
        <v>4531.71</v>
      </c>
    </row>
    <row r="644" spans="1:21" x14ac:dyDescent="0.3">
      <c r="A644" s="17" t="s">
        <v>2470</v>
      </c>
      <c r="B644" s="32">
        <v>45162</v>
      </c>
      <c r="C644" s="32">
        <v>45168</v>
      </c>
      <c r="D644" s="8" t="s">
        <v>29</v>
      </c>
      <c r="E644" s="8" t="s">
        <v>1258</v>
      </c>
      <c r="F644" s="10" t="s">
        <v>1259</v>
      </c>
      <c r="G644" s="10" t="s">
        <v>21</v>
      </c>
      <c r="H644" s="10" t="s">
        <v>438</v>
      </c>
      <c r="I644" s="10" t="s">
        <v>157</v>
      </c>
      <c r="J644" s="10" t="s">
        <v>88</v>
      </c>
      <c r="K644" s="10" t="s">
        <v>45</v>
      </c>
      <c r="L644" s="10" t="s">
        <v>46</v>
      </c>
      <c r="M644" s="10" t="s">
        <v>2471</v>
      </c>
      <c r="N644" s="11">
        <v>419.16</v>
      </c>
      <c r="O644" s="12">
        <v>3</v>
      </c>
      <c r="P644" s="13">
        <v>0.3</v>
      </c>
      <c r="Q644" s="19">
        <v>-14.5</v>
      </c>
      <c r="R644" s="45" t="str">
        <f t="shared" si="40"/>
        <v>OK</v>
      </c>
      <c r="S644" s="45">
        <f t="shared" si="41"/>
        <v>647.38714285714286</v>
      </c>
      <c r="T644" s="45">
        <f t="shared" si="42"/>
        <v>7</v>
      </c>
      <c r="U644" s="45">
        <f t="shared" si="43"/>
        <v>4531.71</v>
      </c>
    </row>
    <row r="645" spans="1:21" x14ac:dyDescent="0.3">
      <c r="A645" s="16" t="s">
        <v>1181</v>
      </c>
      <c r="B645" s="31">
        <v>45164</v>
      </c>
      <c r="C645" s="31">
        <v>45171</v>
      </c>
      <c r="D645" s="2" t="s">
        <v>29</v>
      </c>
      <c r="E645" s="2" t="s">
        <v>1078</v>
      </c>
      <c r="F645" s="4" t="s">
        <v>1079</v>
      </c>
      <c r="G645" s="4" t="s">
        <v>42</v>
      </c>
      <c r="H645" s="4" t="s">
        <v>115</v>
      </c>
      <c r="I645" s="4" t="s">
        <v>116</v>
      </c>
      <c r="J645" s="4" t="s">
        <v>54</v>
      </c>
      <c r="K645" s="4" t="s">
        <v>25</v>
      </c>
      <c r="L645" s="4" t="s">
        <v>124</v>
      </c>
      <c r="M645" s="4" t="s">
        <v>1182</v>
      </c>
      <c r="N645" s="5">
        <v>2660.39</v>
      </c>
      <c r="O645" s="6">
        <v>1</v>
      </c>
      <c r="P645" s="7">
        <v>0</v>
      </c>
      <c r="Q645" s="18">
        <v>702</v>
      </c>
      <c r="R645" s="45" t="str">
        <f t="shared" si="40"/>
        <v>OK</v>
      </c>
      <c r="S645" s="45">
        <f t="shared" si="41"/>
        <v>647.38714285714286</v>
      </c>
      <c r="T645" s="45">
        <f t="shared" si="42"/>
        <v>7</v>
      </c>
      <c r="U645" s="45">
        <f t="shared" si="43"/>
        <v>4531.71</v>
      </c>
    </row>
    <row r="646" spans="1:21" x14ac:dyDescent="0.3">
      <c r="A646" s="16" t="s">
        <v>1181</v>
      </c>
      <c r="B646" s="31">
        <v>45164</v>
      </c>
      <c r="C646" s="31">
        <v>45171</v>
      </c>
      <c r="D646" s="2" t="s">
        <v>29</v>
      </c>
      <c r="E646" s="2" t="s">
        <v>1078</v>
      </c>
      <c r="F646" s="4" t="s">
        <v>1079</v>
      </c>
      <c r="G646" s="4" t="s">
        <v>42</v>
      </c>
      <c r="H646" s="4" t="s">
        <v>115</v>
      </c>
      <c r="I646" s="4" t="s">
        <v>116</v>
      </c>
      <c r="J646" s="4" t="s">
        <v>54</v>
      </c>
      <c r="K646" s="4" t="s">
        <v>25</v>
      </c>
      <c r="L646" s="4" t="s">
        <v>124</v>
      </c>
      <c r="M646" s="4" t="s">
        <v>1182</v>
      </c>
      <c r="N646" s="5">
        <v>2660.39</v>
      </c>
      <c r="O646" s="6">
        <v>1</v>
      </c>
      <c r="P646" s="7">
        <v>0</v>
      </c>
      <c r="Q646" s="18">
        <v>702</v>
      </c>
      <c r="R646" s="45" t="str">
        <f t="shared" si="40"/>
        <v>OK</v>
      </c>
      <c r="S646" s="45">
        <f t="shared" si="41"/>
        <v>647.38714285714286</v>
      </c>
      <c r="T646" s="45">
        <f t="shared" si="42"/>
        <v>7</v>
      </c>
      <c r="U646" s="45">
        <f t="shared" si="43"/>
        <v>4531.71</v>
      </c>
    </row>
    <row r="647" spans="1:21" x14ac:dyDescent="0.3">
      <c r="A647" s="16" t="s">
        <v>1139</v>
      </c>
      <c r="B647" s="31">
        <v>45166</v>
      </c>
      <c r="C647" s="31">
        <v>45171</v>
      </c>
      <c r="D647" s="2" t="s">
        <v>73</v>
      </c>
      <c r="E647" s="2" t="s">
        <v>137</v>
      </c>
      <c r="F647" s="4" t="s">
        <v>138</v>
      </c>
      <c r="G647" s="4" t="s">
        <v>51</v>
      </c>
      <c r="H647" s="4" t="s">
        <v>139</v>
      </c>
      <c r="I647" s="4" t="s">
        <v>140</v>
      </c>
      <c r="J647" s="4" t="s">
        <v>24</v>
      </c>
      <c r="K647" s="4" t="s">
        <v>45</v>
      </c>
      <c r="L647" s="4" t="s">
        <v>99</v>
      </c>
      <c r="M647" s="4" t="s">
        <v>1140</v>
      </c>
      <c r="N647" s="5">
        <v>1333.08</v>
      </c>
      <c r="O647" s="6">
        <v>10</v>
      </c>
      <c r="P647" s="7">
        <v>0.1</v>
      </c>
      <c r="Q647" s="18">
        <v>429.8</v>
      </c>
      <c r="R647" s="45" t="str">
        <f t="shared" si="40"/>
        <v>OK</v>
      </c>
      <c r="S647" s="45">
        <f t="shared" si="41"/>
        <v>647.38714285714286</v>
      </c>
      <c r="T647" s="45">
        <f t="shared" si="42"/>
        <v>7</v>
      </c>
      <c r="U647" s="45">
        <f t="shared" si="43"/>
        <v>4531.71</v>
      </c>
    </row>
    <row r="648" spans="1:21" x14ac:dyDescent="0.3">
      <c r="A648" s="17" t="s">
        <v>2187</v>
      </c>
      <c r="B648" s="32">
        <v>45166</v>
      </c>
      <c r="C648" s="32">
        <v>45169</v>
      </c>
      <c r="D648" s="8" t="s">
        <v>73</v>
      </c>
      <c r="E648" s="8" t="s">
        <v>678</v>
      </c>
      <c r="F648" s="10" t="s">
        <v>679</v>
      </c>
      <c r="G648" s="10" t="s">
        <v>51</v>
      </c>
      <c r="H648" s="10" t="s">
        <v>122</v>
      </c>
      <c r="I648" s="10" t="s">
        <v>123</v>
      </c>
      <c r="J648" s="10" t="s">
        <v>24</v>
      </c>
      <c r="K648" s="10" t="s">
        <v>35</v>
      </c>
      <c r="L648" s="10" t="s">
        <v>295</v>
      </c>
      <c r="M648" s="10" t="s">
        <v>2188</v>
      </c>
      <c r="N648" s="11">
        <v>113.33</v>
      </c>
      <c r="O648" s="12">
        <v>7</v>
      </c>
      <c r="P648" s="13">
        <v>0</v>
      </c>
      <c r="Q648" s="19">
        <v>52.05</v>
      </c>
      <c r="R648" s="45" t="str">
        <f t="shared" si="40"/>
        <v>OK</v>
      </c>
      <c r="S648" s="45">
        <f t="shared" si="41"/>
        <v>647.38714285714286</v>
      </c>
      <c r="T648" s="45">
        <f t="shared" si="42"/>
        <v>7</v>
      </c>
      <c r="U648" s="45">
        <f t="shared" si="43"/>
        <v>4531.71</v>
      </c>
    </row>
    <row r="649" spans="1:21" x14ac:dyDescent="0.3">
      <c r="A649" s="17" t="s">
        <v>2462</v>
      </c>
      <c r="B649" s="32">
        <v>45166</v>
      </c>
      <c r="C649" s="32">
        <v>45171</v>
      </c>
      <c r="D649" s="8" t="s">
        <v>29</v>
      </c>
      <c r="E649" s="8" t="s">
        <v>954</v>
      </c>
      <c r="F649" s="10" t="s">
        <v>955</v>
      </c>
      <c r="G649" s="10" t="s">
        <v>51</v>
      </c>
      <c r="H649" s="10" t="s">
        <v>386</v>
      </c>
      <c r="I649" s="10" t="s">
        <v>347</v>
      </c>
      <c r="J649" s="10" t="s">
        <v>88</v>
      </c>
      <c r="K649" s="10" t="s">
        <v>35</v>
      </c>
      <c r="L649" s="10" t="s">
        <v>216</v>
      </c>
      <c r="M649" s="10" t="s">
        <v>2463</v>
      </c>
      <c r="N649" s="11">
        <v>105</v>
      </c>
      <c r="O649" s="12">
        <v>7</v>
      </c>
      <c r="P649" s="13">
        <v>0</v>
      </c>
      <c r="Q649" s="19">
        <v>54.04</v>
      </c>
      <c r="R649" s="45" t="str">
        <f t="shared" si="40"/>
        <v>OK</v>
      </c>
      <c r="S649" s="45">
        <f t="shared" si="41"/>
        <v>647.38714285714286</v>
      </c>
      <c r="T649" s="45">
        <f t="shared" si="42"/>
        <v>7</v>
      </c>
      <c r="U649" s="45">
        <f t="shared" si="43"/>
        <v>4531.71</v>
      </c>
    </row>
    <row r="650" spans="1:21" x14ac:dyDescent="0.3">
      <c r="A650" s="16" t="s">
        <v>297</v>
      </c>
      <c r="B650" s="31">
        <v>45169</v>
      </c>
      <c r="C650" s="31">
        <v>45173</v>
      </c>
      <c r="D650" s="2" t="s">
        <v>73</v>
      </c>
      <c r="E650" s="2" t="s">
        <v>298</v>
      </c>
      <c r="F650" s="4" t="s">
        <v>299</v>
      </c>
      <c r="G650" s="4" t="s">
        <v>21</v>
      </c>
      <c r="H650" s="4" t="s">
        <v>300</v>
      </c>
      <c r="I650" s="4" t="s">
        <v>184</v>
      </c>
      <c r="J650" s="4" t="s">
        <v>54</v>
      </c>
      <c r="K650" s="4" t="s">
        <v>45</v>
      </c>
      <c r="L650" s="4" t="s">
        <v>61</v>
      </c>
      <c r="M650" s="4" t="s">
        <v>301</v>
      </c>
      <c r="N650" s="5">
        <v>3169.82</v>
      </c>
      <c r="O650" s="6">
        <v>7</v>
      </c>
      <c r="P650" s="7">
        <v>0.4</v>
      </c>
      <c r="Q650" s="18">
        <v>-1743.04</v>
      </c>
      <c r="R650" s="45" t="str">
        <f t="shared" si="40"/>
        <v>OK</v>
      </c>
      <c r="S650" s="45">
        <f t="shared" si="41"/>
        <v>647.38714285714286</v>
      </c>
      <c r="T650" s="45">
        <f t="shared" si="42"/>
        <v>7</v>
      </c>
      <c r="U650" s="45">
        <f t="shared" si="43"/>
        <v>4531.71</v>
      </c>
    </row>
    <row r="651" spans="1:21" x14ac:dyDescent="0.3">
      <c r="A651" s="16" t="s">
        <v>1692</v>
      </c>
      <c r="B651" s="31">
        <v>45171</v>
      </c>
      <c r="C651" s="31">
        <v>45175</v>
      </c>
      <c r="D651" s="2" t="s">
        <v>39</v>
      </c>
      <c r="E651" s="2" t="s">
        <v>420</v>
      </c>
      <c r="F651" s="4" t="s">
        <v>421</v>
      </c>
      <c r="G651" s="4" t="s">
        <v>51</v>
      </c>
      <c r="H651" s="4" t="s">
        <v>422</v>
      </c>
      <c r="I651" s="4" t="s">
        <v>423</v>
      </c>
      <c r="J651" s="4" t="s">
        <v>88</v>
      </c>
      <c r="K651" s="4" t="s">
        <v>25</v>
      </c>
      <c r="L651" s="4" t="s">
        <v>124</v>
      </c>
      <c r="M651" s="4" t="s">
        <v>1693</v>
      </c>
      <c r="N651" s="5">
        <v>3767.33</v>
      </c>
      <c r="O651" s="6">
        <v>4</v>
      </c>
      <c r="P651" s="7">
        <v>1.37</v>
      </c>
      <c r="Q651" s="18">
        <v>-1080.78</v>
      </c>
      <c r="R651" s="45" t="str">
        <f t="shared" si="40"/>
        <v>OK</v>
      </c>
      <c r="S651" s="45">
        <f t="shared" si="41"/>
        <v>647.38714285714286</v>
      </c>
      <c r="T651" s="45">
        <f t="shared" si="42"/>
        <v>7</v>
      </c>
      <c r="U651" s="45">
        <f t="shared" si="43"/>
        <v>4531.71</v>
      </c>
    </row>
    <row r="652" spans="1:21" x14ac:dyDescent="0.3">
      <c r="A652" s="17" t="s">
        <v>565</v>
      </c>
      <c r="B652" s="32">
        <v>45172</v>
      </c>
      <c r="C652" s="32">
        <v>45178</v>
      </c>
      <c r="D652" s="8" t="s">
        <v>29</v>
      </c>
      <c r="E652" s="8" t="s">
        <v>566</v>
      </c>
      <c r="F652" s="10" t="s">
        <v>567</v>
      </c>
      <c r="G652" s="10" t="s">
        <v>21</v>
      </c>
      <c r="H652" s="10" t="s">
        <v>156</v>
      </c>
      <c r="I652" s="10" t="s">
        <v>157</v>
      </c>
      <c r="J652" s="10" t="s">
        <v>88</v>
      </c>
      <c r="K652" s="10" t="s">
        <v>35</v>
      </c>
      <c r="L652" s="10" t="s">
        <v>216</v>
      </c>
      <c r="M652" s="10" t="s">
        <v>568</v>
      </c>
      <c r="N652" s="11">
        <v>147.63</v>
      </c>
      <c r="O652" s="12">
        <v>10</v>
      </c>
      <c r="P652" s="13">
        <v>0.3</v>
      </c>
      <c r="Q652" s="19">
        <v>41.33</v>
      </c>
      <c r="R652" s="45" t="str">
        <f t="shared" si="40"/>
        <v>OK</v>
      </c>
      <c r="S652" s="45">
        <f t="shared" si="41"/>
        <v>647.38714285714286</v>
      </c>
      <c r="T652" s="45">
        <f t="shared" si="42"/>
        <v>7</v>
      </c>
      <c r="U652" s="45">
        <f t="shared" si="43"/>
        <v>4531.71</v>
      </c>
    </row>
    <row r="653" spans="1:21" x14ac:dyDescent="0.3">
      <c r="A653" s="16" t="s">
        <v>2300</v>
      </c>
      <c r="B653" s="31">
        <v>45172</v>
      </c>
      <c r="C653" s="31">
        <v>45178</v>
      </c>
      <c r="D653" s="2" t="s">
        <v>29</v>
      </c>
      <c r="E653" s="2" t="s">
        <v>809</v>
      </c>
      <c r="F653" s="4" t="s">
        <v>810</v>
      </c>
      <c r="G653" s="4" t="s">
        <v>42</v>
      </c>
      <c r="H653" s="4" t="s">
        <v>352</v>
      </c>
      <c r="I653" s="4" t="s">
        <v>306</v>
      </c>
      <c r="J653" s="4" t="s">
        <v>34</v>
      </c>
      <c r="K653" s="4" t="s">
        <v>35</v>
      </c>
      <c r="L653" s="4" t="s">
        <v>110</v>
      </c>
      <c r="M653" s="4" t="s">
        <v>2301</v>
      </c>
      <c r="N653" s="5">
        <v>46.32</v>
      </c>
      <c r="O653" s="6">
        <v>4</v>
      </c>
      <c r="P653" s="7">
        <v>0.4</v>
      </c>
      <c r="Q653" s="18">
        <v>4.07</v>
      </c>
      <c r="R653" s="45" t="str">
        <f t="shared" si="40"/>
        <v>OK</v>
      </c>
      <c r="S653" s="45">
        <f t="shared" si="41"/>
        <v>647.38714285714286</v>
      </c>
      <c r="T653" s="45">
        <f t="shared" si="42"/>
        <v>7</v>
      </c>
      <c r="U653" s="45">
        <f t="shared" si="43"/>
        <v>4531.71</v>
      </c>
    </row>
    <row r="654" spans="1:21" x14ac:dyDescent="0.3">
      <c r="A654" s="16" t="s">
        <v>1854</v>
      </c>
      <c r="B654" s="31">
        <v>45173</v>
      </c>
      <c r="C654" s="31">
        <v>45178</v>
      </c>
      <c r="D654" s="2" t="s">
        <v>73</v>
      </c>
      <c r="E654" s="2" t="s">
        <v>376</v>
      </c>
      <c r="F654" s="4" t="s">
        <v>377</v>
      </c>
      <c r="G654" s="4" t="s">
        <v>42</v>
      </c>
      <c r="H654" s="4" t="s">
        <v>122</v>
      </c>
      <c r="I654" s="4" t="s">
        <v>123</v>
      </c>
      <c r="J654" s="4" t="s">
        <v>24</v>
      </c>
      <c r="K654" s="4" t="s">
        <v>45</v>
      </c>
      <c r="L654" s="4" t="s">
        <v>117</v>
      </c>
      <c r="M654" s="4" t="s">
        <v>1855</v>
      </c>
      <c r="N654" s="5">
        <v>2568.36</v>
      </c>
      <c r="O654" s="6">
        <v>6</v>
      </c>
      <c r="P654" s="7">
        <v>0</v>
      </c>
      <c r="Q654" s="18">
        <v>641.83000000000004</v>
      </c>
      <c r="R654" s="45" t="str">
        <f t="shared" si="40"/>
        <v>OK</v>
      </c>
      <c r="S654" s="45">
        <f t="shared" si="41"/>
        <v>647.38714285714286</v>
      </c>
      <c r="T654" s="45">
        <f t="shared" si="42"/>
        <v>7</v>
      </c>
      <c r="U654" s="45">
        <f t="shared" si="43"/>
        <v>4531.71</v>
      </c>
    </row>
    <row r="655" spans="1:21" x14ac:dyDescent="0.3">
      <c r="A655" s="17" t="s">
        <v>1391</v>
      </c>
      <c r="B655" s="32">
        <v>45174</v>
      </c>
      <c r="C655" s="32">
        <v>45176</v>
      </c>
      <c r="D655" s="8" t="s">
        <v>39</v>
      </c>
      <c r="E655" s="8" t="s">
        <v>360</v>
      </c>
      <c r="F655" s="10" t="s">
        <v>361</v>
      </c>
      <c r="G655" s="10" t="s">
        <v>42</v>
      </c>
      <c r="H655" s="10" t="s">
        <v>346</v>
      </c>
      <c r="I655" s="10" t="s">
        <v>347</v>
      </c>
      <c r="J655" s="10" t="s">
        <v>88</v>
      </c>
      <c r="K655" s="10" t="s">
        <v>25</v>
      </c>
      <c r="L655" s="10" t="s">
        <v>26</v>
      </c>
      <c r="M655" s="10" t="s">
        <v>1392</v>
      </c>
      <c r="N655" s="11">
        <v>620.91999999999996</v>
      </c>
      <c r="O655" s="12">
        <v>2</v>
      </c>
      <c r="P655" s="13">
        <v>0</v>
      </c>
      <c r="Q655" s="19">
        <v>76.33</v>
      </c>
      <c r="R655" s="45" t="str">
        <f t="shared" si="40"/>
        <v>OK</v>
      </c>
      <c r="S655" s="45">
        <f t="shared" si="41"/>
        <v>647.38714285714286</v>
      </c>
      <c r="T655" s="45">
        <f t="shared" si="42"/>
        <v>7</v>
      </c>
      <c r="U655" s="45">
        <f t="shared" si="43"/>
        <v>4531.71</v>
      </c>
    </row>
    <row r="656" spans="1:21" x14ac:dyDescent="0.3">
      <c r="A656" s="16" t="s">
        <v>647</v>
      </c>
      <c r="B656" s="31">
        <v>45177</v>
      </c>
      <c r="C656" s="31">
        <v>45182</v>
      </c>
      <c r="D656" s="2" t="s">
        <v>73</v>
      </c>
      <c r="E656" s="2" t="s">
        <v>333</v>
      </c>
      <c r="F656" s="4" t="s">
        <v>334</v>
      </c>
      <c r="G656" s="4" t="s">
        <v>21</v>
      </c>
      <c r="H656" s="4" t="s">
        <v>335</v>
      </c>
      <c r="I656" s="4" t="s">
        <v>251</v>
      </c>
      <c r="J656" s="4" t="s">
        <v>88</v>
      </c>
      <c r="K656" s="4" t="s">
        <v>35</v>
      </c>
      <c r="L656" s="4" t="s">
        <v>36</v>
      </c>
      <c r="M656" s="4" t="s">
        <v>648</v>
      </c>
      <c r="N656" s="5">
        <v>306.39999999999998</v>
      </c>
      <c r="O656" s="6">
        <v>4</v>
      </c>
      <c r="P656" s="7">
        <v>0</v>
      </c>
      <c r="Q656" s="18">
        <v>116.58</v>
      </c>
      <c r="R656" s="45" t="str">
        <f t="shared" si="40"/>
        <v>OK</v>
      </c>
      <c r="S656" s="45">
        <f t="shared" si="41"/>
        <v>647.38714285714286</v>
      </c>
      <c r="T656" s="45">
        <f t="shared" si="42"/>
        <v>7</v>
      </c>
      <c r="U656" s="45">
        <f t="shared" si="43"/>
        <v>4531.71</v>
      </c>
    </row>
    <row r="657" spans="1:21" x14ac:dyDescent="0.3">
      <c r="A657" s="17" t="s">
        <v>1512</v>
      </c>
      <c r="B657" s="32">
        <v>45177</v>
      </c>
      <c r="C657" s="32">
        <v>45182</v>
      </c>
      <c r="D657" s="8" t="s">
        <v>29</v>
      </c>
      <c r="E657" s="8" t="s">
        <v>1352</v>
      </c>
      <c r="F657" s="10" t="s">
        <v>1353</v>
      </c>
      <c r="G657" s="10" t="s">
        <v>42</v>
      </c>
      <c r="H657" s="10" t="s">
        <v>207</v>
      </c>
      <c r="I657" s="10" t="s">
        <v>60</v>
      </c>
      <c r="J657" s="10" t="s">
        <v>54</v>
      </c>
      <c r="K657" s="10" t="s">
        <v>25</v>
      </c>
      <c r="L657" s="10" t="s">
        <v>124</v>
      </c>
      <c r="M657" s="10" t="s">
        <v>1513</v>
      </c>
      <c r="N657" s="11">
        <v>22157.32</v>
      </c>
      <c r="O657" s="12">
        <v>8</v>
      </c>
      <c r="P657" s="13">
        <v>0.15</v>
      </c>
      <c r="Q657" s="19">
        <v>1817.85</v>
      </c>
      <c r="R657" s="45" t="str">
        <f t="shared" si="40"/>
        <v>OK</v>
      </c>
      <c r="S657" s="45">
        <f t="shared" si="41"/>
        <v>647.38714285714286</v>
      </c>
      <c r="T657" s="45">
        <f t="shared" si="42"/>
        <v>7</v>
      </c>
      <c r="U657" s="45">
        <f t="shared" si="43"/>
        <v>4531.71</v>
      </c>
    </row>
    <row r="658" spans="1:21" x14ac:dyDescent="0.3">
      <c r="A658" s="17" t="s">
        <v>986</v>
      </c>
      <c r="B658" s="32">
        <v>45178</v>
      </c>
      <c r="C658" s="32">
        <v>45185</v>
      </c>
      <c r="D658" s="8" t="s">
        <v>29</v>
      </c>
      <c r="E658" s="8" t="s">
        <v>281</v>
      </c>
      <c r="F658" s="10" t="s">
        <v>282</v>
      </c>
      <c r="G658" s="10" t="s">
        <v>21</v>
      </c>
      <c r="H658" s="10" t="s">
        <v>250</v>
      </c>
      <c r="I658" s="10" t="s">
        <v>251</v>
      </c>
      <c r="J658" s="10" t="s">
        <v>88</v>
      </c>
      <c r="K658" s="10" t="s">
        <v>35</v>
      </c>
      <c r="L658" s="10" t="s">
        <v>166</v>
      </c>
      <c r="M658" s="10" t="s">
        <v>987</v>
      </c>
      <c r="N658" s="11">
        <v>152.91</v>
      </c>
      <c r="O658" s="12">
        <v>4</v>
      </c>
      <c r="P658" s="13">
        <v>0.05</v>
      </c>
      <c r="Q658" s="19">
        <v>44.46</v>
      </c>
      <c r="R658" s="45" t="str">
        <f t="shared" si="40"/>
        <v>OK</v>
      </c>
      <c r="S658" s="45">
        <f t="shared" si="41"/>
        <v>647.38714285714286</v>
      </c>
      <c r="T658" s="45">
        <f t="shared" si="42"/>
        <v>7</v>
      </c>
      <c r="U658" s="45">
        <f t="shared" si="43"/>
        <v>4531.71</v>
      </c>
    </row>
    <row r="659" spans="1:21" x14ac:dyDescent="0.3">
      <c r="A659" s="16" t="s">
        <v>1644</v>
      </c>
      <c r="B659" s="31">
        <v>45178</v>
      </c>
      <c r="C659" s="31">
        <v>45183</v>
      </c>
      <c r="D659" s="2" t="s">
        <v>73</v>
      </c>
      <c r="E659" s="2" t="s">
        <v>954</v>
      </c>
      <c r="F659" s="4" t="s">
        <v>955</v>
      </c>
      <c r="G659" s="4" t="s">
        <v>51</v>
      </c>
      <c r="H659" s="4" t="s">
        <v>386</v>
      </c>
      <c r="I659" s="4" t="s">
        <v>347</v>
      </c>
      <c r="J659" s="4" t="s">
        <v>88</v>
      </c>
      <c r="K659" s="4" t="s">
        <v>45</v>
      </c>
      <c r="L659" s="4" t="s">
        <v>61</v>
      </c>
      <c r="M659" s="4" t="s">
        <v>443</v>
      </c>
      <c r="N659" s="5">
        <v>1048.52</v>
      </c>
      <c r="O659" s="6">
        <v>2</v>
      </c>
      <c r="P659" s="7">
        <v>0.3</v>
      </c>
      <c r="Q659" s="18">
        <v>-341.57</v>
      </c>
      <c r="R659" s="45" t="str">
        <f t="shared" si="40"/>
        <v>OK</v>
      </c>
      <c r="S659" s="45">
        <f t="shared" si="41"/>
        <v>647.38714285714286</v>
      </c>
      <c r="T659" s="45">
        <f t="shared" si="42"/>
        <v>7</v>
      </c>
      <c r="U659" s="45">
        <f t="shared" si="43"/>
        <v>4531.71</v>
      </c>
    </row>
    <row r="660" spans="1:21" x14ac:dyDescent="0.3">
      <c r="A660" s="17" t="s">
        <v>1843</v>
      </c>
      <c r="B660" s="32">
        <v>45181</v>
      </c>
      <c r="C660" s="32">
        <v>45185</v>
      </c>
      <c r="D660" s="8" t="s">
        <v>39</v>
      </c>
      <c r="E660" s="8" t="s">
        <v>797</v>
      </c>
      <c r="F660" s="10" t="s">
        <v>798</v>
      </c>
      <c r="G660" s="10" t="s">
        <v>51</v>
      </c>
      <c r="H660" s="10" t="s">
        <v>59</v>
      </c>
      <c r="I660" s="10" t="s">
        <v>60</v>
      </c>
      <c r="J660" s="10" t="s">
        <v>54</v>
      </c>
      <c r="K660" s="10" t="s">
        <v>45</v>
      </c>
      <c r="L660" s="10" t="s">
        <v>117</v>
      </c>
      <c r="M660" s="10" t="s">
        <v>1844</v>
      </c>
      <c r="N660" s="11">
        <v>1324.86</v>
      </c>
      <c r="O660" s="12">
        <v>3</v>
      </c>
      <c r="P660" s="13">
        <v>0.1</v>
      </c>
      <c r="Q660" s="19">
        <v>370.45</v>
      </c>
      <c r="R660" s="45" t="str">
        <f t="shared" si="40"/>
        <v>OK</v>
      </c>
      <c r="S660" s="45">
        <f t="shared" si="41"/>
        <v>647.38714285714286</v>
      </c>
      <c r="T660" s="45">
        <f t="shared" si="42"/>
        <v>7</v>
      </c>
      <c r="U660" s="45">
        <f t="shared" si="43"/>
        <v>4531.71</v>
      </c>
    </row>
    <row r="661" spans="1:21" x14ac:dyDescent="0.3">
      <c r="A661" s="16" t="s">
        <v>883</v>
      </c>
      <c r="B661" s="31">
        <v>45182</v>
      </c>
      <c r="C661" s="31">
        <v>45184</v>
      </c>
      <c r="D661" s="2" t="s">
        <v>39</v>
      </c>
      <c r="E661" s="2" t="s">
        <v>584</v>
      </c>
      <c r="F661" s="4" t="s">
        <v>585</v>
      </c>
      <c r="G661" s="4" t="s">
        <v>42</v>
      </c>
      <c r="H661" s="4" t="s">
        <v>250</v>
      </c>
      <c r="I661" s="4" t="s">
        <v>251</v>
      </c>
      <c r="J661" s="4" t="s">
        <v>88</v>
      </c>
      <c r="K661" s="4" t="s">
        <v>45</v>
      </c>
      <c r="L661" s="4" t="s">
        <v>46</v>
      </c>
      <c r="M661" s="4" t="s">
        <v>884</v>
      </c>
      <c r="N661" s="5">
        <v>3327.48</v>
      </c>
      <c r="O661" s="6">
        <v>9</v>
      </c>
      <c r="P661" s="7">
        <v>0.4</v>
      </c>
      <c r="Q661" s="18">
        <v>57.99</v>
      </c>
      <c r="R661" s="45" t="str">
        <f t="shared" si="40"/>
        <v>OK</v>
      </c>
      <c r="S661" s="45">
        <f t="shared" si="41"/>
        <v>647.38714285714286</v>
      </c>
      <c r="T661" s="45">
        <f t="shared" si="42"/>
        <v>7</v>
      </c>
      <c r="U661" s="45">
        <f t="shared" si="43"/>
        <v>4531.71</v>
      </c>
    </row>
    <row r="662" spans="1:21" x14ac:dyDescent="0.3">
      <c r="A662" s="16" t="s">
        <v>736</v>
      </c>
      <c r="B662" s="31">
        <v>45183</v>
      </c>
      <c r="C662" s="31">
        <v>45186</v>
      </c>
      <c r="D662" s="2" t="s">
        <v>73</v>
      </c>
      <c r="E662" s="2" t="s">
        <v>64</v>
      </c>
      <c r="F662" s="4" t="s">
        <v>65</v>
      </c>
      <c r="G662" s="4" t="s">
        <v>51</v>
      </c>
      <c r="H662" s="4" t="s">
        <v>66</v>
      </c>
      <c r="I662" s="4" t="s">
        <v>67</v>
      </c>
      <c r="J662" s="4" t="s">
        <v>34</v>
      </c>
      <c r="K662" s="4" t="s">
        <v>25</v>
      </c>
      <c r="L662" s="4" t="s">
        <v>74</v>
      </c>
      <c r="M662" s="4" t="s">
        <v>737</v>
      </c>
      <c r="N662" s="5">
        <v>3507.79</v>
      </c>
      <c r="O662" s="6">
        <v>9</v>
      </c>
      <c r="P662" s="7">
        <v>0.1</v>
      </c>
      <c r="Q662" s="18">
        <v>836.31</v>
      </c>
      <c r="R662" s="45" t="str">
        <f t="shared" si="40"/>
        <v>OK</v>
      </c>
      <c r="S662" s="45">
        <f t="shared" si="41"/>
        <v>647.38714285714286</v>
      </c>
      <c r="T662" s="45">
        <f t="shared" si="42"/>
        <v>7</v>
      </c>
      <c r="U662" s="45">
        <f t="shared" si="43"/>
        <v>4531.71</v>
      </c>
    </row>
    <row r="663" spans="1:21" x14ac:dyDescent="0.3">
      <c r="A663" s="17" t="s">
        <v>1183</v>
      </c>
      <c r="B663" s="32">
        <v>45184</v>
      </c>
      <c r="C663" s="32">
        <v>45190</v>
      </c>
      <c r="D663" s="8" t="s">
        <v>29</v>
      </c>
      <c r="E663" s="8" t="s">
        <v>1184</v>
      </c>
      <c r="F663" s="10" t="s">
        <v>1185</v>
      </c>
      <c r="G663" s="10" t="s">
        <v>51</v>
      </c>
      <c r="H663" s="10" t="s">
        <v>22</v>
      </c>
      <c r="I663" s="10" t="s">
        <v>23</v>
      </c>
      <c r="J663" s="10" t="s">
        <v>24</v>
      </c>
      <c r="K663" s="10" t="s">
        <v>35</v>
      </c>
      <c r="L663" s="10" t="s">
        <v>295</v>
      </c>
      <c r="M663" s="10" t="s">
        <v>1186</v>
      </c>
      <c r="N663" s="11">
        <v>300.3</v>
      </c>
      <c r="O663" s="12">
        <v>7</v>
      </c>
      <c r="P663" s="13">
        <v>0</v>
      </c>
      <c r="Q663" s="19">
        <v>134.79</v>
      </c>
      <c r="R663" s="45" t="str">
        <f t="shared" si="40"/>
        <v>OK</v>
      </c>
      <c r="S663" s="45">
        <f t="shared" si="41"/>
        <v>647.38714285714286</v>
      </c>
      <c r="T663" s="45">
        <f t="shared" si="42"/>
        <v>7</v>
      </c>
      <c r="U663" s="45">
        <f t="shared" si="43"/>
        <v>4531.71</v>
      </c>
    </row>
    <row r="664" spans="1:21" x14ac:dyDescent="0.3">
      <c r="A664" s="17" t="s">
        <v>1224</v>
      </c>
      <c r="B664" s="32">
        <v>45187</v>
      </c>
      <c r="C664" s="32">
        <v>45189</v>
      </c>
      <c r="D664" s="8" t="s">
        <v>39</v>
      </c>
      <c r="E664" s="8" t="s">
        <v>570</v>
      </c>
      <c r="F664" s="10" t="s">
        <v>571</v>
      </c>
      <c r="G664" s="10" t="s">
        <v>21</v>
      </c>
      <c r="H664" s="10" t="s">
        <v>66</v>
      </c>
      <c r="I664" s="10" t="s">
        <v>67</v>
      </c>
      <c r="J664" s="10" t="s">
        <v>34</v>
      </c>
      <c r="K664" s="10" t="s">
        <v>45</v>
      </c>
      <c r="L664" s="10" t="s">
        <v>117</v>
      </c>
      <c r="M664" s="10" t="s">
        <v>1225</v>
      </c>
      <c r="N664" s="11">
        <v>3615</v>
      </c>
      <c r="O664" s="12">
        <v>10</v>
      </c>
      <c r="P664" s="13">
        <v>0</v>
      </c>
      <c r="Q664" s="19">
        <v>875.74</v>
      </c>
      <c r="R664" s="45" t="str">
        <f t="shared" si="40"/>
        <v>OK</v>
      </c>
      <c r="S664" s="45">
        <f t="shared" si="41"/>
        <v>647.38714285714286</v>
      </c>
      <c r="T664" s="45">
        <f t="shared" si="42"/>
        <v>7</v>
      </c>
      <c r="U664" s="45">
        <f t="shared" si="43"/>
        <v>4531.71</v>
      </c>
    </row>
    <row r="665" spans="1:21" x14ac:dyDescent="0.3">
      <c r="A665" s="16" t="s">
        <v>2233</v>
      </c>
      <c r="B665" s="31">
        <v>45190</v>
      </c>
      <c r="C665" s="31">
        <v>45192</v>
      </c>
      <c r="D665" s="2" t="s">
        <v>18</v>
      </c>
      <c r="E665" s="2" t="s">
        <v>733</v>
      </c>
      <c r="F665" s="4" t="s">
        <v>734</v>
      </c>
      <c r="G665" s="4" t="s">
        <v>51</v>
      </c>
      <c r="H665" s="4" t="s">
        <v>324</v>
      </c>
      <c r="I665" s="4" t="s">
        <v>116</v>
      </c>
      <c r="J665" s="4" t="s">
        <v>54</v>
      </c>
      <c r="K665" s="4" t="s">
        <v>35</v>
      </c>
      <c r="L665" s="4" t="s">
        <v>158</v>
      </c>
      <c r="M665" s="4" t="s">
        <v>2234</v>
      </c>
      <c r="N665" s="5">
        <v>31.67</v>
      </c>
      <c r="O665" s="6">
        <v>9</v>
      </c>
      <c r="P665" s="7">
        <v>0.1</v>
      </c>
      <c r="Q665" s="18">
        <v>10.57</v>
      </c>
      <c r="R665" s="45" t="str">
        <f t="shared" si="40"/>
        <v>OK</v>
      </c>
      <c r="S665" s="45">
        <f t="shared" si="41"/>
        <v>647.38714285714286</v>
      </c>
      <c r="T665" s="45">
        <f t="shared" si="42"/>
        <v>7</v>
      </c>
      <c r="U665" s="45">
        <f t="shared" si="43"/>
        <v>4531.71</v>
      </c>
    </row>
    <row r="666" spans="1:21" x14ac:dyDescent="0.3">
      <c r="A666" s="16" t="s">
        <v>2280</v>
      </c>
      <c r="B666" s="31">
        <v>45191</v>
      </c>
      <c r="C666" s="31">
        <v>45193</v>
      </c>
      <c r="D666" s="2" t="s">
        <v>18</v>
      </c>
      <c r="E666" s="2" t="s">
        <v>610</v>
      </c>
      <c r="F666" s="4" t="s">
        <v>611</v>
      </c>
      <c r="G666" s="4" t="s">
        <v>51</v>
      </c>
      <c r="H666" s="4" t="s">
        <v>346</v>
      </c>
      <c r="I666" s="4" t="s">
        <v>347</v>
      </c>
      <c r="J666" s="4" t="s">
        <v>88</v>
      </c>
      <c r="K666" s="4" t="s">
        <v>25</v>
      </c>
      <c r="L666" s="4" t="s">
        <v>68</v>
      </c>
      <c r="M666" s="4" t="s">
        <v>2281</v>
      </c>
      <c r="N666" s="5">
        <v>483.17</v>
      </c>
      <c r="O666" s="6">
        <v>5</v>
      </c>
      <c r="P666" s="7">
        <v>0.3</v>
      </c>
      <c r="Q666" s="18">
        <v>51.14</v>
      </c>
      <c r="R666" s="45" t="str">
        <f t="shared" si="40"/>
        <v>OK</v>
      </c>
      <c r="S666" s="45">
        <f t="shared" si="41"/>
        <v>647.38714285714286</v>
      </c>
      <c r="T666" s="45">
        <f t="shared" si="42"/>
        <v>7</v>
      </c>
      <c r="U666" s="45">
        <f t="shared" si="43"/>
        <v>4531.71</v>
      </c>
    </row>
    <row r="667" spans="1:21" x14ac:dyDescent="0.3">
      <c r="A667" s="16" t="s">
        <v>1177</v>
      </c>
      <c r="B667" s="31">
        <v>45193</v>
      </c>
      <c r="C667" s="31">
        <v>45196</v>
      </c>
      <c r="D667" s="2" t="s">
        <v>39</v>
      </c>
      <c r="E667" s="2" t="s">
        <v>797</v>
      </c>
      <c r="F667" s="4" t="s">
        <v>798</v>
      </c>
      <c r="G667" s="4" t="s">
        <v>51</v>
      </c>
      <c r="H667" s="4" t="s">
        <v>59</v>
      </c>
      <c r="I667" s="4" t="s">
        <v>60</v>
      </c>
      <c r="J667" s="4" t="s">
        <v>54</v>
      </c>
      <c r="K667" s="4" t="s">
        <v>35</v>
      </c>
      <c r="L667" s="4" t="s">
        <v>158</v>
      </c>
      <c r="M667" s="4" t="s">
        <v>1178</v>
      </c>
      <c r="N667" s="5">
        <v>806.44</v>
      </c>
      <c r="O667" s="6">
        <v>9</v>
      </c>
      <c r="P667" s="7">
        <v>0.4</v>
      </c>
      <c r="Q667" s="18">
        <v>-74.31</v>
      </c>
      <c r="R667" s="45" t="str">
        <f t="shared" si="40"/>
        <v>OK</v>
      </c>
      <c r="S667" s="45">
        <f t="shared" si="41"/>
        <v>647.38714285714286</v>
      </c>
      <c r="T667" s="45">
        <f t="shared" si="42"/>
        <v>7</v>
      </c>
      <c r="U667" s="45">
        <f t="shared" si="43"/>
        <v>4531.71</v>
      </c>
    </row>
    <row r="668" spans="1:21" x14ac:dyDescent="0.3">
      <c r="A668" s="16" t="s">
        <v>1699</v>
      </c>
      <c r="B668" s="31">
        <v>45193</v>
      </c>
      <c r="C668" s="31">
        <v>45196</v>
      </c>
      <c r="D668" s="2" t="s">
        <v>39</v>
      </c>
      <c r="E668" s="2" t="s">
        <v>763</v>
      </c>
      <c r="F668" s="4" t="s">
        <v>764</v>
      </c>
      <c r="G668" s="4" t="s">
        <v>21</v>
      </c>
      <c r="H668" s="4" t="s">
        <v>765</v>
      </c>
      <c r="I668" s="4" t="s">
        <v>105</v>
      </c>
      <c r="J668" s="4" t="s">
        <v>88</v>
      </c>
      <c r="K668" s="4" t="s">
        <v>35</v>
      </c>
      <c r="L668" s="4" t="s">
        <v>295</v>
      </c>
      <c r="M668" s="4" t="s">
        <v>1700</v>
      </c>
      <c r="N668" s="5">
        <v>54.2</v>
      </c>
      <c r="O668" s="6">
        <v>4</v>
      </c>
      <c r="P668" s="7">
        <v>0</v>
      </c>
      <c r="Q668" s="18">
        <v>26.56</v>
      </c>
      <c r="R668" s="45" t="str">
        <f t="shared" si="40"/>
        <v>OK</v>
      </c>
      <c r="S668" s="45">
        <f t="shared" si="41"/>
        <v>647.38714285714286</v>
      </c>
      <c r="T668" s="45">
        <f t="shared" si="42"/>
        <v>7</v>
      </c>
      <c r="U668" s="45">
        <f t="shared" si="43"/>
        <v>4531.71</v>
      </c>
    </row>
    <row r="669" spans="1:21" x14ac:dyDescent="0.3">
      <c r="A669" s="16" t="s">
        <v>2435</v>
      </c>
      <c r="B669" s="31">
        <v>45194</v>
      </c>
      <c r="C669" s="31">
        <v>45196</v>
      </c>
      <c r="D669" s="2" t="s">
        <v>39</v>
      </c>
      <c r="E669" s="2" t="s">
        <v>329</v>
      </c>
      <c r="F669" s="4" t="s">
        <v>330</v>
      </c>
      <c r="G669" s="4" t="s">
        <v>42</v>
      </c>
      <c r="H669" s="4" t="s">
        <v>66</v>
      </c>
      <c r="I669" s="4" t="s">
        <v>67</v>
      </c>
      <c r="J669" s="4" t="s">
        <v>34</v>
      </c>
      <c r="K669" s="4" t="s">
        <v>35</v>
      </c>
      <c r="L669" s="4" t="s">
        <v>110</v>
      </c>
      <c r="M669" s="4" t="s">
        <v>634</v>
      </c>
      <c r="N669" s="5">
        <v>17.260000000000002</v>
      </c>
      <c r="O669" s="6">
        <v>3</v>
      </c>
      <c r="P669" s="7">
        <v>0.2</v>
      </c>
      <c r="Q669" s="18">
        <v>4.3899999999999997</v>
      </c>
      <c r="R669" s="45" t="str">
        <f t="shared" si="40"/>
        <v>OK</v>
      </c>
      <c r="S669" s="45">
        <f t="shared" si="41"/>
        <v>647.38714285714286</v>
      </c>
      <c r="T669" s="45">
        <f t="shared" si="42"/>
        <v>7</v>
      </c>
      <c r="U669" s="45">
        <f t="shared" si="43"/>
        <v>4531.71</v>
      </c>
    </row>
    <row r="670" spans="1:21" x14ac:dyDescent="0.3">
      <c r="A670" s="17" t="s">
        <v>2072</v>
      </c>
      <c r="B670" s="32">
        <v>45198</v>
      </c>
      <c r="C670" s="32">
        <v>45199</v>
      </c>
      <c r="D670" s="8" t="s">
        <v>18</v>
      </c>
      <c r="E670" s="8" t="s">
        <v>512</v>
      </c>
      <c r="F670" s="10" t="s">
        <v>513</v>
      </c>
      <c r="G670" s="10" t="s">
        <v>21</v>
      </c>
      <c r="H670" s="10" t="s">
        <v>104</v>
      </c>
      <c r="I670" s="10" t="s">
        <v>105</v>
      </c>
      <c r="J670" s="10" t="s">
        <v>88</v>
      </c>
      <c r="K670" s="10" t="s">
        <v>35</v>
      </c>
      <c r="L670" s="10" t="s">
        <v>89</v>
      </c>
      <c r="M670" s="10" t="s">
        <v>1348</v>
      </c>
      <c r="N670" s="11">
        <v>317.92</v>
      </c>
      <c r="O670" s="12">
        <v>2</v>
      </c>
      <c r="P670" s="13">
        <v>0</v>
      </c>
      <c r="Q670" s="19">
        <v>124.4</v>
      </c>
      <c r="R670" s="45" t="str">
        <f t="shared" si="40"/>
        <v>OK</v>
      </c>
      <c r="S670" s="45">
        <f t="shared" si="41"/>
        <v>647.38714285714286</v>
      </c>
      <c r="T670" s="45">
        <f t="shared" si="42"/>
        <v>7</v>
      </c>
      <c r="U670" s="45">
        <f t="shared" si="43"/>
        <v>4531.71</v>
      </c>
    </row>
    <row r="671" spans="1:21" x14ac:dyDescent="0.3">
      <c r="A671" s="16" t="s">
        <v>1514</v>
      </c>
      <c r="B671" s="31">
        <v>45199</v>
      </c>
      <c r="C671" s="31">
        <v>45204</v>
      </c>
      <c r="D671" s="2" t="s">
        <v>29</v>
      </c>
      <c r="E671" s="2" t="s">
        <v>463</v>
      </c>
      <c r="F671" s="4" t="s">
        <v>464</v>
      </c>
      <c r="G671" s="4" t="s">
        <v>51</v>
      </c>
      <c r="H671" s="4" t="s">
        <v>465</v>
      </c>
      <c r="I671" s="4" t="s">
        <v>423</v>
      </c>
      <c r="J671" s="4" t="s">
        <v>88</v>
      </c>
      <c r="K671" s="4" t="s">
        <v>35</v>
      </c>
      <c r="L671" s="4" t="s">
        <v>229</v>
      </c>
      <c r="M671" s="4" t="s">
        <v>1515</v>
      </c>
      <c r="N671" s="5">
        <v>7.47</v>
      </c>
      <c r="O671" s="6">
        <v>3</v>
      </c>
      <c r="P671" s="7">
        <v>0.5</v>
      </c>
      <c r="Q671" s="18">
        <v>-0.93</v>
      </c>
      <c r="R671" s="45" t="str">
        <f t="shared" si="40"/>
        <v>OK</v>
      </c>
      <c r="S671" s="45">
        <f t="shared" si="41"/>
        <v>647.38714285714286</v>
      </c>
      <c r="T671" s="45">
        <f t="shared" si="42"/>
        <v>7</v>
      </c>
      <c r="U671" s="45">
        <f t="shared" si="43"/>
        <v>4531.71</v>
      </c>
    </row>
    <row r="672" spans="1:21" x14ac:dyDescent="0.3">
      <c r="A672" s="16" t="s">
        <v>575</v>
      </c>
      <c r="B672" s="31">
        <v>45201</v>
      </c>
      <c r="C672" s="31">
        <v>45203</v>
      </c>
      <c r="D672" s="2" t="s">
        <v>18</v>
      </c>
      <c r="E672" s="2" t="s">
        <v>528</v>
      </c>
      <c r="F672" s="4" t="s">
        <v>529</v>
      </c>
      <c r="G672" s="4" t="s">
        <v>51</v>
      </c>
      <c r="H672" s="4" t="s">
        <v>530</v>
      </c>
      <c r="I672" s="4" t="s">
        <v>373</v>
      </c>
      <c r="J672" s="4" t="s">
        <v>34</v>
      </c>
      <c r="K672" s="4" t="s">
        <v>45</v>
      </c>
      <c r="L672" s="4" t="s">
        <v>99</v>
      </c>
      <c r="M672" s="4" t="s">
        <v>576</v>
      </c>
      <c r="N672" s="5">
        <v>1818.8</v>
      </c>
      <c r="O672" s="6">
        <v>10</v>
      </c>
      <c r="P672" s="7">
        <v>0</v>
      </c>
      <c r="Q672" s="18">
        <v>577.54</v>
      </c>
      <c r="R672" s="45" t="str">
        <f t="shared" si="40"/>
        <v>OK</v>
      </c>
      <c r="S672" s="45">
        <f t="shared" si="41"/>
        <v>647.38714285714286</v>
      </c>
      <c r="T672" s="45">
        <f t="shared" si="42"/>
        <v>7</v>
      </c>
      <c r="U672" s="45">
        <f t="shared" si="43"/>
        <v>4531.71</v>
      </c>
    </row>
    <row r="673" spans="1:21" x14ac:dyDescent="0.3">
      <c r="A673" s="17" t="s">
        <v>1073</v>
      </c>
      <c r="B673" s="32">
        <v>45203</v>
      </c>
      <c r="C673" s="32">
        <v>45208</v>
      </c>
      <c r="D673" s="8" t="s">
        <v>29</v>
      </c>
      <c r="E673" s="8" t="s">
        <v>528</v>
      </c>
      <c r="F673" s="10" t="s">
        <v>529</v>
      </c>
      <c r="G673" s="10" t="s">
        <v>51</v>
      </c>
      <c r="H673" s="10" t="s">
        <v>530</v>
      </c>
      <c r="I673" s="10" t="s">
        <v>373</v>
      </c>
      <c r="J673" s="10" t="s">
        <v>34</v>
      </c>
      <c r="K673" s="10" t="s">
        <v>35</v>
      </c>
      <c r="L673" s="10" t="s">
        <v>36</v>
      </c>
      <c r="M673" s="10" t="s">
        <v>1074</v>
      </c>
      <c r="N673" s="11">
        <v>469.49</v>
      </c>
      <c r="O673" s="12">
        <v>5</v>
      </c>
      <c r="P673" s="13">
        <v>0.1</v>
      </c>
      <c r="Q673" s="19">
        <v>185.27</v>
      </c>
      <c r="R673" s="45" t="str">
        <f t="shared" si="40"/>
        <v>OK</v>
      </c>
      <c r="S673" s="45">
        <f t="shared" si="41"/>
        <v>647.38714285714286</v>
      </c>
      <c r="T673" s="45">
        <f t="shared" si="42"/>
        <v>7</v>
      </c>
      <c r="U673" s="45">
        <f t="shared" si="43"/>
        <v>4531.71</v>
      </c>
    </row>
    <row r="674" spans="1:21" x14ac:dyDescent="0.3">
      <c r="A674" s="16" t="s">
        <v>1291</v>
      </c>
      <c r="B674" s="31">
        <v>45203</v>
      </c>
      <c r="C674" s="31">
        <v>45206</v>
      </c>
      <c r="D674" s="2" t="s">
        <v>18</v>
      </c>
      <c r="E674" s="2" t="s">
        <v>457</v>
      </c>
      <c r="F674" s="4" t="s">
        <v>458</v>
      </c>
      <c r="G674" s="4" t="s">
        <v>51</v>
      </c>
      <c r="H674" s="4" t="s">
        <v>459</v>
      </c>
      <c r="I674" s="4" t="s">
        <v>460</v>
      </c>
      <c r="J674" s="4" t="s">
        <v>54</v>
      </c>
      <c r="K674" s="4" t="s">
        <v>25</v>
      </c>
      <c r="L674" s="4" t="s">
        <v>74</v>
      </c>
      <c r="M674" s="4" t="s">
        <v>1292</v>
      </c>
      <c r="N674" s="5">
        <v>3188.85</v>
      </c>
      <c r="O674" s="6">
        <v>5</v>
      </c>
      <c r="P674" s="7">
        <v>0</v>
      </c>
      <c r="Q674" s="18">
        <v>1046.8599999999999</v>
      </c>
      <c r="R674" s="45" t="str">
        <f t="shared" si="40"/>
        <v>OK</v>
      </c>
      <c r="S674" s="45">
        <f t="shared" si="41"/>
        <v>647.38714285714286</v>
      </c>
      <c r="T674" s="45">
        <f t="shared" si="42"/>
        <v>7</v>
      </c>
      <c r="U674" s="45">
        <f t="shared" si="43"/>
        <v>4531.71</v>
      </c>
    </row>
    <row r="675" spans="1:21" x14ac:dyDescent="0.3">
      <c r="A675" s="16" t="s">
        <v>2332</v>
      </c>
      <c r="B675" s="31">
        <v>45203</v>
      </c>
      <c r="C675" s="31">
        <v>45208</v>
      </c>
      <c r="D675" s="2" t="s">
        <v>29</v>
      </c>
      <c r="E675" s="2" t="s">
        <v>293</v>
      </c>
      <c r="F675" s="4" t="s">
        <v>294</v>
      </c>
      <c r="G675" s="4" t="s">
        <v>21</v>
      </c>
      <c r="H675" s="4" t="s">
        <v>193</v>
      </c>
      <c r="I675" s="4" t="s">
        <v>194</v>
      </c>
      <c r="J675" s="4" t="s">
        <v>34</v>
      </c>
      <c r="K675" s="4" t="s">
        <v>35</v>
      </c>
      <c r="L675" s="4" t="s">
        <v>166</v>
      </c>
      <c r="M675" s="4" t="s">
        <v>2333</v>
      </c>
      <c r="N675" s="5">
        <v>335.92</v>
      </c>
      <c r="O675" s="6">
        <v>8</v>
      </c>
      <c r="P675" s="7">
        <v>0</v>
      </c>
      <c r="Q675" s="18">
        <v>124.18</v>
      </c>
      <c r="R675" s="45" t="str">
        <f t="shared" si="40"/>
        <v>OK</v>
      </c>
      <c r="S675" s="45">
        <f t="shared" si="41"/>
        <v>647.38714285714286</v>
      </c>
      <c r="T675" s="45">
        <f t="shared" si="42"/>
        <v>7</v>
      </c>
      <c r="U675" s="45">
        <f t="shared" si="43"/>
        <v>4531.71</v>
      </c>
    </row>
    <row r="676" spans="1:21" x14ac:dyDescent="0.3">
      <c r="A676" s="16" t="s">
        <v>691</v>
      </c>
      <c r="B676" s="31">
        <v>45210</v>
      </c>
      <c r="C676" s="31">
        <v>45212</v>
      </c>
      <c r="D676" s="2" t="s">
        <v>18</v>
      </c>
      <c r="E676" s="2" t="s">
        <v>692</v>
      </c>
      <c r="F676" s="4" t="s">
        <v>693</v>
      </c>
      <c r="G676" s="4" t="s">
        <v>21</v>
      </c>
      <c r="H676" s="4" t="s">
        <v>694</v>
      </c>
      <c r="I676" s="4" t="s">
        <v>67</v>
      </c>
      <c r="J676" s="4" t="s">
        <v>34</v>
      </c>
      <c r="K676" s="4" t="s">
        <v>35</v>
      </c>
      <c r="L676" s="4" t="s">
        <v>81</v>
      </c>
      <c r="M676" s="4" t="s">
        <v>695</v>
      </c>
      <c r="N676" s="5">
        <v>48.12</v>
      </c>
      <c r="O676" s="6">
        <v>6</v>
      </c>
      <c r="P676" s="7">
        <v>0</v>
      </c>
      <c r="Q676" s="18">
        <v>27.52</v>
      </c>
      <c r="R676" s="45" t="str">
        <f t="shared" si="40"/>
        <v>OK</v>
      </c>
      <c r="S676" s="45">
        <f t="shared" si="41"/>
        <v>647.38714285714286</v>
      </c>
      <c r="T676" s="45">
        <f t="shared" si="42"/>
        <v>7</v>
      </c>
      <c r="U676" s="45">
        <f t="shared" si="43"/>
        <v>4531.71</v>
      </c>
    </row>
    <row r="677" spans="1:21" x14ac:dyDescent="0.3">
      <c r="A677" s="17" t="s">
        <v>1387</v>
      </c>
      <c r="B677" s="32">
        <v>45211</v>
      </c>
      <c r="C677" s="32">
        <v>45218</v>
      </c>
      <c r="D677" s="8" t="s">
        <v>29</v>
      </c>
      <c r="E677" s="8" t="s">
        <v>175</v>
      </c>
      <c r="F677" s="10" t="s">
        <v>176</v>
      </c>
      <c r="G677" s="10" t="s">
        <v>51</v>
      </c>
      <c r="H677" s="10" t="s">
        <v>177</v>
      </c>
      <c r="I677" s="10" t="s">
        <v>178</v>
      </c>
      <c r="J677" s="10" t="s">
        <v>24</v>
      </c>
      <c r="K677" s="10" t="s">
        <v>25</v>
      </c>
      <c r="L677" s="10" t="s">
        <v>26</v>
      </c>
      <c r="M677" s="10" t="s">
        <v>1388</v>
      </c>
      <c r="N677" s="11">
        <v>1844.76</v>
      </c>
      <c r="O677" s="12">
        <v>8</v>
      </c>
      <c r="P677" s="13">
        <v>0.5</v>
      </c>
      <c r="Q677" s="19">
        <v>-1250.02</v>
      </c>
      <c r="R677" s="45" t="str">
        <f t="shared" si="40"/>
        <v>OK</v>
      </c>
      <c r="S677" s="45">
        <f t="shared" si="41"/>
        <v>647.38714285714286</v>
      </c>
      <c r="T677" s="45">
        <f t="shared" si="42"/>
        <v>7</v>
      </c>
      <c r="U677" s="45">
        <f t="shared" si="43"/>
        <v>4531.71</v>
      </c>
    </row>
    <row r="678" spans="1:21" x14ac:dyDescent="0.3">
      <c r="A678" s="16" t="s">
        <v>1443</v>
      </c>
      <c r="B678" s="31">
        <v>45211</v>
      </c>
      <c r="C678" s="31">
        <v>45214</v>
      </c>
      <c r="D678" s="2" t="s">
        <v>73</v>
      </c>
      <c r="E678" s="2" t="s">
        <v>410</v>
      </c>
      <c r="F678" s="4" t="s">
        <v>411</v>
      </c>
      <c r="G678" s="4" t="s">
        <v>42</v>
      </c>
      <c r="H678" s="4" t="s">
        <v>412</v>
      </c>
      <c r="I678" s="4" t="s">
        <v>178</v>
      </c>
      <c r="J678" s="4" t="s">
        <v>24</v>
      </c>
      <c r="K678" s="4" t="s">
        <v>45</v>
      </c>
      <c r="L678" s="4" t="s">
        <v>46</v>
      </c>
      <c r="M678" s="4" t="s">
        <v>1444</v>
      </c>
      <c r="N678" s="5">
        <v>5266.17</v>
      </c>
      <c r="O678" s="6">
        <v>9</v>
      </c>
      <c r="P678" s="7">
        <v>0</v>
      </c>
      <c r="Q678" s="18">
        <v>1790.88</v>
      </c>
      <c r="R678" s="45" t="str">
        <f t="shared" si="40"/>
        <v>OK</v>
      </c>
      <c r="S678" s="45">
        <f t="shared" si="41"/>
        <v>447.82500000000005</v>
      </c>
      <c r="T678" s="45">
        <f t="shared" si="42"/>
        <v>6</v>
      </c>
      <c r="U678" s="45">
        <f t="shared" si="43"/>
        <v>2686.9500000000003</v>
      </c>
    </row>
    <row r="679" spans="1:21" x14ac:dyDescent="0.3">
      <c r="A679" s="16" t="s">
        <v>2438</v>
      </c>
      <c r="B679" s="31">
        <v>45212</v>
      </c>
      <c r="C679" s="31">
        <v>45215</v>
      </c>
      <c r="D679" s="2" t="s">
        <v>18</v>
      </c>
      <c r="E679" s="2" t="s">
        <v>1070</v>
      </c>
      <c r="F679" s="4" t="s">
        <v>1071</v>
      </c>
      <c r="G679" s="4" t="s">
        <v>51</v>
      </c>
      <c r="H679" s="4" t="s">
        <v>177</v>
      </c>
      <c r="I679" s="4" t="s">
        <v>178</v>
      </c>
      <c r="J679" s="4" t="s">
        <v>24</v>
      </c>
      <c r="K679" s="4" t="s">
        <v>45</v>
      </c>
      <c r="L679" s="4" t="s">
        <v>99</v>
      </c>
      <c r="M679" s="4" t="s">
        <v>2439</v>
      </c>
      <c r="N679" s="5">
        <v>505.89</v>
      </c>
      <c r="O679" s="6">
        <v>5</v>
      </c>
      <c r="P679" s="7">
        <v>0.3</v>
      </c>
      <c r="Q679" s="18">
        <v>-13.9</v>
      </c>
      <c r="R679" s="45" t="str">
        <f t="shared" si="40"/>
        <v>OK</v>
      </c>
      <c r="S679" s="45">
        <f t="shared" si="41"/>
        <v>447.82500000000005</v>
      </c>
      <c r="T679" s="45">
        <f t="shared" si="42"/>
        <v>6</v>
      </c>
      <c r="U679" s="45">
        <f t="shared" si="43"/>
        <v>2686.9500000000003</v>
      </c>
    </row>
    <row r="680" spans="1:21" x14ac:dyDescent="0.3">
      <c r="A680" s="16" t="s">
        <v>617</v>
      </c>
      <c r="B680" s="31">
        <v>45215</v>
      </c>
      <c r="C680" s="31">
        <v>45220</v>
      </c>
      <c r="D680" s="2" t="s">
        <v>29</v>
      </c>
      <c r="E680" s="2" t="s">
        <v>618</v>
      </c>
      <c r="F680" s="4" t="s">
        <v>619</v>
      </c>
      <c r="G680" s="4" t="s">
        <v>42</v>
      </c>
      <c r="H680" s="4" t="s">
        <v>260</v>
      </c>
      <c r="I680" s="4" t="s">
        <v>151</v>
      </c>
      <c r="J680" s="4" t="s">
        <v>34</v>
      </c>
      <c r="K680" s="4" t="s">
        <v>35</v>
      </c>
      <c r="L680" s="4" t="s">
        <v>216</v>
      </c>
      <c r="M680" s="4" t="s">
        <v>620</v>
      </c>
      <c r="N680" s="5">
        <v>352.44</v>
      </c>
      <c r="O680" s="6">
        <v>8</v>
      </c>
      <c r="P680" s="7">
        <v>0.15</v>
      </c>
      <c r="Q680" s="18">
        <v>149.68</v>
      </c>
      <c r="R680" s="45" t="str">
        <f t="shared" si="40"/>
        <v>OK</v>
      </c>
      <c r="S680" s="45">
        <f t="shared" si="41"/>
        <v>447.82500000000005</v>
      </c>
      <c r="T680" s="45">
        <f t="shared" si="42"/>
        <v>6</v>
      </c>
      <c r="U680" s="45">
        <f t="shared" si="43"/>
        <v>2686.9500000000003</v>
      </c>
    </row>
    <row r="681" spans="1:21" x14ac:dyDescent="0.3">
      <c r="A681" s="16" t="s">
        <v>1018</v>
      </c>
      <c r="B681" s="31">
        <v>45215</v>
      </c>
      <c r="C681" s="31">
        <v>45218</v>
      </c>
      <c r="D681" s="2" t="s">
        <v>39</v>
      </c>
      <c r="E681" s="2" t="s">
        <v>92</v>
      </c>
      <c r="F681" s="4" t="s">
        <v>93</v>
      </c>
      <c r="G681" s="4" t="s">
        <v>42</v>
      </c>
      <c r="H681" s="4" t="s">
        <v>43</v>
      </c>
      <c r="I681" s="4" t="s">
        <v>44</v>
      </c>
      <c r="J681" s="4" t="s">
        <v>24</v>
      </c>
      <c r="K681" s="4" t="s">
        <v>35</v>
      </c>
      <c r="L681" s="4" t="s">
        <v>295</v>
      </c>
      <c r="M681" s="4" t="s">
        <v>1019</v>
      </c>
      <c r="N681" s="5">
        <v>217.5</v>
      </c>
      <c r="O681" s="6">
        <v>7</v>
      </c>
      <c r="P681" s="7">
        <v>0.2</v>
      </c>
      <c r="Q681" s="18">
        <v>87.32</v>
      </c>
      <c r="R681" s="45" t="str">
        <f t="shared" si="40"/>
        <v>OK</v>
      </c>
      <c r="S681" s="45">
        <f t="shared" si="41"/>
        <v>447.82500000000005</v>
      </c>
      <c r="T681" s="45">
        <f t="shared" si="42"/>
        <v>6</v>
      </c>
      <c r="U681" s="45">
        <f t="shared" si="43"/>
        <v>2686.9500000000003</v>
      </c>
    </row>
    <row r="682" spans="1:21" x14ac:dyDescent="0.3">
      <c r="A682" s="17" t="s">
        <v>1832</v>
      </c>
      <c r="B682" s="32">
        <v>45215</v>
      </c>
      <c r="C682" s="32">
        <v>45220</v>
      </c>
      <c r="D682" s="8" t="s">
        <v>29</v>
      </c>
      <c r="E682" s="8" t="s">
        <v>1708</v>
      </c>
      <c r="F682" s="10" t="s">
        <v>1709</v>
      </c>
      <c r="G682" s="10" t="s">
        <v>51</v>
      </c>
      <c r="H682" s="10" t="s">
        <v>177</v>
      </c>
      <c r="I682" s="10" t="s">
        <v>178</v>
      </c>
      <c r="J682" s="10" t="s">
        <v>24</v>
      </c>
      <c r="K682" s="10" t="s">
        <v>45</v>
      </c>
      <c r="L682" s="10" t="s">
        <v>61</v>
      </c>
      <c r="M682" s="10" t="s">
        <v>1833</v>
      </c>
      <c r="N682" s="11">
        <v>5021.97</v>
      </c>
      <c r="O682" s="12">
        <v>8</v>
      </c>
      <c r="P682" s="13">
        <v>0.3</v>
      </c>
      <c r="Q682" s="19">
        <v>-1869.98</v>
      </c>
      <c r="R682" s="45" t="str">
        <f t="shared" si="40"/>
        <v>OK</v>
      </c>
      <c r="S682" s="45">
        <f t="shared" si="41"/>
        <v>447.82500000000005</v>
      </c>
      <c r="T682" s="45">
        <f t="shared" si="42"/>
        <v>6</v>
      </c>
      <c r="U682" s="45">
        <f t="shared" si="43"/>
        <v>2686.9500000000003</v>
      </c>
    </row>
    <row r="683" spans="1:21" x14ac:dyDescent="0.3">
      <c r="A683" s="17" t="s">
        <v>2454</v>
      </c>
      <c r="B683" s="32">
        <v>45218</v>
      </c>
      <c r="C683" s="32">
        <v>45225</v>
      </c>
      <c r="D683" s="8" t="s">
        <v>29</v>
      </c>
      <c r="E683" s="8" t="s">
        <v>468</v>
      </c>
      <c r="F683" s="10" t="s">
        <v>469</v>
      </c>
      <c r="G683" s="10" t="s">
        <v>51</v>
      </c>
      <c r="H683" s="10" t="s">
        <v>372</v>
      </c>
      <c r="I683" s="10" t="s">
        <v>373</v>
      </c>
      <c r="J683" s="10" t="s">
        <v>34</v>
      </c>
      <c r="K683" s="10" t="s">
        <v>45</v>
      </c>
      <c r="L683" s="10" t="s">
        <v>117</v>
      </c>
      <c r="M683" s="10" t="s">
        <v>2455</v>
      </c>
      <c r="N683" s="11">
        <v>259.7</v>
      </c>
      <c r="O683" s="12">
        <v>5</v>
      </c>
      <c r="P683" s="13">
        <v>0</v>
      </c>
      <c r="Q683" s="19">
        <v>74.430000000000007</v>
      </c>
      <c r="R683" s="45" t="str">
        <f t="shared" si="40"/>
        <v>OK</v>
      </c>
      <c r="S683" s="45">
        <f t="shared" si="41"/>
        <v>447.82500000000005</v>
      </c>
      <c r="T683" s="45">
        <f t="shared" si="42"/>
        <v>6</v>
      </c>
      <c r="U683" s="45">
        <f t="shared" si="43"/>
        <v>2686.9500000000003</v>
      </c>
    </row>
    <row r="684" spans="1:21" x14ac:dyDescent="0.3">
      <c r="A684" s="17" t="s">
        <v>2298</v>
      </c>
      <c r="B684" s="32">
        <v>45222</v>
      </c>
      <c r="C684" s="32">
        <v>45225</v>
      </c>
      <c r="D684" s="8" t="s">
        <v>18</v>
      </c>
      <c r="E684" s="8" t="s">
        <v>753</v>
      </c>
      <c r="F684" s="10" t="s">
        <v>754</v>
      </c>
      <c r="G684" s="10" t="s">
        <v>42</v>
      </c>
      <c r="H684" s="10" t="s">
        <v>22</v>
      </c>
      <c r="I684" s="10" t="s">
        <v>23</v>
      </c>
      <c r="J684" s="10" t="s">
        <v>24</v>
      </c>
      <c r="K684" s="10" t="s">
        <v>45</v>
      </c>
      <c r="L684" s="10" t="s">
        <v>61</v>
      </c>
      <c r="M684" s="10" t="s">
        <v>2299</v>
      </c>
      <c r="N684" s="11">
        <v>1465.76</v>
      </c>
      <c r="O684" s="12">
        <v>7</v>
      </c>
      <c r="P684" s="13">
        <v>0.1</v>
      </c>
      <c r="Q684" s="19">
        <v>-49.99</v>
      </c>
      <c r="R684" s="45" t="str">
        <f t="shared" si="40"/>
        <v>OK</v>
      </c>
      <c r="S684" s="45">
        <f t="shared" si="41"/>
        <v>447.82500000000005</v>
      </c>
      <c r="T684" s="45">
        <f t="shared" si="42"/>
        <v>6</v>
      </c>
      <c r="U684" s="45">
        <f t="shared" si="43"/>
        <v>2686.9500000000003</v>
      </c>
    </row>
    <row r="685" spans="1:21" x14ac:dyDescent="0.3">
      <c r="A685" s="17" t="s">
        <v>2227</v>
      </c>
      <c r="B685" s="32">
        <v>45224</v>
      </c>
      <c r="C685" s="32">
        <v>45227</v>
      </c>
      <c r="D685" s="8" t="s">
        <v>39</v>
      </c>
      <c r="E685" s="8" t="s">
        <v>666</v>
      </c>
      <c r="F685" s="10" t="s">
        <v>667</v>
      </c>
      <c r="G685" s="10" t="s">
        <v>21</v>
      </c>
      <c r="H685" s="10" t="s">
        <v>372</v>
      </c>
      <c r="I685" s="10" t="s">
        <v>373</v>
      </c>
      <c r="J685" s="10" t="s">
        <v>34</v>
      </c>
      <c r="K685" s="10" t="s">
        <v>45</v>
      </c>
      <c r="L685" s="10" t="s">
        <v>117</v>
      </c>
      <c r="M685" s="10" t="s">
        <v>2228</v>
      </c>
      <c r="N685" s="11">
        <v>1482.33</v>
      </c>
      <c r="O685" s="12">
        <v>3</v>
      </c>
      <c r="P685" s="13">
        <v>0</v>
      </c>
      <c r="Q685" s="19">
        <v>298.02999999999997</v>
      </c>
      <c r="R685" s="45" t="str">
        <f t="shared" si="40"/>
        <v>OK</v>
      </c>
      <c r="S685" s="45">
        <f t="shared" si="41"/>
        <v>447.82500000000005</v>
      </c>
      <c r="T685" s="45">
        <f t="shared" si="42"/>
        <v>6</v>
      </c>
      <c r="U685" s="45">
        <f t="shared" si="43"/>
        <v>2686.9500000000003</v>
      </c>
    </row>
    <row r="686" spans="1:21" x14ac:dyDescent="0.3">
      <c r="A686" s="16" t="s">
        <v>1267</v>
      </c>
      <c r="B686" s="31">
        <v>45228</v>
      </c>
      <c r="C686" s="31">
        <v>45235</v>
      </c>
      <c r="D686" s="2" t="s">
        <v>29</v>
      </c>
      <c r="E686" s="2" t="s">
        <v>57</v>
      </c>
      <c r="F686" s="4" t="s">
        <v>58</v>
      </c>
      <c r="G686" s="4" t="s">
        <v>42</v>
      </c>
      <c r="H686" s="4" t="s">
        <v>59</v>
      </c>
      <c r="I686" s="4" t="s">
        <v>60</v>
      </c>
      <c r="J686" s="4" t="s">
        <v>54</v>
      </c>
      <c r="K686" s="4" t="s">
        <v>35</v>
      </c>
      <c r="L686" s="4" t="s">
        <v>110</v>
      </c>
      <c r="M686" s="4" t="s">
        <v>1268</v>
      </c>
      <c r="N686" s="5">
        <v>66.319999999999993</v>
      </c>
      <c r="O686" s="6">
        <v>2</v>
      </c>
      <c r="P686" s="7">
        <v>0.15</v>
      </c>
      <c r="Q686" s="18">
        <v>24.57</v>
      </c>
      <c r="R686" s="45" t="str">
        <f t="shared" si="40"/>
        <v>OK</v>
      </c>
      <c r="S686" s="45">
        <f t="shared" si="41"/>
        <v>447.82500000000005</v>
      </c>
      <c r="T686" s="45">
        <f t="shared" si="42"/>
        <v>6</v>
      </c>
      <c r="U686" s="45">
        <f t="shared" si="43"/>
        <v>2686.9500000000003</v>
      </c>
    </row>
    <row r="687" spans="1:21" x14ac:dyDescent="0.3">
      <c r="A687" s="17" t="s">
        <v>943</v>
      </c>
      <c r="B687" s="32">
        <v>45229</v>
      </c>
      <c r="C687" s="32">
        <v>45235</v>
      </c>
      <c r="D687" s="8" t="s">
        <v>29</v>
      </c>
      <c r="E687" s="8" t="s">
        <v>618</v>
      </c>
      <c r="F687" s="10" t="s">
        <v>619</v>
      </c>
      <c r="G687" s="10" t="s">
        <v>42</v>
      </c>
      <c r="H687" s="10" t="s">
        <v>260</v>
      </c>
      <c r="I687" s="10" t="s">
        <v>151</v>
      </c>
      <c r="J687" s="10" t="s">
        <v>34</v>
      </c>
      <c r="K687" s="10" t="s">
        <v>45</v>
      </c>
      <c r="L687" s="10" t="s">
        <v>61</v>
      </c>
      <c r="M687" s="10" t="s">
        <v>944</v>
      </c>
      <c r="N687" s="11">
        <v>618.9</v>
      </c>
      <c r="O687" s="12">
        <v>1</v>
      </c>
      <c r="P687" s="13">
        <v>0.3</v>
      </c>
      <c r="Q687" s="19">
        <v>-209.86</v>
      </c>
      <c r="R687" s="45" t="str">
        <f t="shared" si="40"/>
        <v>OK</v>
      </c>
      <c r="S687" s="45">
        <f t="shared" si="41"/>
        <v>447.82500000000005</v>
      </c>
      <c r="T687" s="45">
        <f t="shared" si="42"/>
        <v>6</v>
      </c>
      <c r="U687" s="45">
        <f t="shared" si="43"/>
        <v>2686.9500000000003</v>
      </c>
    </row>
    <row r="688" spans="1:21" x14ac:dyDescent="0.3">
      <c r="A688" s="16" t="s">
        <v>595</v>
      </c>
      <c r="B688" s="31">
        <v>45233</v>
      </c>
      <c r="C688" s="31">
        <v>45236</v>
      </c>
      <c r="D688" s="2" t="s">
        <v>39</v>
      </c>
      <c r="E688" s="2" t="s">
        <v>244</v>
      </c>
      <c r="F688" s="4" t="s">
        <v>245</v>
      </c>
      <c r="G688" s="4" t="s">
        <v>42</v>
      </c>
      <c r="H688" s="4" t="s">
        <v>79</v>
      </c>
      <c r="I688" s="4" t="s">
        <v>80</v>
      </c>
      <c r="J688" s="4" t="s">
        <v>54</v>
      </c>
      <c r="K688" s="4" t="s">
        <v>25</v>
      </c>
      <c r="L688" s="4" t="s">
        <v>26</v>
      </c>
      <c r="M688" s="4" t="s">
        <v>596</v>
      </c>
      <c r="N688" s="5">
        <v>1725.18</v>
      </c>
      <c r="O688" s="6">
        <v>1</v>
      </c>
      <c r="P688" s="7">
        <v>1.43</v>
      </c>
      <c r="Q688" s="18">
        <v>212.56</v>
      </c>
      <c r="R688" s="45" t="str">
        <f t="shared" si="40"/>
        <v>OK</v>
      </c>
      <c r="S688" s="45">
        <f t="shared" si="41"/>
        <v>447.82500000000005</v>
      </c>
      <c r="T688" s="45">
        <f t="shared" si="42"/>
        <v>6</v>
      </c>
      <c r="U688" s="45">
        <f t="shared" si="43"/>
        <v>2686.9500000000003</v>
      </c>
    </row>
    <row r="689" spans="1:21" x14ac:dyDescent="0.3">
      <c r="A689" s="16" t="s">
        <v>2118</v>
      </c>
      <c r="B689" s="31">
        <v>45233</v>
      </c>
      <c r="C689" s="31">
        <v>45239</v>
      </c>
      <c r="D689" s="2" t="s">
        <v>29</v>
      </c>
      <c r="E689" s="2" t="s">
        <v>333</v>
      </c>
      <c r="F689" s="4" t="s">
        <v>334</v>
      </c>
      <c r="G689" s="4" t="s">
        <v>21</v>
      </c>
      <c r="H689" s="4" t="s">
        <v>335</v>
      </c>
      <c r="I689" s="4" t="s">
        <v>251</v>
      </c>
      <c r="J689" s="4" t="s">
        <v>88</v>
      </c>
      <c r="K689" s="4" t="s">
        <v>25</v>
      </c>
      <c r="L689" s="4" t="s">
        <v>74</v>
      </c>
      <c r="M689" s="4" t="s">
        <v>1124</v>
      </c>
      <c r="N689" s="5">
        <v>1410.22</v>
      </c>
      <c r="O689" s="6">
        <v>2</v>
      </c>
      <c r="P689" s="7">
        <v>0</v>
      </c>
      <c r="Q689" s="18">
        <v>491.1</v>
      </c>
      <c r="R689" s="45" t="str">
        <f t="shared" si="40"/>
        <v>OK</v>
      </c>
      <c r="S689" s="45">
        <f t="shared" si="41"/>
        <v>447.82500000000005</v>
      </c>
      <c r="T689" s="45">
        <f t="shared" si="42"/>
        <v>6</v>
      </c>
      <c r="U689" s="45">
        <f t="shared" si="43"/>
        <v>2686.9500000000003</v>
      </c>
    </row>
    <row r="690" spans="1:21" x14ac:dyDescent="0.3">
      <c r="A690" s="17" t="s">
        <v>605</v>
      </c>
      <c r="B690" s="32">
        <v>45234</v>
      </c>
      <c r="C690" s="32">
        <v>45237</v>
      </c>
      <c r="D690" s="8" t="s">
        <v>18</v>
      </c>
      <c r="E690" s="8" t="s">
        <v>606</v>
      </c>
      <c r="F690" s="10" t="s">
        <v>607</v>
      </c>
      <c r="G690" s="10" t="s">
        <v>51</v>
      </c>
      <c r="H690" s="10" t="s">
        <v>104</v>
      </c>
      <c r="I690" s="10" t="s">
        <v>105</v>
      </c>
      <c r="J690" s="10" t="s">
        <v>88</v>
      </c>
      <c r="K690" s="10" t="s">
        <v>45</v>
      </c>
      <c r="L690" s="10" t="s">
        <v>61</v>
      </c>
      <c r="M690" s="10" t="s">
        <v>608</v>
      </c>
      <c r="N690" s="11">
        <v>3570.24</v>
      </c>
      <c r="O690" s="12">
        <v>8</v>
      </c>
      <c r="P690" s="13">
        <v>0.5</v>
      </c>
      <c r="Q690" s="19">
        <v>-2742.86</v>
      </c>
      <c r="R690" s="45" t="str">
        <f t="shared" si="40"/>
        <v>OK</v>
      </c>
      <c r="S690" s="45">
        <f t="shared" si="41"/>
        <v>447.82500000000005</v>
      </c>
      <c r="T690" s="45">
        <f t="shared" si="42"/>
        <v>6</v>
      </c>
      <c r="U690" s="45">
        <f t="shared" si="43"/>
        <v>2686.9500000000003</v>
      </c>
    </row>
    <row r="691" spans="1:21" x14ac:dyDescent="0.3">
      <c r="A691" s="16" t="s">
        <v>1961</v>
      </c>
      <c r="B691" s="31">
        <v>45235</v>
      </c>
      <c r="C691" s="31">
        <v>45238</v>
      </c>
      <c r="D691" s="2" t="s">
        <v>18</v>
      </c>
      <c r="E691" s="2" t="s">
        <v>688</v>
      </c>
      <c r="F691" s="4" t="s">
        <v>689</v>
      </c>
      <c r="G691" s="4" t="s">
        <v>42</v>
      </c>
      <c r="H691" s="4" t="s">
        <v>438</v>
      </c>
      <c r="I691" s="4" t="s">
        <v>157</v>
      </c>
      <c r="J691" s="4" t="s">
        <v>88</v>
      </c>
      <c r="K691" s="4" t="s">
        <v>35</v>
      </c>
      <c r="L691" s="4" t="s">
        <v>110</v>
      </c>
      <c r="M691" s="4" t="s">
        <v>1962</v>
      </c>
      <c r="N691" s="5">
        <v>73.62</v>
      </c>
      <c r="O691" s="6">
        <v>10</v>
      </c>
      <c r="P691" s="7">
        <v>0.1</v>
      </c>
      <c r="Q691" s="18">
        <v>27.4</v>
      </c>
      <c r="R691" s="45" t="str">
        <f t="shared" si="40"/>
        <v>OK</v>
      </c>
      <c r="S691" s="45">
        <f t="shared" si="41"/>
        <v>447.82500000000005</v>
      </c>
      <c r="T691" s="45">
        <f t="shared" si="42"/>
        <v>6</v>
      </c>
      <c r="U691" s="45">
        <f t="shared" si="43"/>
        <v>2686.9500000000003</v>
      </c>
    </row>
    <row r="692" spans="1:21" x14ac:dyDescent="0.3">
      <c r="A692" s="16" t="s">
        <v>1605</v>
      </c>
      <c r="B692" s="31">
        <v>45236</v>
      </c>
      <c r="C692" s="31">
        <v>45242</v>
      </c>
      <c r="D692" s="2" t="s">
        <v>29</v>
      </c>
      <c r="E692" s="2" t="s">
        <v>745</v>
      </c>
      <c r="F692" s="4" t="s">
        <v>746</v>
      </c>
      <c r="G692" s="4" t="s">
        <v>51</v>
      </c>
      <c r="H692" s="4" t="s">
        <v>465</v>
      </c>
      <c r="I692" s="4" t="s">
        <v>423</v>
      </c>
      <c r="J692" s="4" t="s">
        <v>88</v>
      </c>
      <c r="K692" s="4" t="s">
        <v>35</v>
      </c>
      <c r="L692" s="4" t="s">
        <v>89</v>
      </c>
      <c r="M692" s="4" t="s">
        <v>1606</v>
      </c>
      <c r="N692" s="5">
        <v>487.35</v>
      </c>
      <c r="O692" s="6">
        <v>5</v>
      </c>
      <c r="P692" s="7">
        <v>0.5</v>
      </c>
      <c r="Q692" s="18">
        <v>-76.989999999999995</v>
      </c>
      <c r="R692" s="45" t="str">
        <f t="shared" si="40"/>
        <v>OK</v>
      </c>
      <c r="S692" s="45">
        <f t="shared" si="41"/>
        <v>447.82500000000005</v>
      </c>
      <c r="T692" s="45">
        <f t="shared" si="42"/>
        <v>6</v>
      </c>
      <c r="U692" s="45">
        <f t="shared" si="43"/>
        <v>2686.9500000000003</v>
      </c>
    </row>
    <row r="693" spans="1:21" x14ac:dyDescent="0.3">
      <c r="A693" s="16" t="s">
        <v>2016</v>
      </c>
      <c r="B693" s="31">
        <v>45236</v>
      </c>
      <c r="C693" s="31">
        <v>45238</v>
      </c>
      <c r="D693" s="2" t="s">
        <v>39</v>
      </c>
      <c r="E693" s="2" t="s">
        <v>1300</v>
      </c>
      <c r="F693" s="4" t="s">
        <v>1301</v>
      </c>
      <c r="G693" s="4" t="s">
        <v>51</v>
      </c>
      <c r="H693" s="4" t="s">
        <v>319</v>
      </c>
      <c r="I693" s="4" t="s">
        <v>194</v>
      </c>
      <c r="J693" s="4" t="s">
        <v>34</v>
      </c>
      <c r="K693" s="4" t="s">
        <v>35</v>
      </c>
      <c r="L693" s="4" t="s">
        <v>166</v>
      </c>
      <c r="M693" s="4" t="s">
        <v>1746</v>
      </c>
      <c r="N693" s="5">
        <v>15.04</v>
      </c>
      <c r="O693" s="6">
        <v>1</v>
      </c>
      <c r="P693" s="7">
        <v>0.15</v>
      </c>
      <c r="Q693" s="18">
        <v>3.33</v>
      </c>
      <c r="R693" s="45" t="str">
        <f t="shared" si="40"/>
        <v>OK</v>
      </c>
      <c r="S693" s="45">
        <f t="shared" si="41"/>
        <v>447.82500000000005</v>
      </c>
      <c r="T693" s="45">
        <f t="shared" si="42"/>
        <v>6</v>
      </c>
      <c r="U693" s="45">
        <f t="shared" si="43"/>
        <v>2686.9500000000003</v>
      </c>
    </row>
    <row r="694" spans="1:21" x14ac:dyDescent="0.3">
      <c r="A694" s="16" t="s">
        <v>2370</v>
      </c>
      <c r="B694" s="31">
        <v>45237</v>
      </c>
      <c r="C694" s="31">
        <v>45239</v>
      </c>
      <c r="D694" s="2" t="s">
        <v>39</v>
      </c>
      <c r="E694" s="2" t="s">
        <v>223</v>
      </c>
      <c r="F694" s="4" t="s">
        <v>224</v>
      </c>
      <c r="G694" s="4" t="s">
        <v>21</v>
      </c>
      <c r="H694" s="4" t="s">
        <v>59</v>
      </c>
      <c r="I694" s="4" t="s">
        <v>60</v>
      </c>
      <c r="J694" s="4" t="s">
        <v>54</v>
      </c>
      <c r="K694" s="4" t="s">
        <v>45</v>
      </c>
      <c r="L694" s="4" t="s">
        <v>99</v>
      </c>
      <c r="M694" s="4" t="s">
        <v>2371</v>
      </c>
      <c r="N694" s="5">
        <v>220.75</v>
      </c>
      <c r="O694" s="6">
        <v>3</v>
      </c>
      <c r="P694" s="7">
        <v>0.2</v>
      </c>
      <c r="Q694" s="18">
        <v>33.01</v>
      </c>
      <c r="R694" s="45" t="str">
        <f t="shared" si="40"/>
        <v>OK</v>
      </c>
      <c r="S694" s="45">
        <f t="shared" si="41"/>
        <v>447.82500000000005</v>
      </c>
      <c r="T694" s="45">
        <f t="shared" si="42"/>
        <v>6</v>
      </c>
      <c r="U694" s="45">
        <f t="shared" si="43"/>
        <v>2686.9500000000003</v>
      </c>
    </row>
    <row r="695" spans="1:21" x14ac:dyDescent="0.3">
      <c r="A695" s="16" t="s">
        <v>1506</v>
      </c>
      <c r="B695" s="31">
        <v>45238</v>
      </c>
      <c r="C695" s="31">
        <v>45243</v>
      </c>
      <c r="D695" s="2" t="s">
        <v>73</v>
      </c>
      <c r="E695" s="2" t="s">
        <v>1152</v>
      </c>
      <c r="F695" s="4" t="s">
        <v>1153</v>
      </c>
      <c r="G695" s="4" t="s">
        <v>42</v>
      </c>
      <c r="H695" s="4" t="s">
        <v>1091</v>
      </c>
      <c r="I695" s="4" t="s">
        <v>23</v>
      </c>
      <c r="J695" s="4" t="s">
        <v>24</v>
      </c>
      <c r="K695" s="4" t="s">
        <v>45</v>
      </c>
      <c r="L695" s="4" t="s">
        <v>46</v>
      </c>
      <c r="M695" s="4" t="s">
        <v>1507</v>
      </c>
      <c r="N695" s="5">
        <v>3373.25</v>
      </c>
      <c r="O695" s="6">
        <v>10</v>
      </c>
      <c r="P695" s="7">
        <v>0.5</v>
      </c>
      <c r="Q695" s="18">
        <v>-1160.44</v>
      </c>
      <c r="R695" s="45" t="str">
        <f t="shared" si="40"/>
        <v>OK</v>
      </c>
      <c r="S695" s="45">
        <f t="shared" si="41"/>
        <v>447.82500000000005</v>
      </c>
      <c r="T695" s="45">
        <f t="shared" si="42"/>
        <v>6</v>
      </c>
      <c r="U695" s="45">
        <f t="shared" si="43"/>
        <v>2686.9500000000003</v>
      </c>
    </row>
    <row r="696" spans="1:21" x14ac:dyDescent="0.3">
      <c r="A696" s="16" t="s">
        <v>1823</v>
      </c>
      <c r="B696" s="31">
        <v>45239</v>
      </c>
      <c r="C696" s="31">
        <v>45242</v>
      </c>
      <c r="D696" s="2" t="s">
        <v>39</v>
      </c>
      <c r="E696" s="2" t="s">
        <v>899</v>
      </c>
      <c r="F696" s="4" t="s">
        <v>900</v>
      </c>
      <c r="G696" s="4" t="s">
        <v>51</v>
      </c>
      <c r="H696" s="4" t="s">
        <v>319</v>
      </c>
      <c r="I696" s="4" t="s">
        <v>194</v>
      </c>
      <c r="J696" s="4" t="s">
        <v>34</v>
      </c>
      <c r="K696" s="4" t="s">
        <v>25</v>
      </c>
      <c r="L696" s="4" t="s">
        <v>68</v>
      </c>
      <c r="M696" s="4" t="s">
        <v>1824</v>
      </c>
      <c r="N696" s="5">
        <v>245.3</v>
      </c>
      <c r="O696" s="6">
        <v>4</v>
      </c>
      <c r="P696" s="7">
        <v>0.5</v>
      </c>
      <c r="Q696" s="18">
        <v>-19.7</v>
      </c>
      <c r="R696" s="45" t="str">
        <f t="shared" si="40"/>
        <v>OK</v>
      </c>
      <c r="S696" s="45">
        <f t="shared" si="41"/>
        <v>447.82500000000005</v>
      </c>
      <c r="T696" s="45">
        <f t="shared" si="42"/>
        <v>6</v>
      </c>
      <c r="U696" s="45">
        <f t="shared" si="43"/>
        <v>2686.9500000000003</v>
      </c>
    </row>
    <row r="697" spans="1:21" x14ac:dyDescent="0.3">
      <c r="A697" s="17" t="s">
        <v>756</v>
      </c>
      <c r="B697" s="32">
        <v>45240</v>
      </c>
      <c r="C697" s="32">
        <v>45243</v>
      </c>
      <c r="D697" s="8" t="s">
        <v>73</v>
      </c>
      <c r="E697" s="8" t="s">
        <v>453</v>
      </c>
      <c r="F697" s="10" t="s">
        <v>454</v>
      </c>
      <c r="G697" s="10" t="s">
        <v>21</v>
      </c>
      <c r="H697" s="10" t="s">
        <v>386</v>
      </c>
      <c r="I697" s="10" t="s">
        <v>347</v>
      </c>
      <c r="J697" s="10" t="s">
        <v>88</v>
      </c>
      <c r="K697" s="10" t="s">
        <v>45</v>
      </c>
      <c r="L697" s="10" t="s">
        <v>46</v>
      </c>
      <c r="M697" s="10" t="s">
        <v>757</v>
      </c>
      <c r="N697" s="11">
        <v>229.56</v>
      </c>
      <c r="O697" s="12">
        <v>2</v>
      </c>
      <c r="P697" s="13">
        <v>0.3</v>
      </c>
      <c r="Q697" s="19">
        <v>8.98</v>
      </c>
      <c r="R697" s="45" t="str">
        <f t="shared" si="40"/>
        <v>OK</v>
      </c>
      <c r="S697" s="45">
        <f t="shared" si="41"/>
        <v>447.82500000000005</v>
      </c>
      <c r="T697" s="45">
        <f t="shared" si="42"/>
        <v>6</v>
      </c>
      <c r="U697" s="45">
        <f t="shared" si="43"/>
        <v>2686.9500000000003</v>
      </c>
    </row>
    <row r="698" spans="1:21" x14ac:dyDescent="0.3">
      <c r="A698" s="16" t="s">
        <v>1075</v>
      </c>
      <c r="B698" s="31">
        <v>45242</v>
      </c>
      <c r="C698" s="31">
        <v>45243</v>
      </c>
      <c r="D698" s="2" t="s">
        <v>18</v>
      </c>
      <c r="E698" s="2" t="s">
        <v>84</v>
      </c>
      <c r="F698" s="4"/>
      <c r="G698" s="4" t="s">
        <v>21</v>
      </c>
      <c r="H698" s="4" t="s">
        <v>86</v>
      </c>
      <c r="I698" s="4" t="s">
        <v>87</v>
      </c>
      <c r="J698" s="4" t="s">
        <v>88</v>
      </c>
      <c r="K698" s="4" t="s">
        <v>25</v>
      </c>
      <c r="L698" s="4" t="s">
        <v>26</v>
      </c>
      <c r="M698" s="4" t="s">
        <v>1076</v>
      </c>
      <c r="N698" s="5">
        <v>19820.400000000001</v>
      </c>
      <c r="O698" s="6">
        <v>10</v>
      </c>
      <c r="P698" s="7">
        <v>0</v>
      </c>
      <c r="Q698" s="18">
        <v>3610.51</v>
      </c>
      <c r="R698" s="45" t="str">
        <f t="shared" si="40"/>
        <v>OK</v>
      </c>
      <c r="S698" s="45">
        <f t="shared" si="41"/>
        <v>447.82500000000005</v>
      </c>
      <c r="T698" s="45">
        <f t="shared" si="42"/>
        <v>6</v>
      </c>
      <c r="U698" s="45">
        <f t="shared" si="43"/>
        <v>2686.9500000000003</v>
      </c>
    </row>
    <row r="699" spans="1:21" x14ac:dyDescent="0.3">
      <c r="A699" s="17" t="s">
        <v>1536</v>
      </c>
      <c r="B699" s="32">
        <v>45242</v>
      </c>
      <c r="C699" s="32">
        <v>45245</v>
      </c>
      <c r="D699" s="8" t="s">
        <v>18</v>
      </c>
      <c r="E699" s="8" t="s">
        <v>817</v>
      </c>
      <c r="F699" s="10" t="s">
        <v>818</v>
      </c>
      <c r="G699" s="10" t="s">
        <v>42</v>
      </c>
      <c r="H699" s="10" t="s">
        <v>98</v>
      </c>
      <c r="I699" s="10" t="s">
        <v>80</v>
      </c>
      <c r="J699" s="10" t="s">
        <v>54</v>
      </c>
      <c r="K699" s="10" t="s">
        <v>25</v>
      </c>
      <c r="L699" s="10" t="s">
        <v>124</v>
      </c>
      <c r="M699" s="10" t="s">
        <v>1537</v>
      </c>
      <c r="N699" s="11">
        <v>16675.64</v>
      </c>
      <c r="O699" s="12">
        <v>5</v>
      </c>
      <c r="P699" s="13">
        <v>0.15</v>
      </c>
      <c r="Q699" s="19">
        <v>2510.87</v>
      </c>
      <c r="R699" s="45" t="str">
        <f t="shared" si="40"/>
        <v>OK</v>
      </c>
      <c r="S699" s="45">
        <f t="shared" si="41"/>
        <v>447.82500000000005</v>
      </c>
      <c r="T699" s="45">
        <f t="shared" si="42"/>
        <v>6</v>
      </c>
      <c r="U699" s="45">
        <f t="shared" si="43"/>
        <v>2686.9500000000003</v>
      </c>
    </row>
    <row r="700" spans="1:21" x14ac:dyDescent="0.3">
      <c r="A700" s="17" t="s">
        <v>429</v>
      </c>
      <c r="B700" s="32">
        <v>45243</v>
      </c>
      <c r="C700" s="32">
        <v>45245</v>
      </c>
      <c r="D700" s="8" t="s">
        <v>39</v>
      </c>
      <c r="E700" s="8" t="s">
        <v>108</v>
      </c>
      <c r="F700" s="10" t="s">
        <v>109</v>
      </c>
      <c r="G700" s="10" t="s">
        <v>21</v>
      </c>
      <c r="H700" s="10" t="s">
        <v>22</v>
      </c>
      <c r="I700" s="10" t="s">
        <v>23</v>
      </c>
      <c r="J700" s="10" t="s">
        <v>24</v>
      </c>
      <c r="K700" s="10" t="s">
        <v>25</v>
      </c>
      <c r="L700" s="10" t="s">
        <v>68</v>
      </c>
      <c r="M700" s="10" t="s">
        <v>430</v>
      </c>
      <c r="N700" s="11">
        <v>599.6</v>
      </c>
      <c r="O700" s="12">
        <v>10</v>
      </c>
      <c r="P700" s="13">
        <v>0</v>
      </c>
      <c r="Q700" s="19">
        <v>240.21</v>
      </c>
      <c r="R700" s="45" t="str">
        <f t="shared" si="40"/>
        <v>OK</v>
      </c>
      <c r="S700" s="45">
        <f t="shared" si="41"/>
        <v>447.82500000000005</v>
      </c>
      <c r="T700" s="45">
        <f t="shared" si="42"/>
        <v>6</v>
      </c>
      <c r="U700" s="45">
        <f t="shared" si="43"/>
        <v>2686.9500000000003</v>
      </c>
    </row>
    <row r="701" spans="1:21" x14ac:dyDescent="0.3">
      <c r="A701" s="17" t="s">
        <v>1232</v>
      </c>
      <c r="B701" s="32">
        <v>45245</v>
      </c>
      <c r="C701" s="32">
        <v>45248</v>
      </c>
      <c r="D701" s="8" t="s">
        <v>73</v>
      </c>
      <c r="E701" s="8" t="s">
        <v>975</v>
      </c>
      <c r="F701" s="10" t="s">
        <v>976</v>
      </c>
      <c r="G701" s="10" t="s">
        <v>51</v>
      </c>
      <c r="H701" s="10" t="s">
        <v>459</v>
      </c>
      <c r="I701" s="10" t="s">
        <v>460</v>
      </c>
      <c r="J701" s="10" t="s">
        <v>54</v>
      </c>
      <c r="K701" s="10" t="s">
        <v>35</v>
      </c>
      <c r="L701" s="10" t="s">
        <v>216</v>
      </c>
      <c r="M701" s="10" t="s">
        <v>1233</v>
      </c>
      <c r="N701" s="11">
        <v>8.39</v>
      </c>
      <c r="O701" s="12">
        <v>1</v>
      </c>
      <c r="P701" s="13">
        <v>0.4</v>
      </c>
      <c r="Q701" s="19">
        <v>1.76</v>
      </c>
      <c r="R701" s="45" t="str">
        <f t="shared" si="40"/>
        <v>OK</v>
      </c>
      <c r="S701" s="45">
        <f t="shared" si="41"/>
        <v>447.82500000000005</v>
      </c>
      <c r="T701" s="45">
        <f t="shared" si="42"/>
        <v>6</v>
      </c>
      <c r="U701" s="45">
        <f t="shared" si="43"/>
        <v>2686.9500000000003</v>
      </c>
    </row>
    <row r="702" spans="1:21" x14ac:dyDescent="0.3">
      <c r="A702" s="16" t="s">
        <v>933</v>
      </c>
      <c r="B702" s="31">
        <v>45246</v>
      </c>
      <c r="C702" s="31">
        <v>45249</v>
      </c>
      <c r="D702" s="2" t="s">
        <v>39</v>
      </c>
      <c r="E702" s="2" t="s">
        <v>273</v>
      </c>
      <c r="F702" s="4" t="s">
        <v>274</v>
      </c>
      <c r="G702" s="4" t="s">
        <v>42</v>
      </c>
      <c r="H702" s="4" t="s">
        <v>171</v>
      </c>
      <c r="I702" s="4" t="s">
        <v>172</v>
      </c>
      <c r="J702" s="4" t="s">
        <v>24</v>
      </c>
      <c r="K702" s="4" t="s">
        <v>35</v>
      </c>
      <c r="L702" s="4" t="s">
        <v>229</v>
      </c>
      <c r="M702" s="4" t="s">
        <v>934</v>
      </c>
      <c r="N702" s="5">
        <v>86.2</v>
      </c>
      <c r="O702" s="6">
        <v>10</v>
      </c>
      <c r="P702" s="7">
        <v>0</v>
      </c>
      <c r="Q702" s="18">
        <v>42.19</v>
      </c>
      <c r="R702" s="45" t="str">
        <f t="shared" si="40"/>
        <v>OK</v>
      </c>
      <c r="S702" s="45">
        <f t="shared" si="41"/>
        <v>447.82500000000005</v>
      </c>
      <c r="T702" s="45">
        <f t="shared" si="42"/>
        <v>6</v>
      </c>
      <c r="U702" s="45">
        <f t="shared" si="43"/>
        <v>2686.9500000000003</v>
      </c>
    </row>
    <row r="703" spans="1:21" x14ac:dyDescent="0.3">
      <c r="A703" s="16" t="s">
        <v>1263</v>
      </c>
      <c r="B703" s="31">
        <v>45246</v>
      </c>
      <c r="C703" s="31">
        <v>45250</v>
      </c>
      <c r="D703" s="2" t="s">
        <v>73</v>
      </c>
      <c r="E703" s="2" t="s">
        <v>40</v>
      </c>
      <c r="F703" s="4" t="s">
        <v>41</v>
      </c>
      <c r="G703" s="4" t="s">
        <v>42</v>
      </c>
      <c r="H703" s="4" t="s">
        <v>43</v>
      </c>
      <c r="I703" s="4" t="s">
        <v>44</v>
      </c>
      <c r="J703" s="4" t="s">
        <v>24</v>
      </c>
      <c r="K703" s="4" t="s">
        <v>35</v>
      </c>
      <c r="L703" s="4" t="s">
        <v>295</v>
      </c>
      <c r="M703" s="4" t="s">
        <v>1264</v>
      </c>
      <c r="N703" s="5">
        <v>759.4</v>
      </c>
      <c r="O703" s="6">
        <v>10</v>
      </c>
      <c r="P703" s="7">
        <v>0</v>
      </c>
      <c r="Q703" s="18">
        <v>383.1</v>
      </c>
      <c r="R703" s="45" t="str">
        <f t="shared" si="40"/>
        <v>OK</v>
      </c>
      <c r="S703" s="45">
        <f t="shared" si="41"/>
        <v>447.82500000000005</v>
      </c>
      <c r="T703" s="45">
        <f t="shared" si="42"/>
        <v>6</v>
      </c>
      <c r="U703" s="45">
        <f t="shared" si="43"/>
        <v>2686.9500000000003</v>
      </c>
    </row>
    <row r="704" spans="1:21" x14ac:dyDescent="0.3">
      <c r="A704" s="17" t="s">
        <v>767</v>
      </c>
      <c r="B704" s="32">
        <v>45248</v>
      </c>
      <c r="C704" s="32">
        <v>45252</v>
      </c>
      <c r="D704" s="8" t="s">
        <v>73</v>
      </c>
      <c r="E704" s="8" t="s">
        <v>768</v>
      </c>
      <c r="F704" s="10" t="s">
        <v>769</v>
      </c>
      <c r="G704" s="10" t="s">
        <v>51</v>
      </c>
      <c r="H704" s="10" t="s">
        <v>183</v>
      </c>
      <c r="I704" s="10" t="s">
        <v>184</v>
      </c>
      <c r="J704" s="10" t="s">
        <v>54</v>
      </c>
      <c r="K704" s="10" t="s">
        <v>25</v>
      </c>
      <c r="L704" s="10" t="s">
        <v>68</v>
      </c>
      <c r="M704" s="10" t="s">
        <v>770</v>
      </c>
      <c r="N704" s="11">
        <v>173.23</v>
      </c>
      <c r="O704" s="12">
        <v>3</v>
      </c>
      <c r="P704" s="13">
        <v>0.1</v>
      </c>
      <c r="Q704" s="19">
        <v>59.3</v>
      </c>
      <c r="R704" s="45" t="str">
        <f t="shared" si="40"/>
        <v>OK</v>
      </c>
      <c r="S704" s="45">
        <f t="shared" si="41"/>
        <v>447.82500000000005</v>
      </c>
      <c r="T704" s="45">
        <f t="shared" si="42"/>
        <v>6</v>
      </c>
      <c r="U704" s="45">
        <f t="shared" si="43"/>
        <v>2686.9500000000003</v>
      </c>
    </row>
    <row r="705" spans="1:21" x14ac:dyDescent="0.3">
      <c r="A705" s="16" t="s">
        <v>1133</v>
      </c>
      <c r="B705" s="31">
        <v>45248</v>
      </c>
      <c r="C705" s="31">
        <v>45253</v>
      </c>
      <c r="D705" s="2" t="s">
        <v>29</v>
      </c>
      <c r="E705" s="2" t="s">
        <v>707</v>
      </c>
      <c r="F705" s="4" t="s">
        <v>708</v>
      </c>
      <c r="G705" s="4" t="s">
        <v>51</v>
      </c>
      <c r="H705" s="4" t="s">
        <v>386</v>
      </c>
      <c r="I705" s="4" t="s">
        <v>347</v>
      </c>
      <c r="J705" s="4" t="s">
        <v>88</v>
      </c>
      <c r="K705" s="4" t="s">
        <v>45</v>
      </c>
      <c r="L705" s="4" t="s">
        <v>117</v>
      </c>
      <c r="M705" s="4" t="s">
        <v>1134</v>
      </c>
      <c r="N705" s="5">
        <v>2241.21</v>
      </c>
      <c r="O705" s="6">
        <v>7</v>
      </c>
      <c r="P705" s="7">
        <v>0.3</v>
      </c>
      <c r="Q705" s="18">
        <v>-158.65</v>
      </c>
      <c r="R705" s="45" t="str">
        <f t="shared" si="40"/>
        <v>OK</v>
      </c>
      <c r="S705" s="45">
        <f t="shared" si="41"/>
        <v>447.82500000000005</v>
      </c>
      <c r="T705" s="45">
        <f t="shared" si="42"/>
        <v>6</v>
      </c>
      <c r="U705" s="45">
        <f t="shared" si="43"/>
        <v>2686.9500000000003</v>
      </c>
    </row>
    <row r="706" spans="1:21" x14ac:dyDescent="0.3">
      <c r="A706" s="16" t="s">
        <v>375</v>
      </c>
      <c r="B706" s="31">
        <v>45250</v>
      </c>
      <c r="C706" s="31">
        <v>45255</v>
      </c>
      <c r="D706" s="2" t="s">
        <v>29</v>
      </c>
      <c r="E706" s="2" t="s">
        <v>376</v>
      </c>
      <c r="F706" s="4" t="s">
        <v>377</v>
      </c>
      <c r="G706" s="4" t="s">
        <v>42</v>
      </c>
      <c r="H706" s="4" t="s">
        <v>122</v>
      </c>
      <c r="I706" s="4" t="s">
        <v>123</v>
      </c>
      <c r="J706" s="4" t="s">
        <v>24</v>
      </c>
      <c r="K706" s="4" t="s">
        <v>25</v>
      </c>
      <c r="L706" s="4" t="s">
        <v>124</v>
      </c>
      <c r="M706" s="4" t="s">
        <v>378</v>
      </c>
      <c r="N706" s="5">
        <v>6738.84</v>
      </c>
      <c r="O706" s="6">
        <v>5</v>
      </c>
      <c r="P706" s="7">
        <v>0.1</v>
      </c>
      <c r="Q706" s="18">
        <v>1036</v>
      </c>
      <c r="R706" s="45" t="str">
        <f t="shared" ref="R706:R769" si="44">IF(C706&lt;B706,"Error","OK")</f>
        <v>OK</v>
      </c>
      <c r="S706" s="45">
        <f t="shared" ref="S706:S769" si="45">AVERAGEIF(E706:E1704,"CU-1057",N706:N1704)</f>
        <v>447.82500000000005</v>
      </c>
      <c r="T706" s="45">
        <f t="shared" ref="T706:T769" si="46">COUNTIF(E706:E1704,"CU-1057")</f>
        <v>6</v>
      </c>
      <c r="U706" s="45">
        <f t="shared" ref="U706:U769" si="47">SUMIF(E706:E1704,"CU-1057",N706:N1704)</f>
        <v>2686.9500000000003</v>
      </c>
    </row>
    <row r="707" spans="1:21" x14ac:dyDescent="0.3">
      <c r="A707" s="16" t="s">
        <v>1941</v>
      </c>
      <c r="B707" s="31">
        <v>45250</v>
      </c>
      <c r="C707" s="31">
        <v>45254</v>
      </c>
      <c r="D707" s="2" t="s">
        <v>73</v>
      </c>
      <c r="E707" s="2" t="s">
        <v>566</v>
      </c>
      <c r="F707" s="4" t="s">
        <v>567</v>
      </c>
      <c r="G707" s="4" t="s">
        <v>21</v>
      </c>
      <c r="H707" s="4" t="s">
        <v>156</v>
      </c>
      <c r="I707" s="4" t="s">
        <v>157</v>
      </c>
      <c r="J707" s="4" t="s">
        <v>88</v>
      </c>
      <c r="K707" s="4" t="s">
        <v>35</v>
      </c>
      <c r="L707" s="4" t="s">
        <v>36</v>
      </c>
      <c r="M707" s="4" t="s">
        <v>1942</v>
      </c>
      <c r="N707" s="5">
        <v>397.4</v>
      </c>
      <c r="O707" s="6">
        <v>8</v>
      </c>
      <c r="P707" s="7">
        <v>0.05</v>
      </c>
      <c r="Q707" s="18">
        <v>182.57</v>
      </c>
      <c r="R707" s="45" t="str">
        <f t="shared" si="44"/>
        <v>OK</v>
      </c>
      <c r="S707" s="45">
        <f t="shared" si="45"/>
        <v>447.82500000000005</v>
      </c>
      <c r="T707" s="45">
        <f t="shared" si="46"/>
        <v>6</v>
      </c>
      <c r="U707" s="45">
        <f t="shared" si="47"/>
        <v>2686.9500000000003</v>
      </c>
    </row>
    <row r="708" spans="1:21" x14ac:dyDescent="0.3">
      <c r="A708" s="17" t="s">
        <v>796</v>
      </c>
      <c r="B708" s="32">
        <v>45254</v>
      </c>
      <c r="C708" s="32">
        <v>45256</v>
      </c>
      <c r="D708" s="8" t="s">
        <v>39</v>
      </c>
      <c r="E708" s="8" t="s">
        <v>797</v>
      </c>
      <c r="F708" s="10" t="s">
        <v>798</v>
      </c>
      <c r="G708" s="10" t="s">
        <v>51</v>
      </c>
      <c r="H708" s="10" t="s">
        <v>59</v>
      </c>
      <c r="I708" s="10" t="s">
        <v>60</v>
      </c>
      <c r="J708" s="10" t="s">
        <v>54</v>
      </c>
      <c r="K708" s="10" t="s">
        <v>45</v>
      </c>
      <c r="L708" s="10" t="s">
        <v>117</v>
      </c>
      <c r="M708" s="10" t="s">
        <v>799</v>
      </c>
      <c r="N708" s="11">
        <v>2749.43</v>
      </c>
      <c r="O708" s="12">
        <v>7</v>
      </c>
      <c r="P708" s="13">
        <v>0.2</v>
      </c>
      <c r="Q708" s="19">
        <v>56.05</v>
      </c>
      <c r="R708" s="45" t="str">
        <f t="shared" si="44"/>
        <v>OK</v>
      </c>
      <c r="S708" s="45">
        <f t="shared" si="45"/>
        <v>447.82500000000005</v>
      </c>
      <c r="T708" s="45">
        <f t="shared" si="46"/>
        <v>6</v>
      </c>
      <c r="U708" s="45">
        <f t="shared" si="47"/>
        <v>2686.9500000000003</v>
      </c>
    </row>
    <row r="709" spans="1:21" x14ac:dyDescent="0.3">
      <c r="A709" s="17" t="s">
        <v>877</v>
      </c>
      <c r="B709" s="32">
        <v>45254</v>
      </c>
      <c r="C709" s="32">
        <v>45258</v>
      </c>
      <c r="D709" s="8" t="s">
        <v>73</v>
      </c>
      <c r="E709" s="8" t="s">
        <v>40</v>
      </c>
      <c r="F709" s="10" t="s">
        <v>41</v>
      </c>
      <c r="G709" s="10" t="s">
        <v>42</v>
      </c>
      <c r="H709" s="10" t="s">
        <v>43</v>
      </c>
      <c r="I709" s="10" t="s">
        <v>44</v>
      </c>
      <c r="J709" s="10" t="s">
        <v>24</v>
      </c>
      <c r="K709" s="10" t="s">
        <v>25</v>
      </c>
      <c r="L709" s="10" t="s">
        <v>124</v>
      </c>
      <c r="M709" s="10" t="s">
        <v>878</v>
      </c>
      <c r="N709" s="11">
        <v>25163.5</v>
      </c>
      <c r="O709" s="12">
        <v>9</v>
      </c>
      <c r="P709" s="13">
        <v>0.05</v>
      </c>
      <c r="Q709" s="19">
        <v>6970.65</v>
      </c>
      <c r="R709" s="45" t="str">
        <f t="shared" si="44"/>
        <v>OK</v>
      </c>
      <c r="S709" s="45">
        <f t="shared" si="45"/>
        <v>447.82500000000005</v>
      </c>
      <c r="T709" s="45">
        <f t="shared" si="46"/>
        <v>6</v>
      </c>
      <c r="U709" s="45">
        <f t="shared" si="47"/>
        <v>2686.9500000000003</v>
      </c>
    </row>
    <row r="710" spans="1:21" x14ac:dyDescent="0.3">
      <c r="A710" s="16" t="s">
        <v>1870</v>
      </c>
      <c r="B710" s="31">
        <v>45254</v>
      </c>
      <c r="C710" s="31">
        <v>45257</v>
      </c>
      <c r="D710" s="2" t="s">
        <v>73</v>
      </c>
      <c r="E710" s="2" t="s">
        <v>1330</v>
      </c>
      <c r="F710" s="4" t="s">
        <v>1331</v>
      </c>
      <c r="G710" s="4" t="s">
        <v>51</v>
      </c>
      <c r="H710" s="4" t="s">
        <v>52</v>
      </c>
      <c r="I710" s="4" t="s">
        <v>53</v>
      </c>
      <c r="J710" s="4" t="s">
        <v>54</v>
      </c>
      <c r="K710" s="4" t="s">
        <v>25</v>
      </c>
      <c r="L710" s="4" t="s">
        <v>26</v>
      </c>
      <c r="M710" s="4" t="s">
        <v>1871</v>
      </c>
      <c r="N710" s="5">
        <v>4754.22</v>
      </c>
      <c r="O710" s="6">
        <v>3</v>
      </c>
      <c r="P710" s="7">
        <v>0</v>
      </c>
      <c r="Q710" s="18">
        <v>705.8</v>
      </c>
      <c r="R710" s="45" t="str">
        <f t="shared" si="44"/>
        <v>OK</v>
      </c>
      <c r="S710" s="45">
        <f t="shared" si="45"/>
        <v>447.82500000000005</v>
      </c>
      <c r="T710" s="45">
        <f t="shared" si="46"/>
        <v>6</v>
      </c>
      <c r="U710" s="45">
        <f t="shared" si="47"/>
        <v>2686.9500000000003</v>
      </c>
    </row>
    <row r="711" spans="1:21" x14ac:dyDescent="0.3">
      <c r="A711" s="17" t="s">
        <v>511</v>
      </c>
      <c r="B711" s="32">
        <v>45256</v>
      </c>
      <c r="C711" s="32">
        <v>45259</v>
      </c>
      <c r="D711" s="8" t="s">
        <v>73</v>
      </c>
      <c r="E711" s="8" t="s">
        <v>512</v>
      </c>
      <c r="F711" s="10" t="s">
        <v>513</v>
      </c>
      <c r="G711" s="10" t="s">
        <v>21</v>
      </c>
      <c r="H711" s="10" t="s">
        <v>104</v>
      </c>
      <c r="I711" s="10" t="s">
        <v>105</v>
      </c>
      <c r="J711" s="10" t="s">
        <v>88</v>
      </c>
      <c r="K711" s="10" t="s">
        <v>25</v>
      </c>
      <c r="L711" s="10" t="s">
        <v>26</v>
      </c>
      <c r="M711" s="10" t="s">
        <v>514</v>
      </c>
      <c r="N711" s="11">
        <v>7846.92</v>
      </c>
      <c r="O711" s="12">
        <v>5</v>
      </c>
      <c r="P711" s="13">
        <v>0.1</v>
      </c>
      <c r="Q711" s="19">
        <v>1306.6199999999999</v>
      </c>
      <c r="R711" s="45" t="str">
        <f t="shared" si="44"/>
        <v>OK</v>
      </c>
      <c r="S711" s="45">
        <f t="shared" si="45"/>
        <v>447.82500000000005</v>
      </c>
      <c r="T711" s="45">
        <f t="shared" si="46"/>
        <v>6</v>
      </c>
      <c r="U711" s="45">
        <f t="shared" si="47"/>
        <v>2686.9500000000003</v>
      </c>
    </row>
    <row r="712" spans="1:21" x14ac:dyDescent="0.3">
      <c r="A712" s="16" t="s">
        <v>1287</v>
      </c>
      <c r="B712" s="31">
        <v>45256</v>
      </c>
      <c r="C712" s="31">
        <v>45258</v>
      </c>
      <c r="D712" s="2" t="s">
        <v>39</v>
      </c>
      <c r="E712" s="2" t="s">
        <v>360</v>
      </c>
      <c r="F712" s="4" t="s">
        <v>361</v>
      </c>
      <c r="G712" s="4" t="s">
        <v>42</v>
      </c>
      <c r="H712" s="4" t="s">
        <v>346</v>
      </c>
      <c r="I712" s="4" t="s">
        <v>347</v>
      </c>
      <c r="J712" s="4" t="s">
        <v>88</v>
      </c>
      <c r="K712" s="4" t="s">
        <v>25</v>
      </c>
      <c r="L712" s="4" t="s">
        <v>74</v>
      </c>
      <c r="M712" s="4" t="s">
        <v>1288</v>
      </c>
      <c r="N712" s="5">
        <v>7029.6</v>
      </c>
      <c r="O712" s="6">
        <v>10</v>
      </c>
      <c r="P712" s="7">
        <v>0</v>
      </c>
      <c r="Q712" s="18">
        <v>3090.56</v>
      </c>
      <c r="R712" s="45" t="str">
        <f t="shared" si="44"/>
        <v>OK</v>
      </c>
      <c r="S712" s="45">
        <f t="shared" si="45"/>
        <v>447.82500000000005</v>
      </c>
      <c r="T712" s="45">
        <f t="shared" si="46"/>
        <v>6</v>
      </c>
      <c r="U712" s="45">
        <f t="shared" si="47"/>
        <v>2686.9500000000003</v>
      </c>
    </row>
    <row r="713" spans="1:21" x14ac:dyDescent="0.3">
      <c r="A713" s="17" t="s">
        <v>2157</v>
      </c>
      <c r="B713" s="32">
        <v>45256</v>
      </c>
      <c r="C713" s="32">
        <v>45260</v>
      </c>
      <c r="D713" s="8" t="s">
        <v>73</v>
      </c>
      <c r="E713" s="8" t="s">
        <v>258</v>
      </c>
      <c r="F713" s="10" t="s">
        <v>259</v>
      </c>
      <c r="G713" s="10" t="s">
        <v>51</v>
      </c>
      <c r="H713" s="10" t="s">
        <v>260</v>
      </c>
      <c r="I713" s="10" t="s">
        <v>151</v>
      </c>
      <c r="J713" s="10" t="s">
        <v>34</v>
      </c>
      <c r="K713" s="10" t="s">
        <v>25</v>
      </c>
      <c r="L713" s="10" t="s">
        <v>74</v>
      </c>
      <c r="M713" s="10" t="s">
        <v>2158</v>
      </c>
      <c r="N713" s="11">
        <v>1878.14</v>
      </c>
      <c r="O713" s="12">
        <v>3</v>
      </c>
      <c r="P713" s="13">
        <v>0.2</v>
      </c>
      <c r="Q713" s="19">
        <v>270.76</v>
      </c>
      <c r="R713" s="45" t="str">
        <f t="shared" si="44"/>
        <v>OK</v>
      </c>
      <c r="S713" s="45">
        <f t="shared" si="45"/>
        <v>447.82500000000005</v>
      </c>
      <c r="T713" s="45">
        <f t="shared" si="46"/>
        <v>6</v>
      </c>
      <c r="U713" s="45">
        <f t="shared" si="47"/>
        <v>2686.9500000000003</v>
      </c>
    </row>
    <row r="714" spans="1:21" x14ac:dyDescent="0.3">
      <c r="A714" s="16" t="s">
        <v>2382</v>
      </c>
      <c r="B714" s="31">
        <v>45259</v>
      </c>
      <c r="C714" s="31">
        <v>45263</v>
      </c>
      <c r="D714" s="2" t="s">
        <v>73</v>
      </c>
      <c r="E714" s="2" t="s">
        <v>201</v>
      </c>
      <c r="F714" s="4" t="s">
        <v>202</v>
      </c>
      <c r="G714" s="4" t="s">
        <v>21</v>
      </c>
      <c r="H714" s="4" t="s">
        <v>98</v>
      </c>
      <c r="I714" s="4" t="s">
        <v>80</v>
      </c>
      <c r="J714" s="4" t="s">
        <v>54</v>
      </c>
      <c r="K714" s="4" t="s">
        <v>35</v>
      </c>
      <c r="L714" s="4" t="s">
        <v>295</v>
      </c>
      <c r="M714" s="4" t="s">
        <v>2383</v>
      </c>
      <c r="N714" s="5">
        <v>23.31</v>
      </c>
      <c r="O714" s="6">
        <v>2</v>
      </c>
      <c r="P714" s="7">
        <v>0.1</v>
      </c>
      <c r="Q714" s="18">
        <v>11.51</v>
      </c>
      <c r="R714" s="45" t="str">
        <f t="shared" si="44"/>
        <v>OK</v>
      </c>
      <c r="S714" s="45">
        <f t="shared" si="45"/>
        <v>447.82500000000005</v>
      </c>
      <c r="T714" s="45">
        <f t="shared" si="46"/>
        <v>6</v>
      </c>
      <c r="U714" s="45">
        <f t="shared" si="47"/>
        <v>2686.9500000000003</v>
      </c>
    </row>
    <row r="715" spans="1:21" x14ac:dyDescent="0.3">
      <c r="A715" s="17" t="s">
        <v>931</v>
      </c>
      <c r="B715" s="32">
        <v>45260</v>
      </c>
      <c r="C715" s="32">
        <v>45261</v>
      </c>
      <c r="D715" s="8" t="s">
        <v>18</v>
      </c>
      <c r="E715" s="8" t="s">
        <v>566</v>
      </c>
      <c r="F715" s="10" t="s">
        <v>567</v>
      </c>
      <c r="G715" s="10" t="s">
        <v>21</v>
      </c>
      <c r="H715" s="10" t="s">
        <v>156</v>
      </c>
      <c r="I715" s="10" t="s">
        <v>157</v>
      </c>
      <c r="J715" s="10" t="s">
        <v>88</v>
      </c>
      <c r="K715" s="10" t="s">
        <v>25</v>
      </c>
      <c r="L715" s="10" t="s">
        <v>68</v>
      </c>
      <c r="M715" s="10" t="s">
        <v>932</v>
      </c>
      <c r="N715" s="11">
        <v>47.46</v>
      </c>
      <c r="O715" s="12">
        <v>3</v>
      </c>
      <c r="P715" s="13">
        <v>0.15</v>
      </c>
      <c r="Q715" s="19">
        <v>11.25</v>
      </c>
      <c r="R715" s="45" t="str">
        <f t="shared" si="44"/>
        <v>OK</v>
      </c>
      <c r="S715" s="45">
        <f t="shared" si="45"/>
        <v>447.82500000000005</v>
      </c>
      <c r="T715" s="45">
        <f t="shared" si="46"/>
        <v>6</v>
      </c>
      <c r="U715" s="45">
        <f t="shared" si="47"/>
        <v>2686.9500000000003</v>
      </c>
    </row>
    <row r="716" spans="1:21" x14ac:dyDescent="0.3">
      <c r="A716" s="17" t="s">
        <v>1500</v>
      </c>
      <c r="B716" s="32">
        <v>45261</v>
      </c>
      <c r="C716" s="32">
        <v>45265</v>
      </c>
      <c r="D716" s="8" t="s">
        <v>73</v>
      </c>
      <c r="E716" s="8" t="s">
        <v>1258</v>
      </c>
      <c r="F716" s="10" t="s">
        <v>1259</v>
      </c>
      <c r="G716" s="10" t="s">
        <v>21</v>
      </c>
      <c r="H716" s="10" t="s">
        <v>438</v>
      </c>
      <c r="I716" s="10" t="s">
        <v>157</v>
      </c>
      <c r="J716" s="10" t="s">
        <v>88</v>
      </c>
      <c r="K716" s="10" t="s">
        <v>45</v>
      </c>
      <c r="L716" s="10" t="s">
        <v>117</v>
      </c>
      <c r="M716" s="10" t="s">
        <v>1501</v>
      </c>
      <c r="N716" s="11">
        <v>1645.02</v>
      </c>
      <c r="O716" s="12">
        <v>6</v>
      </c>
      <c r="P716" s="13">
        <v>0</v>
      </c>
      <c r="Q716" s="19">
        <v>469.58</v>
      </c>
      <c r="R716" s="45" t="str">
        <f t="shared" si="44"/>
        <v>OK</v>
      </c>
      <c r="S716" s="45">
        <f t="shared" si="45"/>
        <v>447.82500000000005</v>
      </c>
      <c r="T716" s="45">
        <f t="shared" si="46"/>
        <v>6</v>
      </c>
      <c r="U716" s="45">
        <f t="shared" si="47"/>
        <v>2686.9500000000003</v>
      </c>
    </row>
    <row r="717" spans="1:21" x14ac:dyDescent="0.3">
      <c r="A717" s="16" t="s">
        <v>771</v>
      </c>
      <c r="B717" s="31">
        <v>45262</v>
      </c>
      <c r="C717" s="31">
        <v>45263</v>
      </c>
      <c r="D717" s="2" t="s">
        <v>18</v>
      </c>
      <c r="E717" s="2" t="s">
        <v>410</v>
      </c>
      <c r="F717" s="4" t="s">
        <v>411</v>
      </c>
      <c r="G717" s="4" t="s">
        <v>42</v>
      </c>
      <c r="H717" s="4" t="s">
        <v>412</v>
      </c>
      <c r="I717" s="4" t="s">
        <v>178</v>
      </c>
      <c r="J717" s="4" t="s">
        <v>24</v>
      </c>
      <c r="K717" s="4" t="s">
        <v>25</v>
      </c>
      <c r="L717" s="4" t="s">
        <v>124</v>
      </c>
      <c r="M717" s="4" t="s">
        <v>772</v>
      </c>
      <c r="N717" s="5">
        <v>7257</v>
      </c>
      <c r="O717" s="6">
        <v>3</v>
      </c>
      <c r="P717" s="7">
        <v>0</v>
      </c>
      <c r="Q717" s="18">
        <v>2013.83</v>
      </c>
      <c r="R717" s="45" t="str">
        <f t="shared" si="44"/>
        <v>OK</v>
      </c>
      <c r="S717" s="45">
        <f t="shared" si="45"/>
        <v>447.82500000000005</v>
      </c>
      <c r="T717" s="45">
        <f t="shared" si="46"/>
        <v>6</v>
      </c>
      <c r="U717" s="45">
        <f t="shared" si="47"/>
        <v>2686.9500000000003</v>
      </c>
    </row>
    <row r="718" spans="1:21" x14ac:dyDescent="0.3">
      <c r="A718" s="17" t="s">
        <v>213</v>
      </c>
      <c r="B718" s="32">
        <v>45264</v>
      </c>
      <c r="C718" s="32">
        <v>45268</v>
      </c>
      <c r="D718" s="8" t="s">
        <v>39</v>
      </c>
      <c r="E718" s="8" t="s">
        <v>214</v>
      </c>
      <c r="F718" s="10" t="s">
        <v>215</v>
      </c>
      <c r="G718" s="10" t="s">
        <v>21</v>
      </c>
      <c r="H718" s="10" t="s">
        <v>52</v>
      </c>
      <c r="I718" s="10" t="s">
        <v>53</v>
      </c>
      <c r="J718" s="10"/>
      <c r="K718" s="10" t="s">
        <v>35</v>
      </c>
      <c r="L718" s="10" t="s">
        <v>216</v>
      </c>
      <c r="M718" s="10" t="s">
        <v>217</v>
      </c>
      <c r="N718" s="11">
        <v>211.18</v>
      </c>
      <c r="O718" s="12">
        <v>7</v>
      </c>
      <c r="P718" s="13">
        <v>0.2</v>
      </c>
      <c r="Q718" s="19">
        <v>61.18</v>
      </c>
      <c r="R718" s="45" t="str">
        <f t="shared" si="44"/>
        <v>OK</v>
      </c>
      <c r="S718" s="45">
        <f t="shared" si="45"/>
        <v>447.82500000000005</v>
      </c>
      <c r="T718" s="45">
        <f t="shared" si="46"/>
        <v>6</v>
      </c>
      <c r="U718" s="45">
        <f t="shared" si="47"/>
        <v>2686.9500000000003</v>
      </c>
    </row>
    <row r="719" spans="1:21" x14ac:dyDescent="0.3">
      <c r="A719" s="17" t="s">
        <v>726</v>
      </c>
      <c r="B719" s="32">
        <v>45264</v>
      </c>
      <c r="C719" s="32">
        <v>45268</v>
      </c>
      <c r="D719" s="8" t="s">
        <v>39</v>
      </c>
      <c r="E719" s="8" t="s">
        <v>187</v>
      </c>
      <c r="F719" s="10" t="s">
        <v>188</v>
      </c>
      <c r="G719" s="10" t="s">
        <v>21</v>
      </c>
      <c r="H719" s="10" t="s">
        <v>22</v>
      </c>
      <c r="I719" s="10" t="s">
        <v>23</v>
      </c>
      <c r="J719" s="10" t="s">
        <v>24</v>
      </c>
      <c r="K719" s="10" t="s">
        <v>45</v>
      </c>
      <c r="L719" s="10" t="s">
        <v>46</v>
      </c>
      <c r="M719" s="10" t="s">
        <v>727</v>
      </c>
      <c r="N719" s="11">
        <v>4716.12</v>
      </c>
      <c r="O719" s="12">
        <v>6</v>
      </c>
      <c r="P719" s="13">
        <v>0</v>
      </c>
      <c r="Q719" s="19">
        <v>1496.91</v>
      </c>
      <c r="R719" s="45" t="str">
        <f t="shared" si="44"/>
        <v>OK</v>
      </c>
      <c r="S719" s="45">
        <f t="shared" si="45"/>
        <v>447.82500000000005</v>
      </c>
      <c r="T719" s="45">
        <f t="shared" si="46"/>
        <v>6</v>
      </c>
      <c r="U719" s="45">
        <f t="shared" si="47"/>
        <v>2686.9500000000003</v>
      </c>
    </row>
    <row r="720" spans="1:21" x14ac:dyDescent="0.3">
      <c r="A720" s="17" t="s">
        <v>1117</v>
      </c>
      <c r="B720" s="32">
        <v>45265</v>
      </c>
      <c r="C720" s="32">
        <v>45268</v>
      </c>
      <c r="D720" s="8" t="s">
        <v>39</v>
      </c>
      <c r="E720" s="8" t="s">
        <v>303</v>
      </c>
      <c r="F720" s="10" t="s">
        <v>304</v>
      </c>
      <c r="G720" s="10" t="s">
        <v>42</v>
      </c>
      <c r="H720" s="10" t="s">
        <v>305</v>
      </c>
      <c r="I720" s="10" t="s">
        <v>306</v>
      </c>
      <c r="J720" s="10" t="s">
        <v>34</v>
      </c>
      <c r="K720" s="10" t="s">
        <v>25</v>
      </c>
      <c r="L720" s="10" t="s">
        <v>124</v>
      </c>
      <c r="M720" s="10" t="s">
        <v>1118</v>
      </c>
      <c r="N720" s="11">
        <v>7040.1</v>
      </c>
      <c r="O720" s="12">
        <v>10</v>
      </c>
      <c r="P720" s="13">
        <v>0.4</v>
      </c>
      <c r="Q720" s="19">
        <v>-2572.8000000000002</v>
      </c>
      <c r="R720" s="45" t="str">
        <f t="shared" si="44"/>
        <v>OK</v>
      </c>
      <c r="S720" s="45">
        <f t="shared" si="45"/>
        <v>447.82500000000005</v>
      </c>
      <c r="T720" s="45">
        <f t="shared" si="46"/>
        <v>6</v>
      </c>
      <c r="U720" s="45">
        <f t="shared" si="47"/>
        <v>2686.9500000000003</v>
      </c>
    </row>
    <row r="721" spans="1:21" x14ac:dyDescent="0.3">
      <c r="A721" s="16" t="s">
        <v>1081</v>
      </c>
      <c r="B721" s="31">
        <v>45268</v>
      </c>
      <c r="C721" s="31">
        <v>45270</v>
      </c>
      <c r="D721" s="2" t="s">
        <v>18</v>
      </c>
      <c r="E721" s="2" t="s">
        <v>547</v>
      </c>
      <c r="F721" s="4" t="s">
        <v>548</v>
      </c>
      <c r="G721" s="4" t="s">
        <v>51</v>
      </c>
      <c r="H721" s="4" t="s">
        <v>156</v>
      </c>
      <c r="I721" s="4" t="s">
        <v>157</v>
      </c>
      <c r="J721" s="4" t="s">
        <v>88</v>
      </c>
      <c r="K721" s="4" t="s">
        <v>25</v>
      </c>
      <c r="L721" s="4" t="s">
        <v>74</v>
      </c>
      <c r="M721" s="4" t="s">
        <v>1082</v>
      </c>
      <c r="N721" s="5">
        <v>2252.48</v>
      </c>
      <c r="O721" s="6">
        <v>4</v>
      </c>
      <c r="P721" s="7">
        <v>0</v>
      </c>
      <c r="Q721" s="18">
        <v>805.55</v>
      </c>
      <c r="R721" s="45" t="str">
        <f t="shared" si="44"/>
        <v>OK</v>
      </c>
      <c r="S721" s="45">
        <f t="shared" si="45"/>
        <v>447.82500000000005</v>
      </c>
      <c r="T721" s="45">
        <f t="shared" si="46"/>
        <v>6</v>
      </c>
      <c r="U721" s="45">
        <f t="shared" si="47"/>
        <v>2686.9500000000003</v>
      </c>
    </row>
    <row r="722" spans="1:21" x14ac:dyDescent="0.3">
      <c r="A722" s="16" t="s">
        <v>1479</v>
      </c>
      <c r="B722" s="31">
        <v>45272</v>
      </c>
      <c r="C722" s="31">
        <v>45275</v>
      </c>
      <c r="D722" s="2" t="s">
        <v>39</v>
      </c>
      <c r="E722" s="2" t="s">
        <v>618</v>
      </c>
      <c r="F722" s="4" t="s">
        <v>619</v>
      </c>
      <c r="G722" s="4" t="s">
        <v>42</v>
      </c>
      <c r="H722" s="4" t="s">
        <v>260</v>
      </c>
      <c r="I722" s="4" t="s">
        <v>151</v>
      </c>
      <c r="J722" s="4" t="s">
        <v>34</v>
      </c>
      <c r="K722" s="4" t="s">
        <v>45</v>
      </c>
      <c r="L722" s="4" t="s">
        <v>46</v>
      </c>
      <c r="M722" s="4" t="s">
        <v>1480</v>
      </c>
      <c r="N722" s="5">
        <v>4491.84</v>
      </c>
      <c r="O722" s="6">
        <v>9</v>
      </c>
      <c r="P722" s="7">
        <v>0.3</v>
      </c>
      <c r="Q722" s="18">
        <v>316.93</v>
      </c>
      <c r="R722" s="45" t="str">
        <f t="shared" si="44"/>
        <v>OK</v>
      </c>
      <c r="S722" s="45">
        <f t="shared" si="45"/>
        <v>447.82500000000005</v>
      </c>
      <c r="T722" s="45">
        <f t="shared" si="46"/>
        <v>6</v>
      </c>
      <c r="U722" s="45">
        <f t="shared" si="47"/>
        <v>2686.9500000000003</v>
      </c>
    </row>
    <row r="723" spans="1:21" x14ac:dyDescent="0.3">
      <c r="A723" s="17" t="s">
        <v>784</v>
      </c>
      <c r="B723" s="32">
        <v>45273</v>
      </c>
      <c r="C723" s="32">
        <v>45279</v>
      </c>
      <c r="D723" s="8" t="s">
        <v>29</v>
      </c>
      <c r="E723" s="8" t="s">
        <v>785</v>
      </c>
      <c r="F723" s="10" t="s">
        <v>786</v>
      </c>
      <c r="G723" s="10" t="s">
        <v>51</v>
      </c>
      <c r="H723" s="10" t="s">
        <v>422</v>
      </c>
      <c r="I723" s="10" t="s">
        <v>423</v>
      </c>
      <c r="J723" s="10" t="s">
        <v>88</v>
      </c>
      <c r="K723" s="10" t="s">
        <v>45</v>
      </c>
      <c r="L723" s="10" t="s">
        <v>117</v>
      </c>
      <c r="M723" s="10" t="s">
        <v>787</v>
      </c>
      <c r="N723" s="11">
        <v>784.46</v>
      </c>
      <c r="O723" s="12">
        <v>4</v>
      </c>
      <c r="P723" s="13">
        <v>0.4</v>
      </c>
      <c r="Q723" s="19">
        <v>-180.62</v>
      </c>
      <c r="R723" s="45" t="str">
        <f t="shared" si="44"/>
        <v>OK</v>
      </c>
      <c r="S723" s="45">
        <f t="shared" si="45"/>
        <v>447.82500000000005</v>
      </c>
      <c r="T723" s="45">
        <f t="shared" si="46"/>
        <v>6</v>
      </c>
      <c r="U723" s="45">
        <f t="shared" si="47"/>
        <v>2686.9500000000003</v>
      </c>
    </row>
    <row r="724" spans="1:21" x14ac:dyDescent="0.3">
      <c r="A724" s="17" t="s">
        <v>885</v>
      </c>
      <c r="B724" s="32">
        <v>45275</v>
      </c>
      <c r="C724" s="32">
        <v>45280</v>
      </c>
      <c r="D724" s="8" t="s">
        <v>73</v>
      </c>
      <c r="E724" s="8" t="s">
        <v>745</v>
      </c>
      <c r="F724" s="10" t="s">
        <v>746</v>
      </c>
      <c r="G724" s="10" t="s">
        <v>51</v>
      </c>
      <c r="H724" s="10" t="s">
        <v>465</v>
      </c>
      <c r="I724" s="10" t="s">
        <v>423</v>
      </c>
      <c r="J724" s="10" t="s">
        <v>88</v>
      </c>
      <c r="K724" s="10" t="s">
        <v>45</v>
      </c>
      <c r="L724" s="10" t="s">
        <v>46</v>
      </c>
      <c r="M724" s="10" t="s">
        <v>886</v>
      </c>
      <c r="N724" s="11">
        <v>2476.8000000000002</v>
      </c>
      <c r="O724" s="12">
        <v>8</v>
      </c>
      <c r="P724" s="13">
        <v>0.2</v>
      </c>
      <c r="Q724" s="19">
        <v>662.43</v>
      </c>
      <c r="R724" s="45" t="str">
        <f t="shared" si="44"/>
        <v>OK</v>
      </c>
      <c r="S724" s="45">
        <f t="shared" si="45"/>
        <v>447.82500000000005</v>
      </c>
      <c r="T724" s="45">
        <f t="shared" si="46"/>
        <v>6</v>
      </c>
      <c r="U724" s="45">
        <f t="shared" si="47"/>
        <v>2686.9500000000003</v>
      </c>
    </row>
    <row r="725" spans="1:21" x14ac:dyDescent="0.3">
      <c r="A725" s="17" t="s">
        <v>1591</v>
      </c>
      <c r="B725" s="32">
        <v>45275</v>
      </c>
      <c r="C725" s="32">
        <v>45282</v>
      </c>
      <c r="D725" s="8" t="s">
        <v>29</v>
      </c>
      <c r="E725" s="8" t="s">
        <v>175</v>
      </c>
      <c r="F725" s="10" t="s">
        <v>176</v>
      </c>
      <c r="G725" s="10" t="s">
        <v>51</v>
      </c>
      <c r="H725" s="10" t="s">
        <v>177</v>
      </c>
      <c r="I725" s="10" t="s">
        <v>178</v>
      </c>
      <c r="J725" s="10" t="s">
        <v>24</v>
      </c>
      <c r="K725" s="10" t="s">
        <v>45</v>
      </c>
      <c r="L725" s="10" t="s">
        <v>117</v>
      </c>
      <c r="M725" s="10" t="s">
        <v>1592</v>
      </c>
      <c r="N725" s="11">
        <v>110.93</v>
      </c>
      <c r="O725" s="12">
        <v>2</v>
      </c>
      <c r="P725" s="13">
        <v>0.4</v>
      </c>
      <c r="Q725" s="19">
        <v>-30.2</v>
      </c>
      <c r="R725" s="45" t="str">
        <f t="shared" si="44"/>
        <v>OK</v>
      </c>
      <c r="S725" s="45">
        <f t="shared" si="45"/>
        <v>447.82500000000005</v>
      </c>
      <c r="T725" s="45">
        <f t="shared" si="46"/>
        <v>6</v>
      </c>
      <c r="U725" s="45">
        <f t="shared" si="47"/>
        <v>2686.9500000000003</v>
      </c>
    </row>
    <row r="726" spans="1:21" x14ac:dyDescent="0.3">
      <c r="A726" s="16" t="s">
        <v>1798</v>
      </c>
      <c r="B726" s="31">
        <v>45275</v>
      </c>
      <c r="C726" s="31">
        <v>45278</v>
      </c>
      <c r="D726" s="2" t="s">
        <v>39</v>
      </c>
      <c r="E726" s="2" t="s">
        <v>380</v>
      </c>
      <c r="F726" s="4" t="s">
        <v>381</v>
      </c>
      <c r="G726" s="4" t="s">
        <v>51</v>
      </c>
      <c r="H726" s="4" t="s">
        <v>156</v>
      </c>
      <c r="I726" s="4" t="s">
        <v>157</v>
      </c>
      <c r="J726" s="4" t="s">
        <v>88</v>
      </c>
      <c r="K726" s="4" t="s">
        <v>35</v>
      </c>
      <c r="L726" s="4" t="s">
        <v>110</v>
      </c>
      <c r="M726" s="4" t="s">
        <v>1799</v>
      </c>
      <c r="N726" s="5">
        <v>50.4</v>
      </c>
      <c r="O726" s="6">
        <v>8</v>
      </c>
      <c r="P726" s="7">
        <v>0</v>
      </c>
      <c r="Q726" s="18">
        <v>25.57</v>
      </c>
      <c r="R726" s="45" t="str">
        <f t="shared" si="44"/>
        <v>OK</v>
      </c>
      <c r="S726" s="45">
        <f t="shared" si="45"/>
        <v>515.20400000000006</v>
      </c>
      <c r="T726" s="45">
        <f t="shared" si="46"/>
        <v>5</v>
      </c>
      <c r="U726" s="45">
        <f t="shared" si="47"/>
        <v>2576.0200000000004</v>
      </c>
    </row>
    <row r="727" spans="1:21" x14ac:dyDescent="0.3">
      <c r="A727" s="16" t="s">
        <v>2393</v>
      </c>
      <c r="B727" s="31">
        <v>45277</v>
      </c>
      <c r="C727" s="31">
        <v>45280</v>
      </c>
      <c r="D727" s="2" t="s">
        <v>39</v>
      </c>
      <c r="E727" s="2" t="s">
        <v>406</v>
      </c>
      <c r="F727" s="4" t="s">
        <v>407</v>
      </c>
      <c r="G727" s="4" t="s">
        <v>42</v>
      </c>
      <c r="H727" s="4" t="s">
        <v>165</v>
      </c>
      <c r="I727" s="4" t="s">
        <v>44</v>
      </c>
      <c r="J727" s="4" t="s">
        <v>24</v>
      </c>
      <c r="K727" s="4" t="s">
        <v>45</v>
      </c>
      <c r="L727" s="4" t="s">
        <v>61</v>
      </c>
      <c r="M727" s="4" t="s">
        <v>2394</v>
      </c>
      <c r="N727" s="5">
        <v>461.52</v>
      </c>
      <c r="O727" s="6">
        <v>3</v>
      </c>
      <c r="P727" s="7">
        <v>0.3</v>
      </c>
      <c r="Q727" s="18">
        <v>-157.55000000000001</v>
      </c>
      <c r="R727" s="45" t="str">
        <f t="shared" si="44"/>
        <v>OK</v>
      </c>
      <c r="S727" s="45">
        <f t="shared" si="45"/>
        <v>515.20400000000006</v>
      </c>
      <c r="T727" s="45">
        <f t="shared" si="46"/>
        <v>5</v>
      </c>
      <c r="U727" s="45">
        <f t="shared" si="47"/>
        <v>2576.0200000000004</v>
      </c>
    </row>
    <row r="728" spans="1:21" x14ac:dyDescent="0.3">
      <c r="A728" s="16" t="s">
        <v>2088</v>
      </c>
      <c r="B728" s="31">
        <v>45278</v>
      </c>
      <c r="C728" s="31">
        <v>45280</v>
      </c>
      <c r="D728" s="2" t="s">
        <v>39</v>
      </c>
      <c r="E728" s="2" t="s">
        <v>1184</v>
      </c>
      <c r="F728" s="4" t="s">
        <v>1185</v>
      </c>
      <c r="G728" s="4" t="s">
        <v>51</v>
      </c>
      <c r="H728" s="4" t="s">
        <v>22</v>
      </c>
      <c r="I728" s="4" t="s">
        <v>23</v>
      </c>
      <c r="J728" s="4" t="s">
        <v>24</v>
      </c>
      <c r="K728" s="4" t="s">
        <v>25</v>
      </c>
      <c r="L728" s="4" t="s">
        <v>124</v>
      </c>
      <c r="M728" s="4" t="s">
        <v>2089</v>
      </c>
      <c r="N728" s="5">
        <v>31188.799999999999</v>
      </c>
      <c r="O728" s="6">
        <v>10</v>
      </c>
      <c r="P728" s="7">
        <v>0</v>
      </c>
      <c r="Q728" s="18">
        <v>7669.92</v>
      </c>
      <c r="R728" s="45" t="str">
        <f t="shared" si="44"/>
        <v>OK</v>
      </c>
      <c r="S728" s="45">
        <f t="shared" si="45"/>
        <v>515.20400000000006</v>
      </c>
      <c r="T728" s="45">
        <f t="shared" si="46"/>
        <v>5</v>
      </c>
      <c r="U728" s="45">
        <f t="shared" si="47"/>
        <v>2576.0200000000004</v>
      </c>
    </row>
    <row r="729" spans="1:21" x14ac:dyDescent="0.3">
      <c r="A729" s="17" t="s">
        <v>1822</v>
      </c>
      <c r="B729" s="32">
        <v>45281</v>
      </c>
      <c r="C729" s="32">
        <v>45284</v>
      </c>
      <c r="D729" s="8" t="s">
        <v>39</v>
      </c>
      <c r="E729" s="8" t="s">
        <v>132</v>
      </c>
      <c r="F729" s="10" t="s">
        <v>133</v>
      </c>
      <c r="G729" s="10" t="s">
        <v>21</v>
      </c>
      <c r="H729" s="10" t="s">
        <v>134</v>
      </c>
      <c r="I729" s="10" t="s">
        <v>87</v>
      </c>
      <c r="J729" s="10" t="s">
        <v>88</v>
      </c>
      <c r="K729" s="10" t="s">
        <v>35</v>
      </c>
      <c r="L729" s="10" t="s">
        <v>166</v>
      </c>
      <c r="M729" s="10" t="s">
        <v>387</v>
      </c>
      <c r="N729" s="11">
        <v>111.53</v>
      </c>
      <c r="O729" s="12">
        <v>1</v>
      </c>
      <c r="P729" s="13">
        <v>0</v>
      </c>
      <c r="Q729" s="19">
        <v>37.97</v>
      </c>
      <c r="R729" s="45" t="str">
        <f t="shared" si="44"/>
        <v>OK</v>
      </c>
      <c r="S729" s="45">
        <f t="shared" si="45"/>
        <v>515.20400000000006</v>
      </c>
      <c r="T729" s="45">
        <f t="shared" si="46"/>
        <v>5</v>
      </c>
      <c r="U729" s="45">
        <f t="shared" si="47"/>
        <v>2576.0200000000004</v>
      </c>
    </row>
    <row r="730" spans="1:21" x14ac:dyDescent="0.3">
      <c r="A730" s="17" t="s">
        <v>2403</v>
      </c>
      <c r="B730" s="32">
        <v>45283</v>
      </c>
      <c r="C730" s="32">
        <v>45287</v>
      </c>
      <c r="D730" s="8" t="s">
        <v>39</v>
      </c>
      <c r="E730" s="8" t="s">
        <v>1270</v>
      </c>
      <c r="F730" s="10" t="s">
        <v>1271</v>
      </c>
      <c r="G730" s="10" t="s">
        <v>51</v>
      </c>
      <c r="H730" s="10" t="s">
        <v>412</v>
      </c>
      <c r="I730" s="10" t="s">
        <v>178</v>
      </c>
      <c r="J730" s="10" t="s">
        <v>24</v>
      </c>
      <c r="K730" s="10" t="s">
        <v>35</v>
      </c>
      <c r="L730" s="10" t="s">
        <v>295</v>
      </c>
      <c r="M730" s="10" t="s">
        <v>2404</v>
      </c>
      <c r="N730" s="11">
        <v>178.17</v>
      </c>
      <c r="O730" s="12">
        <v>3</v>
      </c>
      <c r="P730" s="13">
        <v>0</v>
      </c>
      <c r="Q730" s="19">
        <v>86.18</v>
      </c>
      <c r="R730" s="45" t="str">
        <f t="shared" si="44"/>
        <v>OK</v>
      </c>
      <c r="S730" s="45">
        <f t="shared" si="45"/>
        <v>515.20400000000006</v>
      </c>
      <c r="T730" s="45">
        <f t="shared" si="46"/>
        <v>5</v>
      </c>
      <c r="U730" s="45">
        <f t="shared" si="47"/>
        <v>2576.0200000000004</v>
      </c>
    </row>
    <row r="731" spans="1:21" x14ac:dyDescent="0.3">
      <c r="A731" s="16" t="s">
        <v>288</v>
      </c>
      <c r="B731" s="31">
        <v>45287</v>
      </c>
      <c r="C731" s="31">
        <v>45292</v>
      </c>
      <c r="D731" s="2" t="s">
        <v>73</v>
      </c>
      <c r="E731" s="2" t="s">
        <v>289</v>
      </c>
      <c r="F731" s="4" t="s">
        <v>290</v>
      </c>
      <c r="G731" s="4" t="s">
        <v>51</v>
      </c>
      <c r="H731" s="4" t="s">
        <v>115</v>
      </c>
      <c r="I731" s="4" t="s">
        <v>116</v>
      </c>
      <c r="J731" s="4" t="s">
        <v>54</v>
      </c>
      <c r="K731" s="4" t="s">
        <v>45</v>
      </c>
      <c r="L731" s="4" t="s">
        <v>46</v>
      </c>
      <c r="M731" s="4" t="s">
        <v>291</v>
      </c>
      <c r="N731" s="5">
        <v>3066.84</v>
      </c>
      <c r="O731" s="6">
        <v>7</v>
      </c>
      <c r="P731" s="7">
        <v>0</v>
      </c>
      <c r="Q731" s="18">
        <v>1255.3499999999999</v>
      </c>
      <c r="R731" s="45" t="str">
        <f t="shared" si="44"/>
        <v>OK</v>
      </c>
      <c r="S731" s="45">
        <f t="shared" si="45"/>
        <v>515.20400000000006</v>
      </c>
      <c r="T731" s="45">
        <f t="shared" si="46"/>
        <v>5</v>
      </c>
      <c r="U731" s="45">
        <f t="shared" si="47"/>
        <v>2576.0200000000004</v>
      </c>
    </row>
    <row r="732" spans="1:21" x14ac:dyDescent="0.3">
      <c r="A732" s="17" t="s">
        <v>1351</v>
      </c>
      <c r="B732" s="32">
        <v>45287</v>
      </c>
      <c r="C732" s="32">
        <v>45291</v>
      </c>
      <c r="D732" s="8" t="s">
        <v>73</v>
      </c>
      <c r="E732" s="8" t="s">
        <v>1352</v>
      </c>
      <c r="F732" s="10" t="s">
        <v>1353</v>
      </c>
      <c r="G732" s="10" t="s">
        <v>42</v>
      </c>
      <c r="H732" s="10" t="s">
        <v>207</v>
      </c>
      <c r="I732" s="10" t="s">
        <v>60</v>
      </c>
      <c r="J732" s="10" t="s">
        <v>54</v>
      </c>
      <c r="K732" s="10" t="s">
        <v>45</v>
      </c>
      <c r="L732" s="10" t="s">
        <v>46</v>
      </c>
      <c r="M732" s="10" t="s">
        <v>1354</v>
      </c>
      <c r="N732" s="11">
        <v>983.28</v>
      </c>
      <c r="O732" s="12">
        <v>7</v>
      </c>
      <c r="P732" s="13">
        <v>0.3</v>
      </c>
      <c r="Q732" s="19">
        <v>114.87</v>
      </c>
      <c r="R732" s="45" t="str">
        <f t="shared" si="44"/>
        <v>OK</v>
      </c>
      <c r="S732" s="45">
        <f t="shared" si="45"/>
        <v>515.20400000000006</v>
      </c>
      <c r="T732" s="45">
        <f t="shared" si="46"/>
        <v>5</v>
      </c>
      <c r="U732" s="45">
        <f t="shared" si="47"/>
        <v>2576.0200000000004</v>
      </c>
    </row>
    <row r="733" spans="1:21" x14ac:dyDescent="0.3">
      <c r="A733" s="17" t="s">
        <v>1351</v>
      </c>
      <c r="B733" s="32">
        <v>45287</v>
      </c>
      <c r="C733" s="32">
        <v>45291</v>
      </c>
      <c r="D733" s="8" t="s">
        <v>73</v>
      </c>
      <c r="E733" s="8" t="s">
        <v>1352</v>
      </c>
      <c r="F733" s="10" t="s">
        <v>1353</v>
      </c>
      <c r="G733" s="10" t="s">
        <v>42</v>
      </c>
      <c r="H733" s="10" t="s">
        <v>207</v>
      </c>
      <c r="I733" s="10" t="s">
        <v>60</v>
      </c>
      <c r="J733" s="10" t="s">
        <v>54</v>
      </c>
      <c r="K733" s="10" t="s">
        <v>45</v>
      </c>
      <c r="L733" s="10" t="s">
        <v>46</v>
      </c>
      <c r="M733" s="10" t="s">
        <v>1354</v>
      </c>
      <c r="N733" s="11">
        <v>983.28</v>
      </c>
      <c r="O733" s="12">
        <v>7</v>
      </c>
      <c r="P733" s="13">
        <v>0.3</v>
      </c>
      <c r="Q733" s="19">
        <v>114.87</v>
      </c>
      <c r="R733" s="45" t="str">
        <f t="shared" si="44"/>
        <v>OK</v>
      </c>
      <c r="S733" s="45">
        <f t="shared" si="45"/>
        <v>515.20400000000006</v>
      </c>
      <c r="T733" s="45">
        <f t="shared" si="46"/>
        <v>5</v>
      </c>
      <c r="U733" s="45">
        <f t="shared" si="47"/>
        <v>2576.0200000000004</v>
      </c>
    </row>
    <row r="734" spans="1:21" x14ac:dyDescent="0.3">
      <c r="A734" s="16" t="s">
        <v>2359</v>
      </c>
      <c r="B734" s="31">
        <v>45288</v>
      </c>
      <c r="C734" s="31">
        <v>45291</v>
      </c>
      <c r="D734" s="2" t="s">
        <v>18</v>
      </c>
      <c r="E734" s="2" t="s">
        <v>309</v>
      </c>
      <c r="F734" s="4" t="s">
        <v>310</v>
      </c>
      <c r="G734" s="4" t="s">
        <v>21</v>
      </c>
      <c r="H734" s="4" t="s">
        <v>115</v>
      </c>
      <c r="I734" s="4" t="s">
        <v>116</v>
      </c>
      <c r="J734" s="4" t="s">
        <v>54</v>
      </c>
      <c r="K734" s="4" t="s">
        <v>25</v>
      </c>
      <c r="L734" s="4" t="s">
        <v>74</v>
      </c>
      <c r="M734" s="4" t="s">
        <v>2360</v>
      </c>
      <c r="N734" s="5">
        <v>1396.58</v>
      </c>
      <c r="O734" s="6">
        <v>8</v>
      </c>
      <c r="P734" s="7">
        <v>0.1</v>
      </c>
      <c r="Q734" s="18">
        <v>325.95</v>
      </c>
      <c r="R734" s="45" t="str">
        <f t="shared" si="44"/>
        <v>OK</v>
      </c>
      <c r="S734" s="45">
        <f t="shared" si="45"/>
        <v>515.20400000000006</v>
      </c>
      <c r="T734" s="45">
        <f t="shared" si="46"/>
        <v>5</v>
      </c>
      <c r="U734" s="45">
        <f t="shared" si="47"/>
        <v>2576.0200000000004</v>
      </c>
    </row>
    <row r="735" spans="1:21" x14ac:dyDescent="0.3">
      <c r="A735" s="16" t="s">
        <v>837</v>
      </c>
      <c r="B735" s="31">
        <v>45290</v>
      </c>
      <c r="C735" s="31">
        <v>45293</v>
      </c>
      <c r="D735" s="2" t="s">
        <v>39</v>
      </c>
      <c r="E735" s="2" t="s">
        <v>838</v>
      </c>
      <c r="F735" s="4" t="s">
        <v>839</v>
      </c>
      <c r="G735" s="4" t="s">
        <v>51</v>
      </c>
      <c r="H735" s="4" t="s">
        <v>438</v>
      </c>
      <c r="I735" s="4" t="s">
        <v>157</v>
      </c>
      <c r="J735" s="4" t="s">
        <v>88</v>
      </c>
      <c r="K735" s="4" t="s">
        <v>35</v>
      </c>
      <c r="L735" s="4" t="s">
        <v>166</v>
      </c>
      <c r="M735" s="4" t="s">
        <v>840</v>
      </c>
      <c r="N735" s="5">
        <v>481.92</v>
      </c>
      <c r="O735" s="6">
        <v>10</v>
      </c>
      <c r="P735" s="7">
        <v>0.2</v>
      </c>
      <c r="Q735" s="18">
        <v>43.45</v>
      </c>
      <c r="R735" s="45" t="str">
        <f t="shared" si="44"/>
        <v>OK</v>
      </c>
      <c r="S735" s="45">
        <f t="shared" si="45"/>
        <v>515.20400000000006</v>
      </c>
      <c r="T735" s="45">
        <f t="shared" si="46"/>
        <v>5</v>
      </c>
      <c r="U735" s="45">
        <f t="shared" si="47"/>
        <v>2576.0200000000004</v>
      </c>
    </row>
    <row r="736" spans="1:21" x14ac:dyDescent="0.3">
      <c r="A736" s="16" t="s">
        <v>1337</v>
      </c>
      <c r="B736" s="31">
        <v>45290</v>
      </c>
      <c r="C736" s="31">
        <v>45295</v>
      </c>
      <c r="D736" s="2" t="s">
        <v>73</v>
      </c>
      <c r="E736" s="2" t="s">
        <v>1166</v>
      </c>
      <c r="F736" s="4" t="s">
        <v>1167</v>
      </c>
      <c r="G736" s="4" t="s">
        <v>21</v>
      </c>
      <c r="H736" s="4" t="s">
        <v>98</v>
      </c>
      <c r="I736" s="4" t="s">
        <v>80</v>
      </c>
      <c r="J736" s="4" t="s">
        <v>54</v>
      </c>
      <c r="K736" s="4" t="s">
        <v>35</v>
      </c>
      <c r="L736" s="4" t="s">
        <v>295</v>
      </c>
      <c r="M736" s="4" t="s">
        <v>1338</v>
      </c>
      <c r="N736" s="5">
        <v>237.95</v>
      </c>
      <c r="O736" s="6">
        <v>8</v>
      </c>
      <c r="P736" s="7">
        <v>0.2</v>
      </c>
      <c r="Q736" s="18">
        <v>112.8</v>
      </c>
      <c r="R736" s="45" t="str">
        <f t="shared" si="44"/>
        <v>OK</v>
      </c>
      <c r="S736" s="45">
        <f t="shared" si="45"/>
        <v>515.20400000000006</v>
      </c>
      <c r="T736" s="45">
        <f t="shared" si="46"/>
        <v>5</v>
      </c>
      <c r="U736" s="45">
        <f t="shared" si="47"/>
        <v>2576.0200000000004</v>
      </c>
    </row>
    <row r="737" spans="1:21" x14ac:dyDescent="0.3">
      <c r="A737" s="16" t="s">
        <v>951</v>
      </c>
      <c r="B737" s="31">
        <v>45291</v>
      </c>
      <c r="C737" s="31">
        <v>45292</v>
      </c>
      <c r="D737" s="2" t="s">
        <v>18</v>
      </c>
      <c r="E737" s="2" t="s">
        <v>457</v>
      </c>
      <c r="F737" s="4" t="s">
        <v>458</v>
      </c>
      <c r="G737" s="4" t="s">
        <v>51</v>
      </c>
      <c r="H737" s="4" t="s">
        <v>459</v>
      </c>
      <c r="I737" s="4" t="s">
        <v>460</v>
      </c>
      <c r="J737" s="4"/>
      <c r="K737" s="4" t="s">
        <v>35</v>
      </c>
      <c r="L737" s="4" t="s">
        <v>81</v>
      </c>
      <c r="M737" s="4" t="s">
        <v>952</v>
      </c>
      <c r="N737" s="5">
        <v>177.12</v>
      </c>
      <c r="O737" s="6">
        <v>8</v>
      </c>
      <c r="P737" s="7">
        <v>0</v>
      </c>
      <c r="Q737" s="18">
        <v>83.87</v>
      </c>
      <c r="R737" s="45" t="str">
        <f t="shared" si="44"/>
        <v>OK</v>
      </c>
      <c r="S737" s="45">
        <f t="shared" si="45"/>
        <v>515.20400000000006</v>
      </c>
      <c r="T737" s="45">
        <f t="shared" si="46"/>
        <v>5</v>
      </c>
      <c r="U737" s="45">
        <f t="shared" si="47"/>
        <v>2576.0200000000004</v>
      </c>
    </row>
    <row r="738" spans="1:21" x14ac:dyDescent="0.3">
      <c r="A738" s="16" t="s">
        <v>1315</v>
      </c>
      <c r="B738" s="31">
        <v>45292</v>
      </c>
      <c r="C738" s="31">
        <v>45297</v>
      </c>
      <c r="D738" s="2" t="s">
        <v>29</v>
      </c>
      <c r="E738" s="2" t="s">
        <v>108</v>
      </c>
      <c r="F738" s="4" t="s">
        <v>109</v>
      </c>
      <c r="G738" s="4" t="s">
        <v>21</v>
      </c>
      <c r="H738" s="4" t="s">
        <v>22</v>
      </c>
      <c r="I738" s="4" t="s">
        <v>23</v>
      </c>
      <c r="J738" s="4" t="s">
        <v>24</v>
      </c>
      <c r="K738" s="4" t="s">
        <v>25</v>
      </c>
      <c r="L738" s="4" t="s">
        <v>74</v>
      </c>
      <c r="M738" s="4" t="s">
        <v>1316</v>
      </c>
      <c r="N738" s="5">
        <v>174.6</v>
      </c>
      <c r="O738" s="6">
        <v>1</v>
      </c>
      <c r="P738" s="7">
        <v>0</v>
      </c>
      <c r="Q738" s="18">
        <v>78.930000000000007</v>
      </c>
      <c r="R738" s="45" t="str">
        <f t="shared" si="44"/>
        <v>OK</v>
      </c>
      <c r="S738" s="45">
        <f t="shared" si="45"/>
        <v>515.20400000000006</v>
      </c>
      <c r="T738" s="45">
        <f t="shared" si="46"/>
        <v>5</v>
      </c>
      <c r="U738" s="45">
        <f t="shared" si="47"/>
        <v>2576.0200000000004</v>
      </c>
    </row>
    <row r="739" spans="1:21" x14ac:dyDescent="0.3">
      <c r="A739" s="17" t="s">
        <v>1206</v>
      </c>
      <c r="B739" s="32">
        <v>45293</v>
      </c>
      <c r="C739" s="32">
        <v>45297</v>
      </c>
      <c r="D739" s="8" t="s">
        <v>73</v>
      </c>
      <c r="E739" s="8" t="s">
        <v>258</v>
      </c>
      <c r="F739" s="10" t="s">
        <v>259</v>
      </c>
      <c r="G739" s="10" t="s">
        <v>51</v>
      </c>
      <c r="H739" s="10" t="s">
        <v>260</v>
      </c>
      <c r="I739" s="10" t="s">
        <v>151</v>
      </c>
      <c r="J739" s="10" t="s">
        <v>34</v>
      </c>
      <c r="K739" s="10" t="s">
        <v>35</v>
      </c>
      <c r="L739" s="10" t="s">
        <v>295</v>
      </c>
      <c r="M739" s="10" t="s">
        <v>1207</v>
      </c>
      <c r="N739" s="11">
        <v>43.44</v>
      </c>
      <c r="O739" s="12">
        <v>1</v>
      </c>
      <c r="P739" s="13">
        <v>0.1</v>
      </c>
      <c r="Q739" s="19">
        <v>22.69</v>
      </c>
      <c r="R739" s="45" t="str">
        <f t="shared" si="44"/>
        <v>OK</v>
      </c>
      <c r="S739" s="45">
        <f t="shared" si="45"/>
        <v>515.20400000000006</v>
      </c>
      <c r="T739" s="45">
        <f t="shared" si="46"/>
        <v>5</v>
      </c>
      <c r="U739" s="45">
        <f t="shared" si="47"/>
        <v>2576.0200000000004</v>
      </c>
    </row>
    <row r="740" spans="1:21" x14ac:dyDescent="0.3">
      <c r="A740" s="17" t="s">
        <v>119</v>
      </c>
      <c r="B740" s="32">
        <v>45297</v>
      </c>
      <c r="C740" s="32">
        <v>45300</v>
      </c>
      <c r="D740" s="8" t="s">
        <v>18</v>
      </c>
      <c r="E740" s="8" t="s">
        <v>120</v>
      </c>
      <c r="F740" s="10" t="s">
        <v>121</v>
      </c>
      <c r="G740" s="10" t="s">
        <v>21</v>
      </c>
      <c r="H740" s="10" t="s">
        <v>122</v>
      </c>
      <c r="I740" s="10" t="s">
        <v>123</v>
      </c>
      <c r="J740" s="10" t="s">
        <v>24</v>
      </c>
      <c r="K740" s="10" t="s">
        <v>25</v>
      </c>
      <c r="L740" s="10" t="s">
        <v>124</v>
      </c>
      <c r="M740" s="10" t="s">
        <v>125</v>
      </c>
      <c r="N740" s="11">
        <v>16308.48</v>
      </c>
      <c r="O740" s="12">
        <v>6</v>
      </c>
      <c r="P740" s="13">
        <v>0</v>
      </c>
      <c r="Q740" s="19">
        <v>4916.1000000000004</v>
      </c>
      <c r="R740" s="45" t="str">
        <f t="shared" si="44"/>
        <v>OK</v>
      </c>
      <c r="S740" s="45">
        <f t="shared" si="45"/>
        <v>515.20400000000006</v>
      </c>
      <c r="T740" s="45">
        <f t="shared" si="46"/>
        <v>5</v>
      </c>
      <c r="U740" s="45">
        <f t="shared" si="47"/>
        <v>2576.0200000000004</v>
      </c>
    </row>
    <row r="741" spans="1:21" x14ac:dyDescent="0.3">
      <c r="A741" s="16" t="s">
        <v>587</v>
      </c>
      <c r="B741" s="31">
        <v>45297</v>
      </c>
      <c r="C741" s="31">
        <v>45304</v>
      </c>
      <c r="D741" s="2" t="s">
        <v>29</v>
      </c>
      <c r="E741" s="2" t="s">
        <v>588</v>
      </c>
      <c r="F741" s="4" t="s">
        <v>589</v>
      </c>
      <c r="G741" s="4" t="s">
        <v>42</v>
      </c>
      <c r="H741" s="4" t="s">
        <v>397</v>
      </c>
      <c r="I741" s="4" t="s">
        <v>33</v>
      </c>
      <c r="J741" s="4" t="s">
        <v>34</v>
      </c>
      <c r="K741" s="4" t="s">
        <v>25</v>
      </c>
      <c r="L741" s="4" t="s">
        <v>68</v>
      </c>
      <c r="M741" s="4" t="s">
        <v>590</v>
      </c>
      <c r="N741" s="5">
        <v>397.73</v>
      </c>
      <c r="O741" s="6">
        <v>4</v>
      </c>
      <c r="P741" s="7">
        <v>0.1</v>
      </c>
      <c r="Q741" s="18">
        <v>155.79</v>
      </c>
      <c r="R741" s="45" t="str">
        <f t="shared" si="44"/>
        <v>OK</v>
      </c>
      <c r="S741" s="45">
        <f t="shared" si="45"/>
        <v>515.20400000000006</v>
      </c>
      <c r="T741" s="45">
        <f t="shared" si="46"/>
        <v>5</v>
      </c>
      <c r="U741" s="45">
        <f t="shared" si="47"/>
        <v>2576.0200000000004</v>
      </c>
    </row>
    <row r="742" spans="1:21" x14ac:dyDescent="0.3">
      <c r="A742" s="17" t="s">
        <v>2223</v>
      </c>
      <c r="B742" s="32">
        <v>45297</v>
      </c>
      <c r="C742" s="32">
        <v>45303</v>
      </c>
      <c r="D742" s="8" t="s">
        <v>29</v>
      </c>
      <c r="E742" s="8" t="s">
        <v>240</v>
      </c>
      <c r="F742" s="10" t="s">
        <v>241</v>
      </c>
      <c r="G742" s="10" t="s">
        <v>42</v>
      </c>
      <c r="H742" s="10" t="s">
        <v>115</v>
      </c>
      <c r="I742" s="10" t="s">
        <v>116</v>
      </c>
      <c r="J742" s="10" t="s">
        <v>54</v>
      </c>
      <c r="K742" s="10" t="s">
        <v>25</v>
      </c>
      <c r="L742" s="10" t="s">
        <v>124</v>
      </c>
      <c r="M742" s="10" t="s">
        <v>2224</v>
      </c>
      <c r="N742" s="11">
        <v>377.99</v>
      </c>
      <c r="O742" s="12">
        <v>1</v>
      </c>
      <c r="P742" s="13">
        <v>0.5</v>
      </c>
      <c r="Q742" s="19">
        <v>-200.68</v>
      </c>
      <c r="R742" s="45" t="str">
        <f t="shared" si="44"/>
        <v>OK</v>
      </c>
      <c r="S742" s="45">
        <f t="shared" si="45"/>
        <v>515.20400000000006</v>
      </c>
      <c r="T742" s="45">
        <f t="shared" si="46"/>
        <v>5</v>
      </c>
      <c r="U742" s="45">
        <f t="shared" si="47"/>
        <v>2576.0200000000004</v>
      </c>
    </row>
    <row r="743" spans="1:21" x14ac:dyDescent="0.3">
      <c r="A743" s="16" t="s">
        <v>1530</v>
      </c>
      <c r="B743" s="31">
        <v>45298</v>
      </c>
      <c r="C743" s="31">
        <v>45302</v>
      </c>
      <c r="D743" s="2" t="s">
        <v>39</v>
      </c>
      <c r="E743" s="2" t="s">
        <v>169</v>
      </c>
      <c r="F743" s="4" t="s">
        <v>170</v>
      </c>
      <c r="G743" s="4" t="s">
        <v>21</v>
      </c>
      <c r="H743" s="4" t="s">
        <v>171</v>
      </c>
      <c r="I743" s="4" t="s">
        <v>172</v>
      </c>
      <c r="J743" s="4" t="s">
        <v>24</v>
      </c>
      <c r="K743" s="4" t="s">
        <v>45</v>
      </c>
      <c r="L743" s="4" t="s">
        <v>99</v>
      </c>
      <c r="M743" s="4" t="s">
        <v>1531</v>
      </c>
      <c r="N743" s="5">
        <v>89.51</v>
      </c>
      <c r="O743" s="6">
        <v>2</v>
      </c>
      <c r="P743" s="7">
        <v>0.4</v>
      </c>
      <c r="Q743" s="18">
        <v>-22.83</v>
      </c>
      <c r="R743" s="45" t="str">
        <f t="shared" si="44"/>
        <v>OK</v>
      </c>
      <c r="S743" s="45">
        <f t="shared" si="45"/>
        <v>515.20400000000006</v>
      </c>
      <c r="T743" s="45">
        <f t="shared" si="46"/>
        <v>5</v>
      </c>
      <c r="U743" s="45">
        <f t="shared" si="47"/>
        <v>2576.0200000000004</v>
      </c>
    </row>
    <row r="744" spans="1:21" x14ac:dyDescent="0.3">
      <c r="A744" s="16" t="s">
        <v>1647</v>
      </c>
      <c r="B744" s="31">
        <v>45299</v>
      </c>
      <c r="C744" s="31">
        <v>45302</v>
      </c>
      <c r="D744" s="2" t="s">
        <v>18</v>
      </c>
      <c r="E744" s="2" t="s">
        <v>420</v>
      </c>
      <c r="F744" s="4" t="s">
        <v>421</v>
      </c>
      <c r="G744" s="4" t="s">
        <v>51</v>
      </c>
      <c r="H744" s="4" t="s">
        <v>422</v>
      </c>
      <c r="I744" s="4" t="s">
        <v>423</v>
      </c>
      <c r="J744" s="4" t="s">
        <v>88</v>
      </c>
      <c r="K744" s="4" t="s">
        <v>25</v>
      </c>
      <c r="L744" s="4" t="s">
        <v>124</v>
      </c>
      <c r="M744" s="4" t="s">
        <v>1648</v>
      </c>
      <c r="N744" s="5">
        <v>15156.06</v>
      </c>
      <c r="O744" s="6">
        <v>5</v>
      </c>
      <c r="P744" s="7">
        <v>0.05</v>
      </c>
      <c r="Q744" s="18">
        <v>4409.49</v>
      </c>
      <c r="R744" s="45" t="str">
        <f t="shared" si="44"/>
        <v>OK</v>
      </c>
      <c r="S744" s="45">
        <f t="shared" si="45"/>
        <v>515.20400000000006</v>
      </c>
      <c r="T744" s="45">
        <f t="shared" si="46"/>
        <v>5</v>
      </c>
      <c r="U744" s="45">
        <f t="shared" si="47"/>
        <v>2576.0200000000004</v>
      </c>
    </row>
    <row r="745" spans="1:21" x14ac:dyDescent="0.3">
      <c r="A745" s="16" t="s">
        <v>1432</v>
      </c>
      <c r="B745" s="31">
        <v>45302</v>
      </c>
      <c r="C745" s="31">
        <v>45306</v>
      </c>
      <c r="D745" s="2" t="s">
        <v>73</v>
      </c>
      <c r="E745" s="2" t="s">
        <v>463</v>
      </c>
      <c r="F745" s="4" t="s">
        <v>464</v>
      </c>
      <c r="G745" s="4" t="s">
        <v>51</v>
      </c>
      <c r="H745" s="4" t="s">
        <v>465</v>
      </c>
      <c r="I745" s="4" t="s">
        <v>423</v>
      </c>
      <c r="J745" s="4" t="s">
        <v>88</v>
      </c>
      <c r="K745" s="4" t="s">
        <v>25</v>
      </c>
      <c r="L745" s="4" t="s">
        <v>124</v>
      </c>
      <c r="M745" s="4" t="s">
        <v>1433</v>
      </c>
      <c r="N745" s="5">
        <v>9090.36</v>
      </c>
      <c r="O745" s="6">
        <v>9</v>
      </c>
      <c r="P745" s="7">
        <v>0</v>
      </c>
      <c r="Q745" s="18">
        <v>2099.62</v>
      </c>
      <c r="R745" s="45" t="str">
        <f t="shared" si="44"/>
        <v>OK</v>
      </c>
      <c r="S745" s="45">
        <f t="shared" si="45"/>
        <v>515.20400000000006</v>
      </c>
      <c r="T745" s="45">
        <f t="shared" si="46"/>
        <v>5</v>
      </c>
      <c r="U745" s="45">
        <f t="shared" si="47"/>
        <v>2576.0200000000004</v>
      </c>
    </row>
    <row r="746" spans="1:21" x14ac:dyDescent="0.3">
      <c r="A746" s="17" t="s">
        <v>2021</v>
      </c>
      <c r="B746" s="32">
        <v>45302</v>
      </c>
      <c r="C746" s="32">
        <v>45304</v>
      </c>
      <c r="D746" s="8" t="s">
        <v>39</v>
      </c>
      <c r="E746" s="8" t="s">
        <v>1439</v>
      </c>
      <c r="F746" s="10" t="s">
        <v>2022</v>
      </c>
      <c r="G746" s="10" t="s">
        <v>51</v>
      </c>
      <c r="H746" s="10" t="s">
        <v>305</v>
      </c>
      <c r="I746" s="10" t="s">
        <v>306</v>
      </c>
      <c r="J746" s="10" t="s">
        <v>34</v>
      </c>
      <c r="K746" s="10" t="s">
        <v>25</v>
      </c>
      <c r="L746" s="10" t="s">
        <v>26</v>
      </c>
      <c r="M746" s="10" t="s">
        <v>2023</v>
      </c>
      <c r="N746" s="11">
        <v>3343.41</v>
      </c>
      <c r="O746" s="12">
        <v>3</v>
      </c>
      <c r="P746" s="13">
        <v>0</v>
      </c>
      <c r="Q746" s="19">
        <v>921.23</v>
      </c>
      <c r="R746" s="45" t="str">
        <f t="shared" si="44"/>
        <v>OK</v>
      </c>
      <c r="S746" s="45">
        <f t="shared" si="45"/>
        <v>515.20400000000006</v>
      </c>
      <c r="T746" s="45">
        <f t="shared" si="46"/>
        <v>5</v>
      </c>
      <c r="U746" s="45">
        <f t="shared" si="47"/>
        <v>2576.0200000000004</v>
      </c>
    </row>
    <row r="747" spans="1:21" x14ac:dyDescent="0.3">
      <c r="A747" s="16" t="s">
        <v>1894</v>
      </c>
      <c r="B747" s="31">
        <v>45304</v>
      </c>
      <c r="C747" s="31">
        <v>45309</v>
      </c>
      <c r="D747" s="2" t="s">
        <v>29</v>
      </c>
      <c r="E747" s="2" t="s">
        <v>143</v>
      </c>
      <c r="F747" s="4" t="s">
        <v>144</v>
      </c>
      <c r="G747" s="4" t="s">
        <v>21</v>
      </c>
      <c r="H747" s="4" t="s">
        <v>145</v>
      </c>
      <c r="I747" s="4" t="s">
        <v>140</v>
      </c>
      <c r="J747" s="4" t="s">
        <v>24</v>
      </c>
      <c r="K747" s="4" t="s">
        <v>25</v>
      </c>
      <c r="L747" s="4" t="s">
        <v>74</v>
      </c>
      <c r="M747" s="4" t="s">
        <v>1895</v>
      </c>
      <c r="N747" s="5">
        <v>1222.47</v>
      </c>
      <c r="O747" s="6">
        <v>5</v>
      </c>
      <c r="P747" s="7">
        <v>0.4</v>
      </c>
      <c r="Q747" s="18">
        <v>10.23</v>
      </c>
      <c r="R747" s="45" t="str">
        <f t="shared" si="44"/>
        <v>OK</v>
      </c>
      <c r="S747" s="45">
        <f t="shared" si="45"/>
        <v>515.20400000000006</v>
      </c>
      <c r="T747" s="45">
        <f t="shared" si="46"/>
        <v>5</v>
      </c>
      <c r="U747" s="45">
        <f t="shared" si="47"/>
        <v>2576.0200000000004</v>
      </c>
    </row>
    <row r="748" spans="1:21" x14ac:dyDescent="0.3">
      <c r="A748" s="16" t="s">
        <v>2201</v>
      </c>
      <c r="B748" s="31">
        <v>45305</v>
      </c>
      <c r="C748" s="31">
        <v>45308</v>
      </c>
      <c r="D748" s="2" t="s">
        <v>18</v>
      </c>
      <c r="E748" s="2" t="s">
        <v>175</v>
      </c>
      <c r="F748" s="4" t="s">
        <v>176</v>
      </c>
      <c r="G748" s="4" t="s">
        <v>51</v>
      </c>
      <c r="H748" s="4" t="s">
        <v>177</v>
      </c>
      <c r="I748" s="4" t="s">
        <v>178</v>
      </c>
      <c r="J748" s="4" t="s">
        <v>24</v>
      </c>
      <c r="K748" s="4" t="s">
        <v>35</v>
      </c>
      <c r="L748" s="4" t="s">
        <v>36</v>
      </c>
      <c r="M748" s="4" t="s">
        <v>2202</v>
      </c>
      <c r="N748" s="5">
        <v>126.5</v>
      </c>
      <c r="O748" s="6">
        <v>2</v>
      </c>
      <c r="P748" s="7">
        <v>0</v>
      </c>
      <c r="Q748" s="18">
        <v>49.73</v>
      </c>
      <c r="R748" s="45" t="str">
        <f t="shared" si="44"/>
        <v>OK</v>
      </c>
      <c r="S748" s="45">
        <f t="shared" si="45"/>
        <v>515.20400000000006</v>
      </c>
      <c r="T748" s="45">
        <f t="shared" si="46"/>
        <v>5</v>
      </c>
      <c r="U748" s="45">
        <f t="shared" si="47"/>
        <v>2576.0200000000004</v>
      </c>
    </row>
    <row r="749" spans="1:21" x14ac:dyDescent="0.3">
      <c r="A749" s="16" t="s">
        <v>1601</v>
      </c>
      <c r="B749" s="31">
        <v>45307</v>
      </c>
      <c r="C749" s="31">
        <v>45310</v>
      </c>
      <c r="D749" s="2" t="s">
        <v>73</v>
      </c>
      <c r="E749" s="2" t="s">
        <v>547</v>
      </c>
      <c r="F749" s="4" t="s">
        <v>548</v>
      </c>
      <c r="G749" s="4" t="s">
        <v>51</v>
      </c>
      <c r="H749" s="4" t="s">
        <v>156</v>
      </c>
      <c r="I749" s="4" t="s">
        <v>157</v>
      </c>
      <c r="J749" s="4" t="s">
        <v>88</v>
      </c>
      <c r="K749" s="4" t="s">
        <v>45</v>
      </c>
      <c r="L749" s="4" t="s">
        <v>117</v>
      </c>
      <c r="M749" s="4" t="s">
        <v>1602</v>
      </c>
      <c r="N749" s="5">
        <v>711.4</v>
      </c>
      <c r="O749" s="6">
        <v>5</v>
      </c>
      <c r="P749" s="7">
        <v>0.5</v>
      </c>
      <c r="Q749" s="18">
        <v>-274.14999999999998</v>
      </c>
      <c r="R749" s="45" t="str">
        <f t="shared" si="44"/>
        <v>OK</v>
      </c>
      <c r="S749" s="45">
        <f t="shared" si="45"/>
        <v>612.38000000000011</v>
      </c>
      <c r="T749" s="45">
        <f t="shared" si="46"/>
        <v>4</v>
      </c>
      <c r="U749" s="45">
        <f t="shared" si="47"/>
        <v>2449.5200000000004</v>
      </c>
    </row>
    <row r="750" spans="1:21" x14ac:dyDescent="0.3">
      <c r="A750" s="17" t="s">
        <v>2387</v>
      </c>
      <c r="B750" s="32">
        <v>45309</v>
      </c>
      <c r="C750" s="32">
        <v>45311</v>
      </c>
      <c r="D750" s="8" t="s">
        <v>39</v>
      </c>
      <c r="E750" s="8" t="s">
        <v>181</v>
      </c>
      <c r="F750" s="10" t="s">
        <v>182</v>
      </c>
      <c r="G750" s="10" t="s">
        <v>21</v>
      </c>
      <c r="H750" s="10" t="s">
        <v>183</v>
      </c>
      <c r="I750" s="10" t="s">
        <v>184</v>
      </c>
      <c r="J750" s="10" t="s">
        <v>54</v>
      </c>
      <c r="K750" s="10" t="s">
        <v>25</v>
      </c>
      <c r="L750" s="10" t="s">
        <v>26</v>
      </c>
      <c r="M750" s="10" t="s">
        <v>2388</v>
      </c>
      <c r="N750" s="11">
        <v>5026.8999999999996</v>
      </c>
      <c r="O750" s="12">
        <v>10</v>
      </c>
      <c r="P750" s="13">
        <v>0</v>
      </c>
      <c r="Q750" s="19">
        <v>604.51</v>
      </c>
      <c r="R750" s="45" t="str">
        <f t="shared" si="44"/>
        <v>OK</v>
      </c>
      <c r="S750" s="45">
        <f t="shared" si="45"/>
        <v>612.38000000000011</v>
      </c>
      <c r="T750" s="45">
        <f t="shared" si="46"/>
        <v>4</v>
      </c>
      <c r="U750" s="45">
        <f t="shared" si="47"/>
        <v>2449.5200000000004</v>
      </c>
    </row>
    <row r="751" spans="1:21" x14ac:dyDescent="0.3">
      <c r="A751" s="16" t="s">
        <v>1115</v>
      </c>
      <c r="B751" s="31">
        <v>45310</v>
      </c>
      <c r="C751" s="31">
        <v>45314</v>
      </c>
      <c r="D751" s="2" t="s">
        <v>73</v>
      </c>
      <c r="E751" s="2" t="s">
        <v>293</v>
      </c>
      <c r="F751" s="4" t="s">
        <v>294</v>
      </c>
      <c r="G751" s="4" t="s">
        <v>21</v>
      </c>
      <c r="H751" s="4" t="s">
        <v>193</v>
      </c>
      <c r="I751" s="4" t="s">
        <v>194</v>
      </c>
      <c r="J751" s="4" t="s">
        <v>34</v>
      </c>
      <c r="K751" s="4" t="s">
        <v>35</v>
      </c>
      <c r="L751" s="4" t="s">
        <v>89</v>
      </c>
      <c r="M751" s="4" t="s">
        <v>1116</v>
      </c>
      <c r="N751" s="5">
        <v>404.82</v>
      </c>
      <c r="O751" s="6">
        <v>2</v>
      </c>
      <c r="P751" s="7">
        <v>0</v>
      </c>
      <c r="Q751" s="18">
        <v>157.87</v>
      </c>
      <c r="R751" s="45" t="str">
        <f t="shared" si="44"/>
        <v>OK</v>
      </c>
      <c r="S751" s="45">
        <f t="shared" si="45"/>
        <v>612.38000000000011</v>
      </c>
      <c r="T751" s="45">
        <f t="shared" si="46"/>
        <v>4</v>
      </c>
      <c r="U751" s="45">
        <f t="shared" si="47"/>
        <v>2449.5200000000004</v>
      </c>
    </row>
    <row r="752" spans="1:21" x14ac:dyDescent="0.3">
      <c r="A752" s="16" t="s">
        <v>1624</v>
      </c>
      <c r="B752" s="31">
        <v>45312</v>
      </c>
      <c r="C752" s="31">
        <v>45315</v>
      </c>
      <c r="D752" s="2" t="s">
        <v>18</v>
      </c>
      <c r="E752" s="2" t="s">
        <v>874</v>
      </c>
      <c r="F752" s="4" t="s">
        <v>875</v>
      </c>
      <c r="G752" s="4" t="s">
        <v>51</v>
      </c>
      <c r="H752" s="4" t="s">
        <v>59</v>
      </c>
      <c r="I752" s="4" t="s">
        <v>60</v>
      </c>
      <c r="J752" s="4" t="s">
        <v>54</v>
      </c>
      <c r="K752" s="4" t="s">
        <v>45</v>
      </c>
      <c r="L752" s="4" t="s">
        <v>46</v>
      </c>
      <c r="M752" s="4" t="s">
        <v>1625</v>
      </c>
      <c r="N752" s="5">
        <v>2185.5700000000002</v>
      </c>
      <c r="O752" s="6">
        <v>5</v>
      </c>
      <c r="P752" s="7">
        <v>0.3</v>
      </c>
      <c r="Q752" s="18">
        <v>69.430000000000007</v>
      </c>
      <c r="R752" s="45" t="str">
        <f t="shared" si="44"/>
        <v>OK</v>
      </c>
      <c r="S752" s="45">
        <f t="shared" si="45"/>
        <v>612.38000000000011</v>
      </c>
      <c r="T752" s="45">
        <f t="shared" si="46"/>
        <v>4</v>
      </c>
      <c r="U752" s="45">
        <f t="shared" si="47"/>
        <v>2449.5200000000004</v>
      </c>
    </row>
    <row r="753" spans="1:21" x14ac:dyDescent="0.3">
      <c r="A753" s="17" t="s">
        <v>1455</v>
      </c>
      <c r="B753" s="32">
        <v>45313</v>
      </c>
      <c r="C753" s="32">
        <v>45318</v>
      </c>
      <c r="D753" s="8" t="s">
        <v>73</v>
      </c>
      <c r="E753" s="8" t="s">
        <v>265</v>
      </c>
      <c r="F753" s="10" t="s">
        <v>266</v>
      </c>
      <c r="G753" s="10" t="s">
        <v>21</v>
      </c>
      <c r="H753" s="10" t="s">
        <v>171</v>
      </c>
      <c r="I753" s="10" t="s">
        <v>172</v>
      </c>
      <c r="J753" s="10" t="s">
        <v>24</v>
      </c>
      <c r="K753" s="10" t="s">
        <v>35</v>
      </c>
      <c r="L753" s="10" t="s">
        <v>295</v>
      </c>
      <c r="M753" s="10" t="s">
        <v>1456</v>
      </c>
      <c r="N753" s="11">
        <v>290.58</v>
      </c>
      <c r="O753" s="12">
        <v>7</v>
      </c>
      <c r="P753" s="13">
        <v>0.2</v>
      </c>
      <c r="Q753" s="19">
        <v>115.85</v>
      </c>
      <c r="R753" s="45" t="str">
        <f t="shared" si="44"/>
        <v>OK</v>
      </c>
      <c r="S753" s="45">
        <f t="shared" si="45"/>
        <v>612.38000000000011</v>
      </c>
      <c r="T753" s="45">
        <f t="shared" si="46"/>
        <v>4</v>
      </c>
      <c r="U753" s="45">
        <f t="shared" si="47"/>
        <v>2449.5200000000004</v>
      </c>
    </row>
    <row r="754" spans="1:21" x14ac:dyDescent="0.3">
      <c r="A754" s="17" t="s">
        <v>1599</v>
      </c>
      <c r="B754" s="32">
        <v>45314</v>
      </c>
      <c r="C754" s="32">
        <v>45318</v>
      </c>
      <c r="D754" s="8" t="s">
        <v>73</v>
      </c>
      <c r="E754" s="8" t="s">
        <v>364</v>
      </c>
      <c r="F754" s="10" t="s">
        <v>365</v>
      </c>
      <c r="G754" s="10" t="s">
        <v>42</v>
      </c>
      <c r="H754" s="10" t="s">
        <v>193</v>
      </c>
      <c r="I754" s="10" t="s">
        <v>194</v>
      </c>
      <c r="J754" s="10" t="s">
        <v>34</v>
      </c>
      <c r="K754" s="10" t="s">
        <v>35</v>
      </c>
      <c r="L754" s="10" t="s">
        <v>295</v>
      </c>
      <c r="M754" s="10" t="s">
        <v>1600</v>
      </c>
      <c r="N754" s="11">
        <v>200.88</v>
      </c>
      <c r="O754" s="12">
        <v>6</v>
      </c>
      <c r="P754" s="13">
        <v>0.5</v>
      </c>
      <c r="Q754" s="19">
        <v>16.670000000000002</v>
      </c>
      <c r="R754" s="45" t="str">
        <f t="shared" si="44"/>
        <v>OK</v>
      </c>
      <c r="S754" s="45">
        <f t="shared" si="45"/>
        <v>612.38000000000011</v>
      </c>
      <c r="T754" s="45">
        <f t="shared" si="46"/>
        <v>4</v>
      </c>
      <c r="U754" s="45">
        <f t="shared" si="47"/>
        <v>2449.5200000000004</v>
      </c>
    </row>
    <row r="755" spans="1:21" x14ac:dyDescent="0.3">
      <c r="A755" s="16" t="s">
        <v>1878</v>
      </c>
      <c r="B755" s="31">
        <v>45315</v>
      </c>
      <c r="C755" s="31">
        <v>45317</v>
      </c>
      <c r="D755" s="2" t="s">
        <v>39</v>
      </c>
      <c r="E755" s="2" t="s">
        <v>309</v>
      </c>
      <c r="F755" s="4" t="s">
        <v>310</v>
      </c>
      <c r="G755" s="4" t="s">
        <v>21</v>
      </c>
      <c r="H755" s="4" t="s">
        <v>115</v>
      </c>
      <c r="I755" s="4" t="s">
        <v>116</v>
      </c>
      <c r="J755" s="4" t="s">
        <v>54</v>
      </c>
      <c r="K755" s="4" t="s">
        <v>35</v>
      </c>
      <c r="L755" s="4" t="s">
        <v>36</v>
      </c>
      <c r="M755" s="4" t="s">
        <v>1879</v>
      </c>
      <c r="N755" s="5">
        <v>377.16</v>
      </c>
      <c r="O755" s="6">
        <v>4</v>
      </c>
      <c r="P755" s="7">
        <v>0.4</v>
      </c>
      <c r="Q755" s="18">
        <v>35.78</v>
      </c>
      <c r="R755" s="45" t="str">
        <f t="shared" si="44"/>
        <v>OK</v>
      </c>
      <c r="S755" s="45">
        <f t="shared" si="45"/>
        <v>612.38000000000011</v>
      </c>
      <c r="T755" s="45">
        <f t="shared" si="46"/>
        <v>4</v>
      </c>
      <c r="U755" s="45">
        <f t="shared" si="47"/>
        <v>2449.5200000000004</v>
      </c>
    </row>
    <row r="756" spans="1:21" x14ac:dyDescent="0.3">
      <c r="A756" s="17" t="s">
        <v>394</v>
      </c>
      <c r="B756" s="32">
        <v>45316</v>
      </c>
      <c r="C756" s="32">
        <v>45320</v>
      </c>
      <c r="D756" s="8" t="s">
        <v>39</v>
      </c>
      <c r="E756" s="8" t="s">
        <v>395</v>
      </c>
      <c r="F756" s="10" t="s">
        <v>396</v>
      </c>
      <c r="G756" s="10" t="s">
        <v>21</v>
      </c>
      <c r="H756" s="10" t="s">
        <v>397</v>
      </c>
      <c r="I756" s="10" t="s">
        <v>33</v>
      </c>
      <c r="J756" s="10" t="s">
        <v>34</v>
      </c>
      <c r="K756" s="10" t="s">
        <v>35</v>
      </c>
      <c r="L756" s="10" t="s">
        <v>295</v>
      </c>
      <c r="M756" s="10" t="s">
        <v>398</v>
      </c>
      <c r="N756" s="11">
        <v>117.65</v>
      </c>
      <c r="O756" s="12">
        <v>3</v>
      </c>
      <c r="P756" s="13">
        <v>0.05</v>
      </c>
      <c r="Q756" s="19">
        <v>48.96</v>
      </c>
      <c r="R756" s="45" t="str">
        <f t="shared" si="44"/>
        <v>OK</v>
      </c>
      <c r="S756" s="45">
        <f t="shared" si="45"/>
        <v>612.38000000000011</v>
      </c>
      <c r="T756" s="45">
        <f t="shared" si="46"/>
        <v>4</v>
      </c>
      <c r="U756" s="45">
        <f t="shared" si="47"/>
        <v>2449.5200000000004</v>
      </c>
    </row>
    <row r="757" spans="1:21" x14ac:dyDescent="0.3">
      <c r="A757" s="17" t="s">
        <v>2334</v>
      </c>
      <c r="B757" s="32">
        <v>45316</v>
      </c>
      <c r="C757" s="32">
        <v>45317</v>
      </c>
      <c r="D757" s="8" t="s">
        <v>18</v>
      </c>
      <c r="E757" s="8" t="s">
        <v>1300</v>
      </c>
      <c r="F757" s="10" t="s">
        <v>1301</v>
      </c>
      <c r="G757" s="10" t="s">
        <v>51</v>
      </c>
      <c r="H757" s="10" t="s">
        <v>319</v>
      </c>
      <c r="I757" s="10" t="s">
        <v>194</v>
      </c>
      <c r="J757" s="10" t="s">
        <v>34</v>
      </c>
      <c r="K757" s="10" t="s">
        <v>25</v>
      </c>
      <c r="L757" s="10" t="s">
        <v>74</v>
      </c>
      <c r="M757" s="10" t="s">
        <v>2335</v>
      </c>
      <c r="N757" s="11">
        <v>2309.04</v>
      </c>
      <c r="O757" s="12">
        <v>6</v>
      </c>
      <c r="P757" s="13">
        <v>0</v>
      </c>
      <c r="Q757" s="19">
        <v>1010.45</v>
      </c>
      <c r="R757" s="45" t="str">
        <f t="shared" si="44"/>
        <v>OK</v>
      </c>
      <c r="S757" s="45">
        <f t="shared" si="45"/>
        <v>612.38000000000011</v>
      </c>
      <c r="T757" s="45">
        <f t="shared" si="46"/>
        <v>4</v>
      </c>
      <c r="U757" s="45">
        <f t="shared" si="47"/>
        <v>2449.5200000000004</v>
      </c>
    </row>
    <row r="758" spans="1:21" x14ac:dyDescent="0.3">
      <c r="A758" s="16" t="s">
        <v>1502</v>
      </c>
      <c r="B758" s="31">
        <v>45318</v>
      </c>
      <c r="C758" s="31">
        <v>45321</v>
      </c>
      <c r="D758" s="2" t="s">
        <v>73</v>
      </c>
      <c r="E758" s="2" t="s">
        <v>57</v>
      </c>
      <c r="F758" s="4" t="s">
        <v>58</v>
      </c>
      <c r="G758" s="4" t="s">
        <v>42</v>
      </c>
      <c r="H758" s="4" t="s">
        <v>59</v>
      </c>
      <c r="I758" s="4" t="s">
        <v>60</v>
      </c>
      <c r="J758" s="4" t="s">
        <v>54</v>
      </c>
      <c r="K758" s="4" t="s">
        <v>45</v>
      </c>
      <c r="L758" s="4" t="s">
        <v>61</v>
      </c>
      <c r="M758" s="4" t="s">
        <v>1503</v>
      </c>
      <c r="N758" s="5">
        <v>2531.04</v>
      </c>
      <c r="O758" s="6">
        <v>10</v>
      </c>
      <c r="P758" s="7">
        <v>0.4</v>
      </c>
      <c r="Q758" s="18">
        <v>-1233.95</v>
      </c>
      <c r="R758" s="45" t="str">
        <f t="shared" si="44"/>
        <v>OK</v>
      </c>
      <c r="S758" s="45">
        <f t="shared" si="45"/>
        <v>612.38000000000011</v>
      </c>
      <c r="T758" s="45">
        <f t="shared" si="46"/>
        <v>4</v>
      </c>
      <c r="U758" s="45">
        <f t="shared" si="47"/>
        <v>2449.5200000000004</v>
      </c>
    </row>
    <row r="759" spans="1:21" x14ac:dyDescent="0.3">
      <c r="A759" s="16" t="s">
        <v>826</v>
      </c>
      <c r="B759" s="31">
        <v>45319</v>
      </c>
      <c r="C759" s="31">
        <v>45321</v>
      </c>
      <c r="D759" s="2" t="s">
        <v>18</v>
      </c>
      <c r="E759" s="2" t="s">
        <v>827</v>
      </c>
      <c r="F759" s="4" t="s">
        <v>828</v>
      </c>
      <c r="G759" s="4" t="s">
        <v>51</v>
      </c>
      <c r="H759" s="4" t="s">
        <v>319</v>
      </c>
      <c r="I759" s="4" t="s">
        <v>194</v>
      </c>
      <c r="J759" s="4" t="s">
        <v>34</v>
      </c>
      <c r="K759" s="4" t="s">
        <v>45</v>
      </c>
      <c r="L759" s="4" t="s">
        <v>61</v>
      </c>
      <c r="M759" s="4" t="s">
        <v>829</v>
      </c>
      <c r="N759" s="5">
        <v>3409.6</v>
      </c>
      <c r="O759" s="6">
        <v>5</v>
      </c>
      <c r="P759" s="7">
        <v>0</v>
      </c>
      <c r="Q759" s="18">
        <v>73.069999999999993</v>
      </c>
      <c r="R759" s="45" t="str">
        <f t="shared" si="44"/>
        <v>OK</v>
      </c>
      <c r="S759" s="45">
        <f t="shared" si="45"/>
        <v>612.38000000000011</v>
      </c>
      <c r="T759" s="45">
        <f t="shared" si="46"/>
        <v>4</v>
      </c>
      <c r="U759" s="45">
        <f t="shared" si="47"/>
        <v>2449.5200000000004</v>
      </c>
    </row>
    <row r="760" spans="1:21" x14ac:dyDescent="0.3">
      <c r="A760" s="16" t="s">
        <v>1000</v>
      </c>
      <c r="B760" s="31">
        <v>45324</v>
      </c>
      <c r="C760" s="31">
        <v>45330</v>
      </c>
      <c r="D760" s="2" t="s">
        <v>29</v>
      </c>
      <c r="E760" s="2" t="s">
        <v>1001</v>
      </c>
      <c r="F760" s="4" t="s">
        <v>1002</v>
      </c>
      <c r="G760" s="4" t="s">
        <v>21</v>
      </c>
      <c r="H760" s="4" t="s">
        <v>59</v>
      </c>
      <c r="I760" s="4" t="s">
        <v>60</v>
      </c>
      <c r="J760" s="4" t="s">
        <v>54</v>
      </c>
      <c r="K760" s="4" t="s">
        <v>45</v>
      </c>
      <c r="L760" s="4" t="s">
        <v>99</v>
      </c>
      <c r="M760" s="4" t="s">
        <v>1003</v>
      </c>
      <c r="N760" s="5">
        <v>499.38</v>
      </c>
      <c r="O760" s="6">
        <v>7</v>
      </c>
      <c r="P760" s="7">
        <v>0</v>
      </c>
      <c r="Q760" s="18">
        <v>139.15</v>
      </c>
      <c r="R760" s="45" t="str">
        <f t="shared" si="44"/>
        <v>OK</v>
      </c>
      <c r="S760" s="45">
        <f t="shared" si="45"/>
        <v>612.38000000000011</v>
      </c>
      <c r="T760" s="45">
        <f t="shared" si="46"/>
        <v>4</v>
      </c>
      <c r="U760" s="45">
        <f t="shared" si="47"/>
        <v>2449.5200000000004</v>
      </c>
    </row>
    <row r="761" spans="1:21" x14ac:dyDescent="0.3">
      <c r="A761" s="17" t="s">
        <v>1492</v>
      </c>
      <c r="B761" s="32">
        <v>45326</v>
      </c>
      <c r="C761" s="32">
        <v>45329</v>
      </c>
      <c r="D761" s="8" t="s">
        <v>73</v>
      </c>
      <c r="E761" s="8" t="s">
        <v>350</v>
      </c>
      <c r="F761" s="10" t="s">
        <v>351</v>
      </c>
      <c r="G761" s="10" t="s">
        <v>42</v>
      </c>
      <c r="H761" s="10" t="s">
        <v>352</v>
      </c>
      <c r="I761" s="10" t="s">
        <v>306</v>
      </c>
      <c r="J761" s="10" t="s">
        <v>34</v>
      </c>
      <c r="K761" s="10" t="s">
        <v>45</v>
      </c>
      <c r="L761" s="10" t="s">
        <v>61</v>
      </c>
      <c r="M761" s="10" t="s">
        <v>1493</v>
      </c>
      <c r="N761" s="11">
        <v>3615.93</v>
      </c>
      <c r="O761" s="12">
        <v>9</v>
      </c>
      <c r="P761" s="13">
        <v>0.15</v>
      </c>
      <c r="Q761" s="19">
        <v>40.28</v>
      </c>
      <c r="R761" s="45" t="str">
        <f t="shared" si="44"/>
        <v>OK</v>
      </c>
      <c r="S761" s="45">
        <f t="shared" si="45"/>
        <v>612.38000000000011</v>
      </c>
      <c r="T761" s="45">
        <f t="shared" si="46"/>
        <v>4</v>
      </c>
      <c r="U761" s="45">
        <f t="shared" si="47"/>
        <v>2449.5200000000004</v>
      </c>
    </row>
    <row r="762" spans="1:21" x14ac:dyDescent="0.3">
      <c r="A762" s="17" t="s">
        <v>1997</v>
      </c>
      <c r="B762" s="32">
        <v>45330</v>
      </c>
      <c r="C762" s="32">
        <v>45333</v>
      </c>
      <c r="D762" s="8" t="s">
        <v>73</v>
      </c>
      <c r="E762" s="8" t="s">
        <v>688</v>
      </c>
      <c r="F762" s="10" t="s">
        <v>689</v>
      </c>
      <c r="G762" s="10" t="s">
        <v>42</v>
      </c>
      <c r="H762" s="10" t="s">
        <v>438</v>
      </c>
      <c r="I762" s="10" t="s">
        <v>157</v>
      </c>
      <c r="J762" s="10" t="s">
        <v>88</v>
      </c>
      <c r="K762" s="10" t="s">
        <v>35</v>
      </c>
      <c r="L762" s="10" t="s">
        <v>166</v>
      </c>
      <c r="M762" s="10" t="s">
        <v>1998</v>
      </c>
      <c r="N762" s="11">
        <v>301.26</v>
      </c>
      <c r="O762" s="12">
        <v>9</v>
      </c>
      <c r="P762" s="13">
        <v>0.15</v>
      </c>
      <c r="Q762" s="19">
        <v>41.15</v>
      </c>
      <c r="R762" s="45" t="str">
        <f t="shared" si="44"/>
        <v>OK</v>
      </c>
      <c r="S762" s="45">
        <f t="shared" si="45"/>
        <v>612.38000000000011</v>
      </c>
      <c r="T762" s="45">
        <f t="shared" si="46"/>
        <v>4</v>
      </c>
      <c r="U762" s="45">
        <f t="shared" si="47"/>
        <v>2449.5200000000004</v>
      </c>
    </row>
    <row r="763" spans="1:21" x14ac:dyDescent="0.3">
      <c r="A763" s="16" t="s">
        <v>637</v>
      </c>
      <c r="B763" s="31">
        <v>45331</v>
      </c>
      <c r="C763" s="31">
        <v>45334</v>
      </c>
      <c r="D763" s="2" t="s">
        <v>39</v>
      </c>
      <c r="E763" s="2" t="s">
        <v>175</v>
      </c>
      <c r="F763" s="4" t="s">
        <v>176</v>
      </c>
      <c r="G763" s="4" t="s">
        <v>51</v>
      </c>
      <c r="H763" s="4" t="s">
        <v>177</v>
      </c>
      <c r="I763" s="4" t="s">
        <v>178</v>
      </c>
      <c r="J763" s="4" t="s">
        <v>24</v>
      </c>
      <c r="K763" s="4" t="s">
        <v>45</v>
      </c>
      <c r="L763" s="4" t="s">
        <v>117</v>
      </c>
      <c r="M763" s="4" t="s">
        <v>638</v>
      </c>
      <c r="N763" s="5">
        <v>1359.79</v>
      </c>
      <c r="O763" s="6">
        <v>4</v>
      </c>
      <c r="P763" s="7">
        <v>0.3</v>
      </c>
      <c r="Q763" s="18">
        <v>108.38</v>
      </c>
      <c r="R763" s="45" t="str">
        <f t="shared" si="44"/>
        <v>OK</v>
      </c>
      <c r="S763" s="45">
        <f t="shared" si="45"/>
        <v>612.38000000000011</v>
      </c>
      <c r="T763" s="45">
        <f t="shared" si="46"/>
        <v>4</v>
      </c>
      <c r="U763" s="45">
        <f t="shared" si="47"/>
        <v>2449.5200000000004</v>
      </c>
    </row>
    <row r="764" spans="1:21" x14ac:dyDescent="0.3">
      <c r="A764" s="17" t="s">
        <v>204</v>
      </c>
      <c r="B764" s="32">
        <v>45332</v>
      </c>
      <c r="C764" s="32">
        <v>45335</v>
      </c>
      <c r="D764" s="8" t="s">
        <v>73</v>
      </c>
      <c r="E764" s="8" t="s">
        <v>205</v>
      </c>
      <c r="F764" s="10" t="s">
        <v>206</v>
      </c>
      <c r="G764" s="10" t="s">
        <v>51</v>
      </c>
      <c r="H764" s="10" t="s">
        <v>207</v>
      </c>
      <c r="I764" s="10" t="s">
        <v>60</v>
      </c>
      <c r="J764" s="10" t="s">
        <v>54</v>
      </c>
      <c r="K764" s="10" t="s">
        <v>45</v>
      </c>
      <c r="L764" s="10" t="s">
        <v>99</v>
      </c>
      <c r="M764" s="10" t="s">
        <v>208</v>
      </c>
      <c r="N764" s="11">
        <v>215.45</v>
      </c>
      <c r="O764" s="12">
        <v>5</v>
      </c>
      <c r="P764" s="13">
        <v>0</v>
      </c>
      <c r="Q764" s="19">
        <v>74.47</v>
      </c>
      <c r="R764" s="45" t="str">
        <f t="shared" si="44"/>
        <v>OK</v>
      </c>
      <c r="S764" s="45">
        <f t="shared" si="45"/>
        <v>363.24333333333334</v>
      </c>
      <c r="T764" s="45">
        <f t="shared" si="46"/>
        <v>3</v>
      </c>
      <c r="U764" s="45">
        <f t="shared" si="47"/>
        <v>1089.73</v>
      </c>
    </row>
    <row r="765" spans="1:21" x14ac:dyDescent="0.3">
      <c r="A765" s="17" t="s">
        <v>1516</v>
      </c>
      <c r="B765" s="32">
        <v>45338</v>
      </c>
      <c r="C765" s="32">
        <v>45339</v>
      </c>
      <c r="D765" s="8" t="s">
        <v>18</v>
      </c>
      <c r="E765" s="8" t="s">
        <v>707</v>
      </c>
      <c r="F765" s="10" t="s">
        <v>708</v>
      </c>
      <c r="G765" s="10" t="s">
        <v>51</v>
      </c>
      <c r="H765" s="10" t="s">
        <v>386</v>
      </c>
      <c r="I765" s="10" t="s">
        <v>347</v>
      </c>
      <c r="J765" s="10" t="s">
        <v>88</v>
      </c>
      <c r="K765" s="10" t="s">
        <v>35</v>
      </c>
      <c r="L765" s="10" t="s">
        <v>229</v>
      </c>
      <c r="M765" s="10" t="s">
        <v>1517</v>
      </c>
      <c r="N765" s="11">
        <v>131.94</v>
      </c>
      <c r="O765" s="12">
        <v>7</v>
      </c>
      <c r="P765" s="13">
        <v>0.05</v>
      </c>
      <c r="Q765" s="19">
        <v>61.65</v>
      </c>
      <c r="R765" s="45" t="str">
        <f t="shared" si="44"/>
        <v>OK</v>
      </c>
      <c r="S765" s="45">
        <f t="shared" si="45"/>
        <v>363.24333333333334</v>
      </c>
      <c r="T765" s="45">
        <f t="shared" si="46"/>
        <v>3</v>
      </c>
      <c r="U765" s="45">
        <f t="shared" si="47"/>
        <v>1089.73</v>
      </c>
    </row>
    <row r="766" spans="1:21" x14ac:dyDescent="0.3">
      <c r="A766" s="16" t="s">
        <v>2036</v>
      </c>
      <c r="B766" s="31">
        <v>45338</v>
      </c>
      <c r="C766" s="31">
        <v>45342</v>
      </c>
      <c r="D766" s="2" t="s">
        <v>73</v>
      </c>
      <c r="E766" s="2" t="s">
        <v>1047</v>
      </c>
      <c r="F766" s="4" t="s">
        <v>1048</v>
      </c>
      <c r="G766" s="4" t="s">
        <v>42</v>
      </c>
      <c r="H766" s="4" t="s">
        <v>79</v>
      </c>
      <c r="I766" s="4" t="s">
        <v>80</v>
      </c>
      <c r="J766" s="4" t="s">
        <v>54</v>
      </c>
      <c r="K766" s="4" t="s">
        <v>45</v>
      </c>
      <c r="L766" s="4" t="s">
        <v>61</v>
      </c>
      <c r="M766" s="4" t="s">
        <v>2037</v>
      </c>
      <c r="N766" s="5">
        <v>5988.89</v>
      </c>
      <c r="O766" s="6">
        <v>9</v>
      </c>
      <c r="P766" s="7">
        <v>0.2</v>
      </c>
      <c r="Q766" s="18">
        <v>-1308.9100000000001</v>
      </c>
      <c r="R766" s="45" t="str">
        <f t="shared" si="44"/>
        <v>OK</v>
      </c>
      <c r="S766" s="45">
        <f t="shared" si="45"/>
        <v>363.24333333333334</v>
      </c>
      <c r="T766" s="45">
        <f t="shared" si="46"/>
        <v>3</v>
      </c>
      <c r="U766" s="45">
        <f t="shared" si="47"/>
        <v>1089.73</v>
      </c>
    </row>
    <row r="767" spans="1:21" x14ac:dyDescent="0.3">
      <c r="A767" s="16" t="s">
        <v>56</v>
      </c>
      <c r="B767" s="31">
        <v>45340</v>
      </c>
      <c r="C767" s="31">
        <v>45346</v>
      </c>
      <c r="D767" s="2" t="s">
        <v>29</v>
      </c>
      <c r="E767" s="2" t="s">
        <v>57</v>
      </c>
      <c r="F767" s="4" t="s">
        <v>58</v>
      </c>
      <c r="G767" s="4" t="s">
        <v>42</v>
      </c>
      <c r="H767" s="4" t="s">
        <v>59</v>
      </c>
      <c r="I767" s="4" t="s">
        <v>60</v>
      </c>
      <c r="J767" s="4" t="s">
        <v>54</v>
      </c>
      <c r="K767" s="4" t="s">
        <v>45</v>
      </c>
      <c r="L767" s="4" t="s">
        <v>61</v>
      </c>
      <c r="M767" s="4" t="s">
        <v>62</v>
      </c>
      <c r="N767" s="5">
        <v>4762.0600000000004</v>
      </c>
      <c r="O767" s="6">
        <v>7</v>
      </c>
      <c r="P767" s="7">
        <v>1.47</v>
      </c>
      <c r="Q767" s="18">
        <v>299.81</v>
      </c>
      <c r="R767" s="45" t="str">
        <f t="shared" si="44"/>
        <v>OK</v>
      </c>
      <c r="S767" s="45">
        <f t="shared" si="45"/>
        <v>363.24333333333334</v>
      </c>
      <c r="T767" s="45">
        <f t="shared" si="46"/>
        <v>3</v>
      </c>
      <c r="U767" s="45">
        <f t="shared" si="47"/>
        <v>1089.73</v>
      </c>
    </row>
    <row r="768" spans="1:21" x14ac:dyDescent="0.3">
      <c r="A768" s="17" t="s">
        <v>669</v>
      </c>
      <c r="B768" s="32">
        <v>45341</v>
      </c>
      <c r="C768" s="32">
        <v>45345</v>
      </c>
      <c r="D768" s="8" t="s">
        <v>39</v>
      </c>
      <c r="E768" s="8" t="s">
        <v>670</v>
      </c>
      <c r="F768" s="10" t="s">
        <v>671</v>
      </c>
      <c r="G768" s="10" t="s">
        <v>21</v>
      </c>
      <c r="H768" s="10" t="s">
        <v>465</v>
      </c>
      <c r="I768" s="10" t="s">
        <v>423</v>
      </c>
      <c r="J768" s="10" t="s">
        <v>88</v>
      </c>
      <c r="K768" s="10" t="s">
        <v>25</v>
      </c>
      <c r="L768" s="10" t="s">
        <v>124</v>
      </c>
      <c r="M768" s="10" t="s">
        <v>672</v>
      </c>
      <c r="N768" s="11">
        <v>859.31</v>
      </c>
      <c r="O768" s="12">
        <v>1</v>
      </c>
      <c r="P768" s="13">
        <v>0.3</v>
      </c>
      <c r="Q768" s="19">
        <v>-101.96</v>
      </c>
      <c r="R768" s="45" t="str">
        <f t="shared" si="44"/>
        <v>OK</v>
      </c>
      <c r="S768" s="45">
        <f t="shared" si="45"/>
        <v>363.24333333333334</v>
      </c>
      <c r="T768" s="45">
        <f t="shared" si="46"/>
        <v>3</v>
      </c>
      <c r="U768" s="45">
        <f t="shared" si="47"/>
        <v>1089.73</v>
      </c>
    </row>
    <row r="769" spans="1:21" x14ac:dyDescent="0.3">
      <c r="A769" s="17" t="s">
        <v>1363</v>
      </c>
      <c r="B769" s="32">
        <v>45341</v>
      </c>
      <c r="C769" s="32">
        <v>45346</v>
      </c>
      <c r="D769" s="8" t="s">
        <v>73</v>
      </c>
      <c r="E769" s="8" t="s">
        <v>628</v>
      </c>
      <c r="F769" s="10" t="s">
        <v>629</v>
      </c>
      <c r="G769" s="10" t="s">
        <v>42</v>
      </c>
      <c r="H769" s="10" t="s">
        <v>32</v>
      </c>
      <c r="I769" s="10" t="s">
        <v>33</v>
      </c>
      <c r="J769" s="10" t="s">
        <v>34</v>
      </c>
      <c r="K769" s="10" t="s">
        <v>25</v>
      </c>
      <c r="L769" s="10" t="s">
        <v>124</v>
      </c>
      <c r="M769" s="10" t="s">
        <v>1364</v>
      </c>
      <c r="N769" s="11">
        <v>11096</v>
      </c>
      <c r="O769" s="12">
        <v>8</v>
      </c>
      <c r="P769" s="13">
        <v>0</v>
      </c>
      <c r="Q769" s="19"/>
      <c r="R769" s="45" t="str">
        <f t="shared" si="44"/>
        <v>OK</v>
      </c>
      <c r="S769" s="45">
        <f t="shared" si="45"/>
        <v>363.24333333333334</v>
      </c>
      <c r="T769" s="45">
        <f t="shared" si="46"/>
        <v>3</v>
      </c>
      <c r="U769" s="45">
        <f t="shared" si="47"/>
        <v>1089.73</v>
      </c>
    </row>
    <row r="770" spans="1:21" x14ac:dyDescent="0.3">
      <c r="A770" s="17" t="s">
        <v>1711</v>
      </c>
      <c r="B770" s="32">
        <v>45341</v>
      </c>
      <c r="C770" s="32">
        <v>45345</v>
      </c>
      <c r="D770" s="8" t="s">
        <v>73</v>
      </c>
      <c r="E770" s="8" t="s">
        <v>1052</v>
      </c>
      <c r="F770" s="10" t="s">
        <v>1053</v>
      </c>
      <c r="G770" s="10" t="s">
        <v>42</v>
      </c>
      <c r="H770" s="10" t="s">
        <v>694</v>
      </c>
      <c r="I770" s="10" t="s">
        <v>67</v>
      </c>
      <c r="J770" s="10" t="s">
        <v>34</v>
      </c>
      <c r="K770" s="10" t="s">
        <v>25</v>
      </c>
      <c r="L770" s="10" t="s">
        <v>68</v>
      </c>
      <c r="M770" s="10" t="s">
        <v>1712</v>
      </c>
      <c r="N770" s="11">
        <v>351.98</v>
      </c>
      <c r="O770" s="12">
        <v>4</v>
      </c>
      <c r="P770" s="13">
        <v>0.5</v>
      </c>
      <c r="Q770" s="19">
        <v>-95.66</v>
      </c>
      <c r="R770" s="45" t="str">
        <f t="shared" ref="R770:R833" si="48">IF(C770&lt;B770,"Error","OK")</f>
        <v>OK</v>
      </c>
      <c r="S770" s="45">
        <f t="shared" ref="S770:S833" si="49">AVERAGEIF(E770:E1768,"CU-1057",N770:N1768)</f>
        <v>363.24333333333334</v>
      </c>
      <c r="T770" s="45">
        <f t="shared" ref="T770:T833" si="50">COUNTIF(E770:E1768,"CU-1057")</f>
        <v>3</v>
      </c>
      <c r="U770" s="45">
        <f t="shared" ref="U770:U833" si="51">SUMIF(E770:E1768,"CU-1057",N770:N1768)</f>
        <v>1089.73</v>
      </c>
    </row>
    <row r="771" spans="1:21" x14ac:dyDescent="0.3">
      <c r="A771" s="16" t="s">
        <v>147</v>
      </c>
      <c r="B771" s="31">
        <v>45342</v>
      </c>
      <c r="C771" s="31">
        <v>45345</v>
      </c>
      <c r="D771" s="2" t="s">
        <v>39</v>
      </c>
      <c r="E771" s="2" t="s">
        <v>148</v>
      </c>
      <c r="F771" s="4" t="s">
        <v>149</v>
      </c>
      <c r="G771" s="4" t="s">
        <v>42</v>
      </c>
      <c r="H771" s="4" t="s">
        <v>150</v>
      </c>
      <c r="I771" s="4" t="s">
        <v>151</v>
      </c>
      <c r="J771" s="4" t="s">
        <v>34</v>
      </c>
      <c r="K771" s="4" t="s">
        <v>25</v>
      </c>
      <c r="L771" s="4" t="s">
        <v>124</v>
      </c>
      <c r="M771" s="4" t="s">
        <v>152</v>
      </c>
      <c r="N771" s="5">
        <v>4431.3</v>
      </c>
      <c r="O771" s="6">
        <v>2</v>
      </c>
      <c r="P771" s="7">
        <v>0</v>
      </c>
      <c r="Q771" s="18">
        <v>1072.6600000000001</v>
      </c>
      <c r="R771" s="45" t="str">
        <f t="shared" si="48"/>
        <v>OK</v>
      </c>
      <c r="S771" s="45">
        <f t="shared" si="49"/>
        <v>363.24333333333334</v>
      </c>
      <c r="T771" s="45">
        <f t="shared" si="50"/>
        <v>3</v>
      </c>
      <c r="U771" s="45">
        <f t="shared" si="51"/>
        <v>1089.73</v>
      </c>
    </row>
    <row r="772" spans="1:21" x14ac:dyDescent="0.3">
      <c r="A772" s="17" t="s">
        <v>2235</v>
      </c>
      <c r="B772" s="32">
        <v>45342</v>
      </c>
      <c r="C772" s="32">
        <v>45343</v>
      </c>
      <c r="D772" s="8" t="s">
        <v>18</v>
      </c>
      <c r="E772" s="8" t="s">
        <v>480</v>
      </c>
      <c r="F772" s="10" t="s">
        <v>481</v>
      </c>
      <c r="G772" s="10" t="s">
        <v>42</v>
      </c>
      <c r="H772" s="10" t="s">
        <v>352</v>
      </c>
      <c r="I772" s="10" t="s">
        <v>306</v>
      </c>
      <c r="J772" s="10" t="s">
        <v>34</v>
      </c>
      <c r="K772" s="10" t="s">
        <v>25</v>
      </c>
      <c r="L772" s="10" t="s">
        <v>74</v>
      </c>
      <c r="M772" s="10" t="s">
        <v>2236</v>
      </c>
      <c r="N772" s="11">
        <v>156.30000000000001</v>
      </c>
      <c r="O772" s="12">
        <v>5</v>
      </c>
      <c r="P772" s="13">
        <v>0.5</v>
      </c>
      <c r="Q772" s="19">
        <v>-27.7</v>
      </c>
      <c r="R772" s="45" t="str">
        <f t="shared" si="48"/>
        <v>OK</v>
      </c>
      <c r="S772" s="45">
        <f t="shared" si="49"/>
        <v>363.24333333333334</v>
      </c>
      <c r="T772" s="45">
        <f t="shared" si="50"/>
        <v>3</v>
      </c>
      <c r="U772" s="45">
        <f t="shared" si="51"/>
        <v>1089.73</v>
      </c>
    </row>
    <row r="773" spans="1:21" x14ac:dyDescent="0.3">
      <c r="A773" s="16" t="s">
        <v>1195</v>
      </c>
      <c r="B773" s="31">
        <v>45344</v>
      </c>
      <c r="C773" s="31">
        <v>45345</v>
      </c>
      <c r="D773" s="2" t="s">
        <v>18</v>
      </c>
      <c r="E773" s="2" t="s">
        <v>682</v>
      </c>
      <c r="F773" s="4" t="s">
        <v>683</v>
      </c>
      <c r="G773" s="4" t="s">
        <v>21</v>
      </c>
      <c r="H773" s="4" t="s">
        <v>66</v>
      </c>
      <c r="I773" s="4" t="s">
        <v>67</v>
      </c>
      <c r="J773" s="4" t="s">
        <v>34</v>
      </c>
      <c r="K773" s="4" t="s">
        <v>25</v>
      </c>
      <c r="L773" s="4" t="s">
        <v>68</v>
      </c>
      <c r="M773" s="4" t="s">
        <v>987</v>
      </c>
      <c r="N773" s="5">
        <v>893.12</v>
      </c>
      <c r="O773" s="6">
        <v>9</v>
      </c>
      <c r="P773" s="7">
        <v>0.5</v>
      </c>
      <c r="Q773" s="18">
        <v>-108</v>
      </c>
      <c r="R773" s="45" t="str">
        <f t="shared" si="48"/>
        <v>OK</v>
      </c>
      <c r="S773" s="45">
        <f t="shared" si="49"/>
        <v>363.24333333333334</v>
      </c>
      <c r="T773" s="45">
        <f t="shared" si="50"/>
        <v>3</v>
      </c>
      <c r="U773" s="45">
        <f t="shared" si="51"/>
        <v>1089.73</v>
      </c>
    </row>
    <row r="774" spans="1:21" x14ac:dyDescent="0.3">
      <c r="A774" s="16" t="s">
        <v>1389</v>
      </c>
      <c r="B774" s="31">
        <v>45345</v>
      </c>
      <c r="C774" s="31">
        <v>45349</v>
      </c>
      <c r="D774" s="2" t="s">
        <v>39</v>
      </c>
      <c r="E774" s="2" t="s">
        <v>827</v>
      </c>
      <c r="F774" s="4" t="s">
        <v>828</v>
      </c>
      <c r="G774" s="4" t="s">
        <v>51</v>
      </c>
      <c r="H774" s="4" t="s">
        <v>319</v>
      </c>
      <c r="I774" s="4" t="s">
        <v>194</v>
      </c>
      <c r="J774" s="4" t="s">
        <v>34</v>
      </c>
      <c r="K774" s="4" t="s">
        <v>25</v>
      </c>
      <c r="L774" s="4" t="s">
        <v>74</v>
      </c>
      <c r="M774" s="4" t="s">
        <v>1390</v>
      </c>
      <c r="N774" s="5">
        <v>702.07</v>
      </c>
      <c r="O774" s="6">
        <v>1</v>
      </c>
      <c r="P774" s="7">
        <v>0</v>
      </c>
      <c r="Q774" s="18">
        <v>264.69</v>
      </c>
      <c r="R774" s="45" t="str">
        <f t="shared" si="48"/>
        <v>OK</v>
      </c>
      <c r="S774" s="45">
        <f t="shared" si="49"/>
        <v>363.24333333333334</v>
      </c>
      <c r="T774" s="45">
        <f t="shared" si="50"/>
        <v>3</v>
      </c>
      <c r="U774" s="45">
        <f t="shared" si="51"/>
        <v>1089.73</v>
      </c>
    </row>
    <row r="775" spans="1:21" x14ac:dyDescent="0.3">
      <c r="A775" s="17" t="s">
        <v>1829</v>
      </c>
      <c r="B775" s="32">
        <v>45345</v>
      </c>
      <c r="C775" s="32">
        <v>45348</v>
      </c>
      <c r="D775" s="8" t="s">
        <v>73</v>
      </c>
      <c r="E775" s="8" t="s">
        <v>864</v>
      </c>
      <c r="F775" s="10" t="s">
        <v>865</v>
      </c>
      <c r="G775" s="10" t="s">
        <v>21</v>
      </c>
      <c r="H775" s="10" t="s">
        <v>177</v>
      </c>
      <c r="I775" s="10" t="s">
        <v>178</v>
      </c>
      <c r="J775" s="10" t="s">
        <v>24</v>
      </c>
      <c r="K775" s="10" t="s">
        <v>45</v>
      </c>
      <c r="L775" s="10" t="s">
        <v>61</v>
      </c>
      <c r="M775" s="10" t="s">
        <v>1523</v>
      </c>
      <c r="N775" s="11">
        <v>3070</v>
      </c>
      <c r="O775" s="12">
        <v>10</v>
      </c>
      <c r="P775" s="13">
        <v>0.2</v>
      </c>
      <c r="Q775" s="19">
        <v>-582.08000000000004</v>
      </c>
      <c r="R775" s="45" t="str">
        <f t="shared" si="48"/>
        <v>OK</v>
      </c>
      <c r="S775" s="45">
        <f t="shared" si="49"/>
        <v>363.24333333333334</v>
      </c>
      <c r="T775" s="45">
        <f t="shared" si="50"/>
        <v>3</v>
      </c>
      <c r="U775" s="45">
        <f t="shared" si="51"/>
        <v>1089.73</v>
      </c>
    </row>
    <row r="776" spans="1:21" x14ac:dyDescent="0.3">
      <c r="A776" s="17" t="s">
        <v>262</v>
      </c>
      <c r="B776" s="32">
        <v>45347</v>
      </c>
      <c r="C776" s="32">
        <v>45348</v>
      </c>
      <c r="D776" s="8" t="s">
        <v>18</v>
      </c>
      <c r="E776" s="8" t="s">
        <v>175</v>
      </c>
      <c r="F776" s="10" t="s">
        <v>176</v>
      </c>
      <c r="G776" s="10" t="s">
        <v>51</v>
      </c>
      <c r="H776" s="10" t="s">
        <v>177</v>
      </c>
      <c r="I776" s="10" t="s">
        <v>178</v>
      </c>
      <c r="J776" s="10" t="s">
        <v>24</v>
      </c>
      <c r="K776" s="10" t="s">
        <v>25</v>
      </c>
      <c r="L776" s="10" t="s">
        <v>68</v>
      </c>
      <c r="M776" s="10" t="s">
        <v>263</v>
      </c>
      <c r="N776" s="11">
        <v>741.22</v>
      </c>
      <c r="O776" s="12">
        <v>7</v>
      </c>
      <c r="P776" s="13">
        <v>0.2</v>
      </c>
      <c r="Q776" s="19">
        <v>162.49</v>
      </c>
      <c r="R776" s="45" t="str">
        <f t="shared" si="48"/>
        <v>OK</v>
      </c>
      <c r="S776" s="45">
        <f t="shared" si="49"/>
        <v>363.24333333333334</v>
      </c>
      <c r="T776" s="45">
        <f t="shared" si="50"/>
        <v>3</v>
      </c>
      <c r="U776" s="45">
        <f t="shared" si="51"/>
        <v>1089.73</v>
      </c>
    </row>
    <row r="777" spans="1:21" x14ac:dyDescent="0.3">
      <c r="A777" s="17" t="s">
        <v>2254</v>
      </c>
      <c r="B777" s="32">
        <v>45350</v>
      </c>
      <c r="C777" s="32">
        <v>45355</v>
      </c>
      <c r="D777" s="8" t="s">
        <v>73</v>
      </c>
      <c r="E777" s="8" t="s">
        <v>476</v>
      </c>
      <c r="F777" s="10" t="s">
        <v>477</v>
      </c>
      <c r="G777" s="10" t="s">
        <v>42</v>
      </c>
      <c r="H777" s="10" t="s">
        <v>150</v>
      </c>
      <c r="I777" s="10" t="s">
        <v>151</v>
      </c>
      <c r="J777" s="10" t="s">
        <v>34</v>
      </c>
      <c r="K777" s="10" t="s">
        <v>45</v>
      </c>
      <c r="L777" s="10" t="s">
        <v>99</v>
      </c>
      <c r="M777" s="10" t="s">
        <v>2255</v>
      </c>
      <c r="N777" s="11">
        <v>79.78</v>
      </c>
      <c r="O777" s="12">
        <v>3</v>
      </c>
      <c r="P777" s="13">
        <v>0.4</v>
      </c>
      <c r="Q777" s="19">
        <v>-17.5</v>
      </c>
      <c r="R777" s="45" t="str">
        <f t="shared" si="48"/>
        <v>OK</v>
      </c>
      <c r="S777" s="45">
        <f t="shared" si="49"/>
        <v>174.255</v>
      </c>
      <c r="T777" s="45">
        <f t="shared" si="50"/>
        <v>2</v>
      </c>
      <c r="U777" s="45">
        <f t="shared" si="51"/>
        <v>348.51</v>
      </c>
    </row>
    <row r="778" spans="1:21" x14ac:dyDescent="0.3">
      <c r="A778" s="16" t="s">
        <v>399</v>
      </c>
      <c r="B778" s="31">
        <v>45351</v>
      </c>
      <c r="C778" s="31">
        <v>45356</v>
      </c>
      <c r="D778" s="2" t="s">
        <v>29</v>
      </c>
      <c r="E778" s="2" t="s">
        <v>400</v>
      </c>
      <c r="F778" s="4" t="s">
        <v>401</v>
      </c>
      <c r="G778" s="4" t="s">
        <v>21</v>
      </c>
      <c r="H778" s="4" t="s">
        <v>129</v>
      </c>
      <c r="I778" s="4" t="s">
        <v>33</v>
      </c>
      <c r="J778" s="4" t="s">
        <v>34</v>
      </c>
      <c r="K778" s="4" t="s">
        <v>25</v>
      </c>
      <c r="L778" s="4" t="s">
        <v>124</v>
      </c>
      <c r="M778" s="4" t="s">
        <v>402</v>
      </c>
      <c r="N778" s="5">
        <v>4667.2</v>
      </c>
      <c r="O778" s="6">
        <v>10</v>
      </c>
      <c r="P778" s="7">
        <v>0.5</v>
      </c>
      <c r="Q778" s="18">
        <v>-2091.08</v>
      </c>
      <c r="R778" s="45" t="str">
        <f t="shared" si="48"/>
        <v>OK</v>
      </c>
      <c r="S778" s="45">
        <f t="shared" si="49"/>
        <v>174.255</v>
      </c>
      <c r="T778" s="45">
        <f t="shared" si="50"/>
        <v>2</v>
      </c>
      <c r="U778" s="45">
        <f t="shared" si="51"/>
        <v>348.51</v>
      </c>
    </row>
    <row r="779" spans="1:21" x14ac:dyDescent="0.3">
      <c r="A779" s="16" t="s">
        <v>964</v>
      </c>
      <c r="B779" s="31">
        <v>45351</v>
      </c>
      <c r="C779" s="31">
        <v>45358</v>
      </c>
      <c r="D779" s="2" t="s">
        <v>29</v>
      </c>
      <c r="E779" s="2" t="s">
        <v>654</v>
      </c>
      <c r="F779" s="4" t="s">
        <v>655</v>
      </c>
      <c r="G779" s="4" t="s">
        <v>21</v>
      </c>
      <c r="H779" s="4" t="s">
        <v>66</v>
      </c>
      <c r="I779" s="4" t="s">
        <v>67</v>
      </c>
      <c r="J779" s="4" t="s">
        <v>34</v>
      </c>
      <c r="K779" s="4" t="s">
        <v>45</v>
      </c>
      <c r="L779" s="4" t="s">
        <v>99</v>
      </c>
      <c r="M779" s="4" t="s">
        <v>965</v>
      </c>
      <c r="N779" s="5">
        <v>1333.87</v>
      </c>
      <c r="O779" s="6">
        <v>9</v>
      </c>
      <c r="P779" s="7">
        <v>0.2</v>
      </c>
      <c r="Q779" s="18">
        <v>173.57</v>
      </c>
      <c r="R779" s="45" t="str">
        <f t="shared" si="48"/>
        <v>OK</v>
      </c>
      <c r="S779" s="45">
        <f t="shared" si="49"/>
        <v>174.255</v>
      </c>
      <c r="T779" s="45">
        <f t="shared" si="50"/>
        <v>2</v>
      </c>
      <c r="U779" s="45">
        <f t="shared" si="51"/>
        <v>348.51</v>
      </c>
    </row>
    <row r="780" spans="1:21" x14ac:dyDescent="0.3">
      <c r="A780" s="17" t="s">
        <v>2266</v>
      </c>
      <c r="B780" s="32">
        <v>45353</v>
      </c>
      <c r="C780" s="32">
        <v>45357</v>
      </c>
      <c r="D780" s="8" t="s">
        <v>73</v>
      </c>
      <c r="E780" s="8" t="s">
        <v>1166</v>
      </c>
      <c r="F780" s="10" t="s">
        <v>1167</v>
      </c>
      <c r="G780" s="10" t="s">
        <v>21</v>
      </c>
      <c r="H780" s="10" t="s">
        <v>98</v>
      </c>
      <c r="I780" s="10" t="s">
        <v>80</v>
      </c>
      <c r="J780" s="10" t="s">
        <v>54</v>
      </c>
      <c r="K780" s="10" t="s">
        <v>25</v>
      </c>
      <c r="L780" s="10" t="s">
        <v>74</v>
      </c>
      <c r="M780" s="10" t="s">
        <v>2267</v>
      </c>
      <c r="N780" s="11">
        <v>645.12</v>
      </c>
      <c r="O780" s="12">
        <v>9</v>
      </c>
      <c r="P780" s="13">
        <v>0</v>
      </c>
      <c r="Q780" s="19">
        <v>263.8</v>
      </c>
      <c r="R780" s="45" t="str">
        <f t="shared" si="48"/>
        <v>OK</v>
      </c>
      <c r="S780" s="45">
        <f t="shared" si="49"/>
        <v>174.255</v>
      </c>
      <c r="T780" s="45">
        <f t="shared" si="50"/>
        <v>2</v>
      </c>
      <c r="U780" s="45">
        <f t="shared" si="51"/>
        <v>348.51</v>
      </c>
    </row>
    <row r="781" spans="1:21" x14ac:dyDescent="0.3">
      <c r="A781" s="16" t="s">
        <v>349</v>
      </c>
      <c r="B781" s="31">
        <v>45355</v>
      </c>
      <c r="C781" s="31">
        <v>45358</v>
      </c>
      <c r="D781" s="2" t="s">
        <v>73</v>
      </c>
      <c r="E781" s="2" t="s">
        <v>350</v>
      </c>
      <c r="F781" s="4" t="s">
        <v>351</v>
      </c>
      <c r="G781" s="4" t="s">
        <v>42</v>
      </c>
      <c r="H781" s="4" t="s">
        <v>352</v>
      </c>
      <c r="I781" s="4" t="s">
        <v>306</v>
      </c>
      <c r="J781" s="4" t="s">
        <v>34</v>
      </c>
      <c r="K781" s="4" t="s">
        <v>25</v>
      </c>
      <c r="L781" s="4" t="s">
        <v>68</v>
      </c>
      <c r="M781" s="4" t="s">
        <v>353</v>
      </c>
      <c r="N781" s="5">
        <v>87.67</v>
      </c>
      <c r="O781" s="6">
        <v>1</v>
      </c>
      <c r="P781" s="7">
        <v>0</v>
      </c>
      <c r="Q781" s="18">
        <v>36.68</v>
      </c>
      <c r="R781" s="45" t="str">
        <f t="shared" si="48"/>
        <v>OK</v>
      </c>
      <c r="S781" s="45">
        <f t="shared" si="49"/>
        <v>174.255</v>
      </c>
      <c r="T781" s="45">
        <f t="shared" si="50"/>
        <v>2</v>
      </c>
      <c r="U781" s="45">
        <f t="shared" si="51"/>
        <v>348.51</v>
      </c>
    </row>
    <row r="782" spans="1:21" x14ac:dyDescent="0.3">
      <c r="A782" s="17" t="s">
        <v>914</v>
      </c>
      <c r="B782" s="32">
        <v>45357</v>
      </c>
      <c r="C782" s="32">
        <v>45360</v>
      </c>
      <c r="D782" s="8" t="s">
        <v>39</v>
      </c>
      <c r="E782" s="8" t="s">
        <v>273</v>
      </c>
      <c r="F782" s="10" t="s">
        <v>274</v>
      </c>
      <c r="G782" s="10" t="s">
        <v>42</v>
      </c>
      <c r="H782" s="10" t="s">
        <v>171</v>
      </c>
      <c r="I782" s="10" t="s">
        <v>172</v>
      </c>
      <c r="J782" s="10" t="s">
        <v>24</v>
      </c>
      <c r="K782" s="10" t="s">
        <v>25</v>
      </c>
      <c r="L782" s="10" t="s">
        <v>26</v>
      </c>
      <c r="M782" s="10" t="s">
        <v>747</v>
      </c>
      <c r="N782" s="11">
        <v>2709.15</v>
      </c>
      <c r="O782" s="12">
        <v>2</v>
      </c>
      <c r="P782" s="13">
        <v>0.2</v>
      </c>
      <c r="Q782" s="19">
        <v>-160.02000000000001</v>
      </c>
      <c r="R782" s="45" t="str">
        <f t="shared" si="48"/>
        <v>OK</v>
      </c>
      <c r="S782" s="45">
        <f t="shared" si="49"/>
        <v>174.255</v>
      </c>
      <c r="T782" s="45">
        <f t="shared" si="50"/>
        <v>2</v>
      </c>
      <c r="U782" s="45">
        <f t="shared" si="51"/>
        <v>348.51</v>
      </c>
    </row>
    <row r="783" spans="1:21" x14ac:dyDescent="0.3">
      <c r="A783" s="16" t="s">
        <v>2456</v>
      </c>
      <c r="B783" s="31">
        <v>45359</v>
      </c>
      <c r="C783" s="31">
        <v>45362</v>
      </c>
      <c r="D783" s="2" t="s">
        <v>73</v>
      </c>
      <c r="E783" s="2" t="s">
        <v>1330</v>
      </c>
      <c r="F783" s="4" t="s">
        <v>1331</v>
      </c>
      <c r="G783" s="4" t="s">
        <v>51</v>
      </c>
      <c r="H783" s="4" t="s">
        <v>52</v>
      </c>
      <c r="I783" s="4" t="s">
        <v>53</v>
      </c>
      <c r="J783" s="4" t="s">
        <v>54</v>
      </c>
      <c r="K783" s="4" t="s">
        <v>35</v>
      </c>
      <c r="L783" s="4" t="s">
        <v>229</v>
      </c>
      <c r="M783" s="4" t="s">
        <v>2457</v>
      </c>
      <c r="N783" s="5">
        <v>12.45</v>
      </c>
      <c r="O783" s="6">
        <v>1</v>
      </c>
      <c r="P783" s="7">
        <v>0.15</v>
      </c>
      <c r="Q783" s="18">
        <v>4.1500000000000004</v>
      </c>
      <c r="R783" s="45" t="str">
        <f t="shared" si="48"/>
        <v>OK</v>
      </c>
      <c r="S783" s="45">
        <f t="shared" si="49"/>
        <v>174.255</v>
      </c>
      <c r="T783" s="45">
        <f t="shared" si="50"/>
        <v>2</v>
      </c>
      <c r="U783" s="45">
        <f t="shared" si="51"/>
        <v>348.51</v>
      </c>
    </row>
    <row r="784" spans="1:21" x14ac:dyDescent="0.3">
      <c r="A784" s="17" t="s">
        <v>2250</v>
      </c>
      <c r="B784" s="32">
        <v>45360</v>
      </c>
      <c r="C784" s="32">
        <v>45362</v>
      </c>
      <c r="D784" s="8" t="s">
        <v>39</v>
      </c>
      <c r="E784" s="8" t="s">
        <v>1011</v>
      </c>
      <c r="F784" s="10" t="s">
        <v>1012</v>
      </c>
      <c r="G784" s="10" t="s">
        <v>21</v>
      </c>
      <c r="H784" s="10" t="s">
        <v>59</v>
      </c>
      <c r="I784" s="10" t="s">
        <v>60</v>
      </c>
      <c r="J784" s="10" t="s">
        <v>54</v>
      </c>
      <c r="K784" s="10" t="s">
        <v>25</v>
      </c>
      <c r="L784" s="10" t="s">
        <v>26</v>
      </c>
      <c r="M784" s="10" t="s">
        <v>2251</v>
      </c>
      <c r="N784" s="11">
        <v>10950.97</v>
      </c>
      <c r="O784" s="12">
        <v>9</v>
      </c>
      <c r="P784" s="13">
        <v>0.3</v>
      </c>
      <c r="Q784" s="19">
        <v>-1373.78</v>
      </c>
      <c r="R784" s="45" t="str">
        <f t="shared" si="48"/>
        <v>OK</v>
      </c>
      <c r="S784" s="45">
        <f t="shared" si="49"/>
        <v>174.255</v>
      </c>
      <c r="T784" s="45">
        <f t="shared" si="50"/>
        <v>2</v>
      </c>
      <c r="U784" s="45">
        <f t="shared" si="51"/>
        <v>348.51</v>
      </c>
    </row>
    <row r="785" spans="1:21" x14ac:dyDescent="0.3">
      <c r="A785" s="16" t="s">
        <v>1381</v>
      </c>
      <c r="B785" s="31">
        <v>45361</v>
      </c>
      <c r="C785" s="31">
        <v>45364</v>
      </c>
      <c r="D785" s="2" t="s">
        <v>39</v>
      </c>
      <c r="E785" s="2" t="s">
        <v>370</v>
      </c>
      <c r="F785" s="4" t="s">
        <v>371</v>
      </c>
      <c r="G785" s="4" t="s">
        <v>51</v>
      </c>
      <c r="H785" s="4" t="s">
        <v>372</v>
      </c>
      <c r="I785" s="4" t="s">
        <v>373</v>
      </c>
      <c r="J785" s="4" t="s">
        <v>34</v>
      </c>
      <c r="K785" s="4" t="s">
        <v>25</v>
      </c>
      <c r="L785" s="4" t="s">
        <v>68</v>
      </c>
      <c r="M785" s="4" t="s">
        <v>1382</v>
      </c>
      <c r="N785" s="5">
        <v>749.14</v>
      </c>
      <c r="O785" s="6">
        <v>7</v>
      </c>
      <c r="P785" s="7">
        <v>0</v>
      </c>
      <c r="Q785" s="18">
        <v>303.89</v>
      </c>
      <c r="R785" s="45" t="str">
        <f t="shared" si="48"/>
        <v>OK</v>
      </c>
      <c r="S785" s="45">
        <f t="shared" si="49"/>
        <v>174.255</v>
      </c>
      <c r="T785" s="45">
        <f t="shared" si="50"/>
        <v>2</v>
      </c>
      <c r="U785" s="45">
        <f t="shared" si="51"/>
        <v>348.51</v>
      </c>
    </row>
    <row r="786" spans="1:21" x14ac:dyDescent="0.3">
      <c r="A786" s="16" t="s">
        <v>1277</v>
      </c>
      <c r="B786" s="31">
        <v>45362</v>
      </c>
      <c r="C786" s="31">
        <v>45363</v>
      </c>
      <c r="D786" s="2" t="s">
        <v>18</v>
      </c>
      <c r="E786" s="2" t="s">
        <v>313</v>
      </c>
      <c r="F786" s="4" t="s">
        <v>314</v>
      </c>
      <c r="G786" s="4" t="s">
        <v>42</v>
      </c>
      <c r="H786" s="4" t="s">
        <v>193</v>
      </c>
      <c r="I786" s="4" t="s">
        <v>194</v>
      </c>
      <c r="J786" s="4" t="s">
        <v>34</v>
      </c>
      <c r="K786" s="4" t="s">
        <v>25</v>
      </c>
      <c r="L786" s="4" t="s">
        <v>124</v>
      </c>
      <c r="M786" s="4" t="s">
        <v>1278</v>
      </c>
      <c r="N786" s="5">
        <v>2284.8000000000002</v>
      </c>
      <c r="O786" s="6">
        <v>7</v>
      </c>
      <c r="P786" s="7">
        <v>0</v>
      </c>
      <c r="Q786" s="18">
        <v>435.97</v>
      </c>
      <c r="R786" s="45" t="str">
        <f t="shared" si="48"/>
        <v>OK</v>
      </c>
      <c r="S786" s="45">
        <f t="shared" si="49"/>
        <v>174.255</v>
      </c>
      <c r="T786" s="45">
        <f t="shared" si="50"/>
        <v>2</v>
      </c>
      <c r="U786" s="45">
        <f t="shared" si="51"/>
        <v>348.51</v>
      </c>
    </row>
    <row r="787" spans="1:21" x14ac:dyDescent="0.3">
      <c r="A787" s="16" t="s">
        <v>2417</v>
      </c>
      <c r="B787" s="31">
        <v>45362</v>
      </c>
      <c r="C787" s="31">
        <v>45367</v>
      </c>
      <c r="D787" s="2" t="s">
        <v>29</v>
      </c>
      <c r="E787" s="2" t="s">
        <v>223</v>
      </c>
      <c r="F787" s="4" t="s">
        <v>224</v>
      </c>
      <c r="G787" s="4" t="s">
        <v>21</v>
      </c>
      <c r="H787" s="4" t="s">
        <v>59</v>
      </c>
      <c r="I787" s="4" t="s">
        <v>60</v>
      </c>
      <c r="J787" s="4" t="s">
        <v>54</v>
      </c>
      <c r="K787" s="4" t="s">
        <v>35</v>
      </c>
      <c r="L787" s="4" t="s">
        <v>36</v>
      </c>
      <c r="M787" s="4" t="s">
        <v>2418</v>
      </c>
      <c r="N787" s="5">
        <v>280.7</v>
      </c>
      <c r="O787" s="6">
        <v>6</v>
      </c>
      <c r="P787" s="7">
        <v>0.15</v>
      </c>
      <c r="Q787" s="18">
        <v>94.65</v>
      </c>
      <c r="R787" s="45" t="str">
        <f t="shared" si="48"/>
        <v>OK</v>
      </c>
      <c r="S787" s="45">
        <f t="shared" si="49"/>
        <v>174.255</v>
      </c>
      <c r="T787" s="45">
        <f t="shared" si="50"/>
        <v>2</v>
      </c>
      <c r="U787" s="45">
        <f t="shared" si="51"/>
        <v>348.51</v>
      </c>
    </row>
    <row r="788" spans="1:21" x14ac:dyDescent="0.3">
      <c r="A788" s="16" t="s">
        <v>1405</v>
      </c>
      <c r="B788" s="31">
        <v>45364</v>
      </c>
      <c r="C788" s="31">
        <v>45369</v>
      </c>
      <c r="D788" s="2" t="s">
        <v>73</v>
      </c>
      <c r="E788" s="2" t="s">
        <v>890</v>
      </c>
      <c r="F788" s="4" t="s">
        <v>891</v>
      </c>
      <c r="G788" s="4" t="s">
        <v>42</v>
      </c>
      <c r="H788" s="4" t="s">
        <v>22</v>
      </c>
      <c r="I788" s="4" t="s">
        <v>23</v>
      </c>
      <c r="J788" s="4" t="s">
        <v>24</v>
      </c>
      <c r="K788" s="4" t="s">
        <v>25</v>
      </c>
      <c r="L788" s="4" t="s">
        <v>124</v>
      </c>
      <c r="M788" s="4" t="s">
        <v>1406</v>
      </c>
      <c r="N788" s="5">
        <v>1625.49</v>
      </c>
      <c r="O788" s="6">
        <v>3</v>
      </c>
      <c r="P788" s="7">
        <v>0</v>
      </c>
      <c r="Q788" s="18">
        <v>503.27</v>
      </c>
      <c r="R788" s="45" t="str">
        <f t="shared" si="48"/>
        <v>OK</v>
      </c>
      <c r="S788" s="45">
        <f t="shared" si="49"/>
        <v>174.255</v>
      </c>
      <c r="T788" s="45">
        <f t="shared" si="50"/>
        <v>2</v>
      </c>
      <c r="U788" s="45">
        <f t="shared" si="51"/>
        <v>348.51</v>
      </c>
    </row>
    <row r="789" spans="1:21" x14ac:dyDescent="0.3">
      <c r="A789" s="16" t="s">
        <v>2193</v>
      </c>
      <c r="B789" s="31">
        <v>45365</v>
      </c>
      <c r="C789" s="31">
        <v>45368</v>
      </c>
      <c r="D789" s="2" t="s">
        <v>73</v>
      </c>
      <c r="E789" s="2" t="s">
        <v>40</v>
      </c>
      <c r="F789" s="4" t="s">
        <v>41</v>
      </c>
      <c r="G789" s="4" t="s">
        <v>42</v>
      </c>
      <c r="H789" s="4" t="s">
        <v>43</v>
      </c>
      <c r="I789" s="4" t="s">
        <v>44</v>
      </c>
      <c r="J789" s="4" t="s">
        <v>24</v>
      </c>
      <c r="K789" s="4" t="s">
        <v>45</v>
      </c>
      <c r="L789" s="4" t="s">
        <v>46</v>
      </c>
      <c r="M789" s="4" t="s">
        <v>2194</v>
      </c>
      <c r="N789" s="5">
        <v>908.26</v>
      </c>
      <c r="O789" s="6">
        <v>3</v>
      </c>
      <c r="P789" s="7">
        <v>0.2</v>
      </c>
      <c r="Q789" s="18">
        <v>101.93</v>
      </c>
      <c r="R789" s="45" t="str">
        <f t="shared" si="48"/>
        <v>OK</v>
      </c>
      <c r="S789" s="45">
        <f t="shared" si="49"/>
        <v>174.255</v>
      </c>
      <c r="T789" s="45">
        <f t="shared" si="50"/>
        <v>2</v>
      </c>
      <c r="U789" s="45">
        <f t="shared" si="51"/>
        <v>348.51</v>
      </c>
    </row>
    <row r="790" spans="1:21" x14ac:dyDescent="0.3">
      <c r="A790" s="16" t="s">
        <v>1040</v>
      </c>
      <c r="B790" s="31">
        <v>45367</v>
      </c>
      <c r="C790" s="31">
        <v>45369</v>
      </c>
      <c r="D790" s="2" t="s">
        <v>39</v>
      </c>
      <c r="E790" s="2" t="s">
        <v>175</v>
      </c>
      <c r="F790" s="4" t="s">
        <v>176</v>
      </c>
      <c r="G790" s="4" t="s">
        <v>51</v>
      </c>
      <c r="H790" s="4" t="s">
        <v>177</v>
      </c>
      <c r="I790" s="4" t="s">
        <v>178</v>
      </c>
      <c r="J790" s="4" t="s">
        <v>24</v>
      </c>
      <c r="K790" s="4" t="s">
        <v>35</v>
      </c>
      <c r="L790" s="4" t="s">
        <v>81</v>
      </c>
      <c r="M790" s="4" t="s">
        <v>1041</v>
      </c>
      <c r="N790" s="5">
        <v>73.760000000000005</v>
      </c>
      <c r="O790" s="6">
        <v>6</v>
      </c>
      <c r="P790" s="7">
        <v>0.1</v>
      </c>
      <c r="Q790" s="18">
        <v>28.51</v>
      </c>
      <c r="R790" s="45" t="str">
        <f t="shared" si="48"/>
        <v>OK</v>
      </c>
      <c r="S790" s="45">
        <f t="shared" si="49"/>
        <v>174.255</v>
      </c>
      <c r="T790" s="45">
        <f t="shared" si="50"/>
        <v>2</v>
      </c>
      <c r="U790" s="45">
        <f t="shared" si="51"/>
        <v>348.51</v>
      </c>
    </row>
    <row r="791" spans="1:21" x14ac:dyDescent="0.3">
      <c r="A791" s="16" t="s">
        <v>1069</v>
      </c>
      <c r="B791" s="31">
        <v>45367</v>
      </c>
      <c r="C791" s="31">
        <v>45371</v>
      </c>
      <c r="D791" s="2" t="s">
        <v>73</v>
      </c>
      <c r="E791" s="2" t="s">
        <v>1070</v>
      </c>
      <c r="F791" s="4" t="s">
        <v>1071</v>
      </c>
      <c r="G791" s="4" t="s">
        <v>51</v>
      </c>
      <c r="H791" s="4" t="s">
        <v>177</v>
      </c>
      <c r="I791" s="4" t="s">
        <v>178</v>
      </c>
      <c r="J791" s="4" t="s">
        <v>24</v>
      </c>
      <c r="K791" s="4" t="s">
        <v>35</v>
      </c>
      <c r="L791" s="4" t="s">
        <v>81</v>
      </c>
      <c r="M791" s="4" t="s">
        <v>1072</v>
      </c>
      <c r="N791" s="5">
        <v>52.36</v>
      </c>
      <c r="O791" s="6">
        <v>5</v>
      </c>
      <c r="P791" s="7">
        <v>0.2</v>
      </c>
      <c r="Q791" s="18">
        <v>15.56</v>
      </c>
      <c r="R791" s="45" t="str">
        <f t="shared" si="48"/>
        <v>OK</v>
      </c>
      <c r="S791" s="45">
        <f t="shared" si="49"/>
        <v>274.75</v>
      </c>
      <c r="T791" s="45">
        <f t="shared" si="50"/>
        <v>1</v>
      </c>
      <c r="U791" s="45">
        <f t="shared" si="51"/>
        <v>274.75</v>
      </c>
    </row>
    <row r="792" spans="1:21" x14ac:dyDescent="0.3">
      <c r="A792" s="16" t="s">
        <v>17</v>
      </c>
      <c r="B792" s="31">
        <v>45368</v>
      </c>
      <c r="C792" s="31">
        <v>45369</v>
      </c>
      <c r="D792" s="2" t="s">
        <v>18</v>
      </c>
      <c r="E792" s="2" t="s">
        <v>19</v>
      </c>
      <c r="F792" s="4" t="s">
        <v>20</v>
      </c>
      <c r="G792" s="4" t="s">
        <v>21</v>
      </c>
      <c r="H792" s="4" t="s">
        <v>22</v>
      </c>
      <c r="I792" s="4" t="s">
        <v>23</v>
      </c>
      <c r="J792" s="4" t="s">
        <v>24</v>
      </c>
      <c r="K792" s="4" t="s">
        <v>25</v>
      </c>
      <c r="L792" s="4" t="s">
        <v>26</v>
      </c>
      <c r="M792" s="4" t="s">
        <v>27</v>
      </c>
      <c r="N792" s="5">
        <v>7096.4</v>
      </c>
      <c r="O792" s="6">
        <v>5</v>
      </c>
      <c r="P792" s="7">
        <v>0.2</v>
      </c>
      <c r="Q792" s="18">
        <v>-219.69</v>
      </c>
      <c r="R792" s="45" t="str">
        <f t="shared" si="48"/>
        <v>OK</v>
      </c>
      <c r="S792" s="45">
        <f t="shared" si="49"/>
        <v>274.75</v>
      </c>
      <c r="T792" s="45">
        <f t="shared" si="50"/>
        <v>1</v>
      </c>
      <c r="U792" s="45">
        <f t="shared" si="51"/>
        <v>274.75</v>
      </c>
    </row>
    <row r="793" spans="1:21" x14ac:dyDescent="0.3">
      <c r="A793" s="16" t="s">
        <v>853</v>
      </c>
      <c r="B793" s="31">
        <v>45368</v>
      </c>
      <c r="C793" s="31">
        <v>45372</v>
      </c>
      <c r="D793" s="2" t="s">
        <v>39</v>
      </c>
      <c r="E793" s="2" t="s">
        <v>370</v>
      </c>
      <c r="F793" s="4" t="s">
        <v>371</v>
      </c>
      <c r="G793" s="4" t="s">
        <v>51</v>
      </c>
      <c r="H793" s="4" t="s">
        <v>372</v>
      </c>
      <c r="I793" s="4" t="s">
        <v>373</v>
      </c>
      <c r="J793" s="4" t="s">
        <v>34</v>
      </c>
      <c r="K793" s="4" t="s">
        <v>25</v>
      </c>
      <c r="L793" s="4" t="s">
        <v>74</v>
      </c>
      <c r="M793" s="4" t="s">
        <v>854</v>
      </c>
      <c r="N793" s="5">
        <v>1193.3</v>
      </c>
      <c r="O793" s="6">
        <v>2</v>
      </c>
      <c r="P793" s="7">
        <v>0</v>
      </c>
      <c r="Q793" s="18">
        <v>413.89</v>
      </c>
      <c r="R793" s="45" t="str">
        <f t="shared" si="48"/>
        <v>OK</v>
      </c>
      <c r="S793" s="45">
        <f t="shared" si="49"/>
        <v>274.75</v>
      </c>
      <c r="T793" s="45">
        <f t="shared" si="50"/>
        <v>1</v>
      </c>
      <c r="U793" s="45">
        <f t="shared" si="51"/>
        <v>274.75</v>
      </c>
    </row>
    <row r="794" spans="1:21" x14ac:dyDescent="0.3">
      <c r="A794" s="17" t="s">
        <v>1508</v>
      </c>
      <c r="B794" s="32">
        <v>45369</v>
      </c>
      <c r="C794" s="32">
        <v>45375</v>
      </c>
      <c r="D794" s="8" t="s">
        <v>29</v>
      </c>
      <c r="E794" s="8" t="s">
        <v>678</v>
      </c>
      <c r="F794" s="10" t="s">
        <v>679</v>
      </c>
      <c r="G794" s="10" t="s">
        <v>51</v>
      </c>
      <c r="H794" s="10" t="s">
        <v>122</v>
      </c>
      <c r="I794" s="10" t="s">
        <v>123</v>
      </c>
      <c r="J794" s="10" t="s">
        <v>24</v>
      </c>
      <c r="K794" s="10" t="s">
        <v>35</v>
      </c>
      <c r="L794" s="10" t="s">
        <v>36</v>
      </c>
      <c r="M794" s="10" t="s">
        <v>1509</v>
      </c>
      <c r="N794" s="11">
        <v>864.05</v>
      </c>
      <c r="O794" s="12">
        <v>7</v>
      </c>
      <c r="P794" s="13">
        <v>0.5</v>
      </c>
      <c r="Q794" s="19">
        <v>-107.91</v>
      </c>
      <c r="R794" s="45" t="str">
        <f t="shared" si="48"/>
        <v>OK</v>
      </c>
      <c r="S794" s="45">
        <f t="shared" si="49"/>
        <v>274.75</v>
      </c>
      <c r="T794" s="45">
        <f t="shared" si="50"/>
        <v>1</v>
      </c>
      <c r="U794" s="45">
        <f t="shared" si="51"/>
        <v>274.75</v>
      </c>
    </row>
    <row r="795" spans="1:21" x14ac:dyDescent="0.3">
      <c r="A795" s="16" t="s">
        <v>2284</v>
      </c>
      <c r="B795" s="31">
        <v>45370</v>
      </c>
      <c r="C795" s="31">
        <v>45376</v>
      </c>
      <c r="D795" s="2" t="s">
        <v>29</v>
      </c>
      <c r="E795" s="2" t="s">
        <v>813</v>
      </c>
      <c r="F795" s="4" t="s">
        <v>814</v>
      </c>
      <c r="G795" s="4" t="s">
        <v>51</v>
      </c>
      <c r="H795" s="4" t="s">
        <v>134</v>
      </c>
      <c r="I795" s="4" t="s">
        <v>87</v>
      </c>
      <c r="J795" s="4" t="s">
        <v>88</v>
      </c>
      <c r="K795" s="4" t="s">
        <v>35</v>
      </c>
      <c r="L795" s="4" t="s">
        <v>81</v>
      </c>
      <c r="M795" s="4" t="s">
        <v>2285</v>
      </c>
      <c r="N795" s="5">
        <v>61.67</v>
      </c>
      <c r="O795" s="6">
        <v>5</v>
      </c>
      <c r="P795" s="7">
        <v>0.15</v>
      </c>
      <c r="Q795" s="18">
        <v>27.69</v>
      </c>
      <c r="R795" s="45" t="str">
        <f t="shared" si="48"/>
        <v>OK</v>
      </c>
      <c r="S795" s="45">
        <f t="shared" si="49"/>
        <v>274.75</v>
      </c>
      <c r="T795" s="45">
        <f t="shared" si="50"/>
        <v>1</v>
      </c>
      <c r="U795" s="45">
        <f t="shared" si="51"/>
        <v>274.75</v>
      </c>
    </row>
    <row r="796" spans="1:21" x14ac:dyDescent="0.3">
      <c r="A796" s="16" t="s">
        <v>1935</v>
      </c>
      <c r="B796" s="31">
        <v>45375</v>
      </c>
      <c r="C796" s="31">
        <v>45380</v>
      </c>
      <c r="D796" s="2" t="s">
        <v>29</v>
      </c>
      <c r="E796" s="2" t="s">
        <v>678</v>
      </c>
      <c r="F796" s="4" t="s">
        <v>679</v>
      </c>
      <c r="G796" s="4" t="s">
        <v>51</v>
      </c>
      <c r="H796" s="4" t="s">
        <v>122</v>
      </c>
      <c r="I796" s="4" t="s">
        <v>123</v>
      </c>
      <c r="J796" s="4" t="s">
        <v>24</v>
      </c>
      <c r="K796" s="4" t="s">
        <v>45</v>
      </c>
      <c r="L796" s="4" t="s">
        <v>117</v>
      </c>
      <c r="M796" s="4" t="s">
        <v>1936</v>
      </c>
      <c r="N796" s="5">
        <v>381.17</v>
      </c>
      <c r="O796" s="6">
        <v>7</v>
      </c>
      <c r="P796" s="7">
        <v>0.3</v>
      </c>
      <c r="Q796" s="18">
        <v>-32.92</v>
      </c>
      <c r="R796" s="45" t="str">
        <f t="shared" si="48"/>
        <v>OK</v>
      </c>
      <c r="S796" s="45">
        <f t="shared" si="49"/>
        <v>274.75</v>
      </c>
      <c r="T796" s="45">
        <f t="shared" si="50"/>
        <v>1</v>
      </c>
      <c r="U796" s="45">
        <f t="shared" si="51"/>
        <v>274.75</v>
      </c>
    </row>
    <row r="797" spans="1:21" x14ac:dyDescent="0.3">
      <c r="A797" s="16" t="s">
        <v>2110</v>
      </c>
      <c r="B797" s="31">
        <v>45375</v>
      </c>
      <c r="C797" s="31">
        <v>45381</v>
      </c>
      <c r="D797" s="2" t="s">
        <v>29</v>
      </c>
      <c r="E797" s="2" t="s">
        <v>707</v>
      </c>
      <c r="F797" s="4" t="s">
        <v>708</v>
      </c>
      <c r="G797" s="4" t="s">
        <v>51</v>
      </c>
      <c r="H797" s="4" t="s">
        <v>386</v>
      </c>
      <c r="I797" s="4" t="s">
        <v>347</v>
      </c>
      <c r="J797" s="4" t="s">
        <v>88</v>
      </c>
      <c r="K797" s="4" t="s">
        <v>35</v>
      </c>
      <c r="L797" s="4" t="s">
        <v>229</v>
      </c>
      <c r="M797" s="4" t="s">
        <v>2111</v>
      </c>
      <c r="N797" s="5">
        <v>103.44</v>
      </c>
      <c r="O797" s="6">
        <v>8</v>
      </c>
      <c r="P797" s="7">
        <v>0</v>
      </c>
      <c r="Q797" s="18">
        <v>51.75</v>
      </c>
      <c r="R797" s="45" t="str">
        <f t="shared" si="48"/>
        <v>OK</v>
      </c>
      <c r="S797" s="45">
        <f t="shared" si="49"/>
        <v>274.75</v>
      </c>
      <c r="T797" s="45">
        <f t="shared" si="50"/>
        <v>1</v>
      </c>
      <c r="U797" s="45">
        <f t="shared" si="51"/>
        <v>274.75</v>
      </c>
    </row>
    <row r="798" spans="1:21" x14ac:dyDescent="0.3">
      <c r="A798" s="16" t="s">
        <v>168</v>
      </c>
      <c r="B798" s="31">
        <v>45376</v>
      </c>
      <c r="C798" s="31">
        <v>45381</v>
      </c>
      <c r="D798" s="2" t="s">
        <v>29</v>
      </c>
      <c r="E798" s="2" t="s">
        <v>169</v>
      </c>
      <c r="F798" s="4" t="s">
        <v>170</v>
      </c>
      <c r="G798" s="4" t="s">
        <v>21</v>
      </c>
      <c r="H798" s="4" t="s">
        <v>171</v>
      </c>
      <c r="I798" s="4" t="s">
        <v>172</v>
      </c>
      <c r="J798" s="4" t="s">
        <v>24</v>
      </c>
      <c r="K798" s="4" t="s">
        <v>25</v>
      </c>
      <c r="L798" s="4" t="s">
        <v>124</v>
      </c>
      <c r="M798" s="4" t="s">
        <v>173</v>
      </c>
      <c r="N798" s="5">
        <v>4786.28</v>
      </c>
      <c r="O798" s="6">
        <v>5</v>
      </c>
      <c r="P798" s="7">
        <v>0.2</v>
      </c>
      <c r="Q798" s="18">
        <v>468.18</v>
      </c>
      <c r="R798" s="45" t="str">
        <f t="shared" si="48"/>
        <v>OK</v>
      </c>
      <c r="S798" s="45">
        <f t="shared" si="49"/>
        <v>274.75</v>
      </c>
      <c r="T798" s="45">
        <f t="shared" si="50"/>
        <v>1</v>
      </c>
      <c r="U798" s="45">
        <f t="shared" si="51"/>
        <v>274.75</v>
      </c>
    </row>
    <row r="799" spans="1:21" x14ac:dyDescent="0.3">
      <c r="A799" s="17" t="s">
        <v>577</v>
      </c>
      <c r="B799" s="32">
        <v>45376</v>
      </c>
      <c r="C799" s="32">
        <v>45378</v>
      </c>
      <c r="D799" s="8" t="s">
        <v>39</v>
      </c>
      <c r="E799" s="8" t="s">
        <v>426</v>
      </c>
      <c r="F799" s="10" t="s">
        <v>427</v>
      </c>
      <c r="G799" s="10" t="s">
        <v>42</v>
      </c>
      <c r="H799" s="10" t="s">
        <v>412</v>
      </c>
      <c r="I799" s="10" t="s">
        <v>178</v>
      </c>
      <c r="J799" s="10" t="s">
        <v>24</v>
      </c>
      <c r="K799" s="10" t="s">
        <v>45</v>
      </c>
      <c r="L799" s="10" t="s">
        <v>61</v>
      </c>
      <c r="M799" s="10" t="s">
        <v>578</v>
      </c>
      <c r="N799" s="11">
        <v>1604.88</v>
      </c>
      <c r="O799" s="12">
        <v>8</v>
      </c>
      <c r="P799" s="13">
        <v>0.5</v>
      </c>
      <c r="Q799" s="19">
        <v>-1365.55</v>
      </c>
      <c r="R799" s="45" t="str">
        <f t="shared" si="48"/>
        <v>OK</v>
      </c>
      <c r="S799" s="45">
        <f t="shared" si="49"/>
        <v>274.75</v>
      </c>
      <c r="T799" s="45">
        <f t="shared" si="50"/>
        <v>1</v>
      </c>
      <c r="U799" s="45">
        <f t="shared" si="51"/>
        <v>274.75</v>
      </c>
    </row>
    <row r="800" spans="1:21" x14ac:dyDescent="0.3">
      <c r="A800" s="16" t="s">
        <v>804</v>
      </c>
      <c r="B800" s="31">
        <v>45376</v>
      </c>
      <c r="C800" s="31">
        <v>45379</v>
      </c>
      <c r="D800" s="2" t="s">
        <v>18</v>
      </c>
      <c r="E800" s="2" t="s">
        <v>277</v>
      </c>
      <c r="F800" s="4" t="s">
        <v>278</v>
      </c>
      <c r="G800" s="4" t="s">
        <v>21</v>
      </c>
      <c r="H800" s="4" t="s">
        <v>104</v>
      </c>
      <c r="I800" s="4" t="s">
        <v>105</v>
      </c>
      <c r="J800" s="4" t="s">
        <v>88</v>
      </c>
      <c r="K800" s="4" t="s">
        <v>35</v>
      </c>
      <c r="L800" s="4" t="s">
        <v>36</v>
      </c>
      <c r="M800" s="4" t="s">
        <v>805</v>
      </c>
      <c r="N800" s="5">
        <v>1007.76</v>
      </c>
      <c r="O800" s="6">
        <v>8</v>
      </c>
      <c r="P800" s="7">
        <v>0</v>
      </c>
      <c r="Q800" s="18">
        <v>364.87</v>
      </c>
      <c r="R800" s="45" t="str">
        <f t="shared" si="48"/>
        <v>OK</v>
      </c>
      <c r="S800" s="45">
        <f t="shared" si="49"/>
        <v>274.75</v>
      </c>
      <c r="T800" s="45">
        <f t="shared" si="50"/>
        <v>1</v>
      </c>
      <c r="U800" s="45">
        <f t="shared" si="51"/>
        <v>274.75</v>
      </c>
    </row>
    <row r="801" spans="1:21" x14ac:dyDescent="0.3">
      <c r="A801" s="16" t="s">
        <v>1253</v>
      </c>
      <c r="B801" s="31">
        <v>45376</v>
      </c>
      <c r="C801" s="31">
        <v>45383</v>
      </c>
      <c r="D801" s="2" t="s">
        <v>29</v>
      </c>
      <c r="E801" s="2" t="s">
        <v>566</v>
      </c>
      <c r="F801" s="4" t="s">
        <v>567</v>
      </c>
      <c r="G801" s="4" t="s">
        <v>21</v>
      </c>
      <c r="H801" s="4" t="s">
        <v>156</v>
      </c>
      <c r="I801" s="4" t="s">
        <v>157</v>
      </c>
      <c r="J801" s="4" t="s">
        <v>88</v>
      </c>
      <c r="K801" s="4" t="s">
        <v>25</v>
      </c>
      <c r="L801" s="4" t="s">
        <v>124</v>
      </c>
      <c r="M801" s="4" t="s">
        <v>1254</v>
      </c>
      <c r="N801" s="5">
        <v>15719.69</v>
      </c>
      <c r="O801" s="6">
        <v>10</v>
      </c>
      <c r="P801" s="7">
        <v>0.3</v>
      </c>
      <c r="Q801" s="18">
        <v>-979.85</v>
      </c>
      <c r="R801" s="45" t="str">
        <f t="shared" si="48"/>
        <v>OK</v>
      </c>
      <c r="S801" s="45">
        <f t="shared" si="49"/>
        <v>274.75</v>
      </c>
      <c r="T801" s="45">
        <f t="shared" si="50"/>
        <v>1</v>
      </c>
      <c r="U801" s="45">
        <f t="shared" si="51"/>
        <v>274.75</v>
      </c>
    </row>
    <row r="802" spans="1:21" x14ac:dyDescent="0.3">
      <c r="A802" s="17" t="s">
        <v>1682</v>
      </c>
      <c r="B802" s="32">
        <v>45377</v>
      </c>
      <c r="C802" s="32">
        <v>45378</v>
      </c>
      <c r="D802" s="8" t="s">
        <v>18</v>
      </c>
      <c r="E802" s="8" t="s">
        <v>1025</v>
      </c>
      <c r="F802" s="10" t="s">
        <v>1026</v>
      </c>
      <c r="G802" s="10" t="s">
        <v>21</v>
      </c>
      <c r="H802" s="10" t="s">
        <v>412</v>
      </c>
      <c r="I802" s="10" t="s">
        <v>178</v>
      </c>
      <c r="J802" s="10" t="s">
        <v>24</v>
      </c>
      <c r="K802" s="10" t="s">
        <v>25</v>
      </c>
      <c r="L802" s="10" t="s">
        <v>68</v>
      </c>
      <c r="M802" s="10" t="s">
        <v>1683</v>
      </c>
      <c r="N802" s="11">
        <v>615.45000000000005</v>
      </c>
      <c r="O802" s="12">
        <v>5</v>
      </c>
      <c r="P802" s="13">
        <v>0</v>
      </c>
      <c r="Q802" s="19">
        <v>223.45</v>
      </c>
      <c r="R802" s="45" t="str">
        <f t="shared" si="48"/>
        <v>OK</v>
      </c>
      <c r="S802" s="45">
        <f t="shared" si="49"/>
        <v>274.75</v>
      </c>
      <c r="T802" s="45">
        <f t="shared" si="50"/>
        <v>1</v>
      </c>
      <c r="U802" s="45">
        <f t="shared" si="51"/>
        <v>274.75</v>
      </c>
    </row>
    <row r="803" spans="1:21" x14ac:dyDescent="0.3">
      <c r="A803" s="16" t="s">
        <v>2348</v>
      </c>
      <c r="B803" s="31">
        <v>45380</v>
      </c>
      <c r="C803" s="31">
        <v>45383</v>
      </c>
      <c r="D803" s="2" t="s">
        <v>18</v>
      </c>
      <c r="E803" s="2" t="s">
        <v>201</v>
      </c>
      <c r="F803" s="4" t="s">
        <v>202</v>
      </c>
      <c r="G803" s="4" t="s">
        <v>21</v>
      </c>
      <c r="H803" s="4" t="s">
        <v>98</v>
      </c>
      <c r="I803" s="4" t="s">
        <v>80</v>
      </c>
      <c r="J803" s="4" t="s">
        <v>54</v>
      </c>
      <c r="K803" s="4" t="s">
        <v>25</v>
      </c>
      <c r="L803" s="4" t="s">
        <v>74</v>
      </c>
      <c r="M803" s="4" t="s">
        <v>672</v>
      </c>
      <c r="N803" s="5">
        <v>624.5</v>
      </c>
      <c r="O803" s="6">
        <v>2</v>
      </c>
      <c r="P803" s="7">
        <v>0.4</v>
      </c>
      <c r="Q803" s="18">
        <v>-25.42</v>
      </c>
      <c r="R803" s="45" t="str">
        <f t="shared" si="48"/>
        <v>OK</v>
      </c>
      <c r="S803" s="45">
        <f t="shared" si="49"/>
        <v>274.75</v>
      </c>
      <c r="T803" s="45">
        <f t="shared" si="50"/>
        <v>1</v>
      </c>
      <c r="U803" s="45">
        <f t="shared" si="51"/>
        <v>274.75</v>
      </c>
    </row>
    <row r="804" spans="1:21" x14ac:dyDescent="0.3">
      <c r="A804" s="17" t="s">
        <v>2116</v>
      </c>
      <c r="B804" s="32">
        <v>45381</v>
      </c>
      <c r="C804" s="32">
        <v>45386</v>
      </c>
      <c r="D804" s="8" t="s">
        <v>29</v>
      </c>
      <c r="E804" s="8" t="s">
        <v>580</v>
      </c>
      <c r="F804" s="10" t="s">
        <v>581</v>
      </c>
      <c r="G804" s="10" t="s">
        <v>51</v>
      </c>
      <c r="H804" s="10" t="s">
        <v>156</v>
      </c>
      <c r="I804" s="10" t="s">
        <v>157</v>
      </c>
      <c r="J804" s="10" t="s">
        <v>88</v>
      </c>
      <c r="K804" s="10" t="s">
        <v>25</v>
      </c>
      <c r="L804" s="10" t="s">
        <v>68</v>
      </c>
      <c r="M804" s="10" t="s">
        <v>2117</v>
      </c>
      <c r="N804" s="11">
        <v>415.32</v>
      </c>
      <c r="O804" s="12">
        <v>3</v>
      </c>
      <c r="P804" s="13">
        <v>0.3</v>
      </c>
      <c r="Q804" s="19">
        <v>46.15</v>
      </c>
      <c r="R804" s="45" t="str">
        <f t="shared" si="48"/>
        <v>OK</v>
      </c>
      <c r="S804" s="45">
        <f t="shared" si="49"/>
        <v>274.75</v>
      </c>
      <c r="T804" s="45">
        <f t="shared" si="50"/>
        <v>1</v>
      </c>
      <c r="U804" s="45">
        <f t="shared" si="51"/>
        <v>274.75</v>
      </c>
    </row>
    <row r="805" spans="1:21" x14ac:dyDescent="0.3">
      <c r="A805" s="17" t="s">
        <v>1959</v>
      </c>
      <c r="B805" s="32">
        <v>45383</v>
      </c>
      <c r="C805" s="32">
        <v>45388</v>
      </c>
      <c r="D805" s="8" t="s">
        <v>73</v>
      </c>
      <c r="E805" s="8" t="s">
        <v>899</v>
      </c>
      <c r="F805" s="10" t="s">
        <v>900</v>
      </c>
      <c r="G805" s="10" t="s">
        <v>51</v>
      </c>
      <c r="H805" s="10" t="s">
        <v>319</v>
      </c>
      <c r="I805" s="10" t="s">
        <v>194</v>
      </c>
      <c r="J805" s="10" t="s">
        <v>34</v>
      </c>
      <c r="K805" s="10" t="s">
        <v>25</v>
      </c>
      <c r="L805" s="10" t="s">
        <v>74</v>
      </c>
      <c r="M805" s="10" t="s">
        <v>1960</v>
      </c>
      <c r="N805" s="11">
        <v>2268.0700000000002</v>
      </c>
      <c r="O805" s="12">
        <v>4</v>
      </c>
      <c r="P805" s="13">
        <v>0.05</v>
      </c>
      <c r="Q805" s="19">
        <v>853.83</v>
      </c>
      <c r="R805" s="45" t="str">
        <f t="shared" si="48"/>
        <v>OK</v>
      </c>
      <c r="S805" s="45">
        <f t="shared" si="49"/>
        <v>274.75</v>
      </c>
      <c r="T805" s="45">
        <f t="shared" si="50"/>
        <v>1</v>
      </c>
      <c r="U805" s="45">
        <f t="shared" si="51"/>
        <v>274.75</v>
      </c>
    </row>
    <row r="806" spans="1:21" x14ac:dyDescent="0.3">
      <c r="A806" s="17" t="s">
        <v>153</v>
      </c>
      <c r="B806" s="32">
        <v>45388</v>
      </c>
      <c r="C806" s="32">
        <v>45393</v>
      </c>
      <c r="D806" s="8" t="s">
        <v>29</v>
      </c>
      <c r="E806" s="8" t="s">
        <v>154</v>
      </c>
      <c r="F806" s="10" t="s">
        <v>155</v>
      </c>
      <c r="G806" s="10" t="s">
        <v>51</v>
      </c>
      <c r="H806" s="10" t="s">
        <v>156</v>
      </c>
      <c r="I806" s="10" t="s">
        <v>157</v>
      </c>
      <c r="J806" s="10" t="s">
        <v>88</v>
      </c>
      <c r="K806" s="10" t="s">
        <v>35</v>
      </c>
      <c r="L806" s="10" t="s">
        <v>158</v>
      </c>
      <c r="M806" s="10" t="s">
        <v>159</v>
      </c>
      <c r="N806" s="11">
        <v>945.45</v>
      </c>
      <c r="O806" s="12">
        <v>9</v>
      </c>
      <c r="P806" s="13">
        <v>0</v>
      </c>
      <c r="Q806" s="19">
        <v>368.55</v>
      </c>
      <c r="R806" s="45" t="str">
        <f t="shared" si="48"/>
        <v>OK</v>
      </c>
      <c r="S806" s="45">
        <f t="shared" si="49"/>
        <v>274.75</v>
      </c>
      <c r="T806" s="45">
        <f t="shared" si="50"/>
        <v>1</v>
      </c>
      <c r="U806" s="45">
        <f t="shared" si="51"/>
        <v>274.75</v>
      </c>
    </row>
    <row r="807" spans="1:21" x14ac:dyDescent="0.3">
      <c r="A807" s="17" t="s">
        <v>966</v>
      </c>
      <c r="B807" s="32">
        <v>45390</v>
      </c>
      <c r="C807" s="32">
        <v>45394</v>
      </c>
      <c r="D807" s="8" t="s">
        <v>73</v>
      </c>
      <c r="E807" s="8" t="s">
        <v>858</v>
      </c>
      <c r="F807" s="10" t="s">
        <v>859</v>
      </c>
      <c r="G807" s="10" t="s">
        <v>51</v>
      </c>
      <c r="H807" s="10" t="s">
        <v>145</v>
      </c>
      <c r="I807" s="10" t="s">
        <v>140</v>
      </c>
      <c r="J807" s="10" t="s">
        <v>24</v>
      </c>
      <c r="K807" s="10" t="s">
        <v>25</v>
      </c>
      <c r="L807" s="10" t="s">
        <v>74</v>
      </c>
      <c r="M807" s="10" t="s">
        <v>967</v>
      </c>
      <c r="N807" s="11">
        <v>2487.9</v>
      </c>
      <c r="O807" s="12">
        <v>10</v>
      </c>
      <c r="P807" s="13">
        <v>0</v>
      </c>
      <c r="Q807" s="19">
        <v>1011.73</v>
      </c>
      <c r="R807" s="45" t="str">
        <f t="shared" si="48"/>
        <v>OK</v>
      </c>
      <c r="S807" s="45">
        <f t="shared" si="49"/>
        <v>274.75</v>
      </c>
      <c r="T807" s="45">
        <f t="shared" si="50"/>
        <v>1</v>
      </c>
      <c r="U807" s="45">
        <f t="shared" si="51"/>
        <v>274.75</v>
      </c>
    </row>
    <row r="808" spans="1:21" x14ac:dyDescent="0.3">
      <c r="A808" s="17" t="s">
        <v>1836</v>
      </c>
      <c r="B808" s="32">
        <v>45390</v>
      </c>
      <c r="C808" s="32">
        <v>45395</v>
      </c>
      <c r="D808" s="8" t="s">
        <v>29</v>
      </c>
      <c r="E808" s="8" t="s">
        <v>232</v>
      </c>
      <c r="F808" s="10" t="s">
        <v>233</v>
      </c>
      <c r="G808" s="10" t="s">
        <v>21</v>
      </c>
      <c r="H808" s="10" t="s">
        <v>156</v>
      </c>
      <c r="I808" s="10" t="s">
        <v>157</v>
      </c>
      <c r="J808" s="10" t="s">
        <v>88</v>
      </c>
      <c r="K808" s="10" t="s">
        <v>45</v>
      </c>
      <c r="L808" s="10" t="s">
        <v>61</v>
      </c>
      <c r="M808" s="10" t="s">
        <v>1837</v>
      </c>
      <c r="N808" s="11">
        <v>570.05999999999995</v>
      </c>
      <c r="O808" s="12">
        <v>3</v>
      </c>
      <c r="P808" s="13">
        <v>0</v>
      </c>
      <c r="Q808" s="19">
        <v>50.93</v>
      </c>
      <c r="R808" s="45" t="str">
        <f t="shared" si="48"/>
        <v>OK</v>
      </c>
      <c r="S808" s="45">
        <f t="shared" si="49"/>
        <v>274.75</v>
      </c>
      <c r="T808" s="45">
        <f t="shared" si="50"/>
        <v>1</v>
      </c>
      <c r="U808" s="45">
        <f t="shared" si="51"/>
        <v>274.75</v>
      </c>
    </row>
    <row r="809" spans="1:21" x14ac:dyDescent="0.3">
      <c r="A809" s="17" t="s">
        <v>95</v>
      </c>
      <c r="B809" s="32">
        <v>45398</v>
      </c>
      <c r="C809" s="32">
        <v>45401</v>
      </c>
      <c r="D809" s="8" t="s">
        <v>73</v>
      </c>
      <c r="E809" s="8" t="s">
        <v>96</v>
      </c>
      <c r="F809" s="10" t="s">
        <v>97</v>
      </c>
      <c r="G809" s="10" t="s">
        <v>21</v>
      </c>
      <c r="H809" s="10" t="s">
        <v>98</v>
      </c>
      <c r="I809" s="10" t="s">
        <v>80</v>
      </c>
      <c r="J809" s="10" t="s">
        <v>54</v>
      </c>
      <c r="K809" s="10" t="s">
        <v>45</v>
      </c>
      <c r="L809" s="10" t="s">
        <v>99</v>
      </c>
      <c r="M809" s="10" t="s">
        <v>100</v>
      </c>
      <c r="N809" s="11">
        <v>936.35</v>
      </c>
      <c r="O809" s="12">
        <v>5</v>
      </c>
      <c r="P809" s="13">
        <v>0</v>
      </c>
      <c r="Q809" s="19">
        <v>358.18</v>
      </c>
      <c r="R809" s="45" t="str">
        <f t="shared" si="48"/>
        <v>OK</v>
      </c>
      <c r="S809" s="45">
        <f t="shared" si="49"/>
        <v>274.75</v>
      </c>
      <c r="T809" s="45">
        <f t="shared" si="50"/>
        <v>1</v>
      </c>
      <c r="U809" s="45">
        <f t="shared" si="51"/>
        <v>274.75</v>
      </c>
    </row>
    <row r="810" spans="1:21" x14ac:dyDescent="0.3">
      <c r="A810" s="16" t="s">
        <v>1169</v>
      </c>
      <c r="B810" s="31">
        <v>45398</v>
      </c>
      <c r="C810" s="31">
        <v>45402</v>
      </c>
      <c r="D810" s="2" t="s">
        <v>39</v>
      </c>
      <c r="E810" s="2" t="s">
        <v>924</v>
      </c>
      <c r="F810" s="4" t="s">
        <v>925</v>
      </c>
      <c r="G810" s="4" t="s">
        <v>42</v>
      </c>
      <c r="H810" s="4" t="s">
        <v>79</v>
      </c>
      <c r="I810" s="4" t="s">
        <v>80</v>
      </c>
      <c r="J810" s="4" t="s">
        <v>54</v>
      </c>
      <c r="K810" s="4" t="s">
        <v>45</v>
      </c>
      <c r="L810" s="4" t="s">
        <v>61</v>
      </c>
      <c r="M810" s="4" t="s">
        <v>1170</v>
      </c>
      <c r="N810" s="5">
        <v>1063.5</v>
      </c>
      <c r="O810" s="6">
        <v>6</v>
      </c>
      <c r="P810" s="7">
        <v>0</v>
      </c>
      <c r="Q810" s="18">
        <v>96.76</v>
      </c>
      <c r="R810" s="45" t="str">
        <f t="shared" si="48"/>
        <v>OK</v>
      </c>
      <c r="S810" s="45">
        <f t="shared" si="49"/>
        <v>274.75</v>
      </c>
      <c r="T810" s="45">
        <f t="shared" si="50"/>
        <v>1</v>
      </c>
      <c r="U810" s="45">
        <f t="shared" si="51"/>
        <v>274.75</v>
      </c>
    </row>
    <row r="811" spans="1:21" x14ac:dyDescent="0.3">
      <c r="A811" s="16" t="s">
        <v>2221</v>
      </c>
      <c r="B811" s="31">
        <v>45398</v>
      </c>
      <c r="C811" s="31">
        <v>45404</v>
      </c>
      <c r="D811" s="2" t="s">
        <v>29</v>
      </c>
      <c r="E811" s="2" t="s">
        <v>606</v>
      </c>
      <c r="F811" s="4" t="s">
        <v>607</v>
      </c>
      <c r="G811" s="4" t="s">
        <v>51</v>
      </c>
      <c r="H811" s="4" t="s">
        <v>104</v>
      </c>
      <c r="I811" s="4" t="s">
        <v>105</v>
      </c>
      <c r="J811" s="4" t="s">
        <v>88</v>
      </c>
      <c r="K811" s="4" t="s">
        <v>25</v>
      </c>
      <c r="L811" s="4" t="s">
        <v>74</v>
      </c>
      <c r="M811" s="4" t="s">
        <v>2222</v>
      </c>
      <c r="N811" s="5">
        <v>2616.0500000000002</v>
      </c>
      <c r="O811" s="6">
        <v>6</v>
      </c>
      <c r="P811" s="7">
        <v>0.3</v>
      </c>
      <c r="Q811" s="18">
        <v>190.39</v>
      </c>
      <c r="R811" s="45" t="str">
        <f t="shared" si="48"/>
        <v>OK</v>
      </c>
      <c r="S811" s="45">
        <f t="shared" si="49"/>
        <v>274.75</v>
      </c>
      <c r="T811" s="45">
        <f t="shared" si="50"/>
        <v>1</v>
      </c>
      <c r="U811" s="45">
        <f t="shared" si="51"/>
        <v>274.75</v>
      </c>
    </row>
    <row r="812" spans="1:21" x14ac:dyDescent="0.3">
      <c r="A812" s="17" t="s">
        <v>681</v>
      </c>
      <c r="B812" s="32">
        <v>45400</v>
      </c>
      <c r="C812" s="32">
        <v>45402</v>
      </c>
      <c r="D812" s="8" t="s">
        <v>39</v>
      </c>
      <c r="E812" s="8" t="s">
        <v>682</v>
      </c>
      <c r="F812" s="10" t="s">
        <v>683</v>
      </c>
      <c r="G812" s="10" t="s">
        <v>21</v>
      </c>
      <c r="H812" s="10" t="s">
        <v>66</v>
      </c>
      <c r="I812" s="10" t="s">
        <v>67</v>
      </c>
      <c r="J812" s="10" t="s">
        <v>34</v>
      </c>
      <c r="K812" s="10" t="s">
        <v>35</v>
      </c>
      <c r="L812" s="10" t="s">
        <v>158</v>
      </c>
      <c r="M812" s="10" t="s">
        <v>684</v>
      </c>
      <c r="N812" s="11">
        <v>125.16</v>
      </c>
      <c r="O812" s="12">
        <v>5</v>
      </c>
      <c r="P812" s="13">
        <v>0.2</v>
      </c>
      <c r="Q812" s="19">
        <v>38.1</v>
      </c>
      <c r="R812" s="45" t="str">
        <f t="shared" si="48"/>
        <v>OK</v>
      </c>
      <c r="S812" s="45">
        <f t="shared" si="49"/>
        <v>274.75</v>
      </c>
      <c r="T812" s="45">
        <f t="shared" si="50"/>
        <v>1</v>
      </c>
      <c r="U812" s="45">
        <f t="shared" si="51"/>
        <v>274.75</v>
      </c>
    </row>
    <row r="813" spans="1:21" x14ac:dyDescent="0.3">
      <c r="A813" s="16" t="s">
        <v>2081</v>
      </c>
      <c r="B813" s="31">
        <v>45400</v>
      </c>
      <c r="C813" s="31">
        <v>45403</v>
      </c>
      <c r="D813" s="2" t="s">
        <v>73</v>
      </c>
      <c r="E813" s="2" t="s">
        <v>642</v>
      </c>
      <c r="F813" s="4" t="s">
        <v>643</v>
      </c>
      <c r="G813" s="4" t="s">
        <v>51</v>
      </c>
      <c r="H813" s="4" t="s">
        <v>171</v>
      </c>
      <c r="I813" s="4" t="s">
        <v>172</v>
      </c>
      <c r="J813" s="4" t="s">
        <v>24</v>
      </c>
      <c r="K813" s="4" t="s">
        <v>35</v>
      </c>
      <c r="L813" s="4" t="s">
        <v>216</v>
      </c>
      <c r="M813" s="4" t="s">
        <v>1144</v>
      </c>
      <c r="N813" s="5">
        <v>15.65</v>
      </c>
      <c r="O813" s="6">
        <v>1</v>
      </c>
      <c r="P813" s="7">
        <v>0.3</v>
      </c>
      <c r="Q813" s="18">
        <v>3.29</v>
      </c>
      <c r="R813" s="45" t="str">
        <f t="shared" si="48"/>
        <v>OK</v>
      </c>
      <c r="S813" s="45">
        <f t="shared" si="49"/>
        <v>274.75</v>
      </c>
      <c r="T813" s="45">
        <f t="shared" si="50"/>
        <v>1</v>
      </c>
      <c r="U813" s="45">
        <f t="shared" si="51"/>
        <v>274.75</v>
      </c>
    </row>
    <row r="814" spans="1:21" x14ac:dyDescent="0.3">
      <c r="A814" s="16" t="s">
        <v>974</v>
      </c>
      <c r="B814" s="31">
        <v>45402</v>
      </c>
      <c r="C814" s="31">
        <v>45404</v>
      </c>
      <c r="D814" s="2" t="s">
        <v>18</v>
      </c>
      <c r="E814" s="2" t="s">
        <v>975</v>
      </c>
      <c r="F814" s="4" t="s">
        <v>976</v>
      </c>
      <c r="G814" s="4" t="s">
        <v>51</v>
      </c>
      <c r="H814" s="4" t="s">
        <v>459</v>
      </c>
      <c r="I814" s="4" t="s">
        <v>460</v>
      </c>
      <c r="J814" s="4" t="s">
        <v>54</v>
      </c>
      <c r="K814" s="4" t="s">
        <v>25</v>
      </c>
      <c r="L814" s="4" t="s">
        <v>124</v>
      </c>
      <c r="M814" s="4" t="s">
        <v>977</v>
      </c>
      <c r="N814" s="5">
        <v>9278.06</v>
      </c>
      <c r="O814" s="6">
        <v>5</v>
      </c>
      <c r="P814" s="7">
        <v>0.1</v>
      </c>
      <c r="Q814" s="18">
        <v>1270.01</v>
      </c>
      <c r="R814" s="45" t="str">
        <f t="shared" si="48"/>
        <v>OK</v>
      </c>
      <c r="S814" s="45">
        <f t="shared" si="49"/>
        <v>274.75</v>
      </c>
      <c r="T814" s="45">
        <f t="shared" si="50"/>
        <v>1</v>
      </c>
      <c r="U814" s="45">
        <f t="shared" si="51"/>
        <v>274.75</v>
      </c>
    </row>
    <row r="815" spans="1:21" x14ac:dyDescent="0.3">
      <c r="A815" s="17" t="s">
        <v>894</v>
      </c>
      <c r="B815" s="32">
        <v>45404</v>
      </c>
      <c r="C815" s="32">
        <v>45406</v>
      </c>
      <c r="D815" s="8" t="s">
        <v>39</v>
      </c>
      <c r="E815" s="8" t="s">
        <v>210</v>
      </c>
      <c r="F815" s="10" t="s">
        <v>211</v>
      </c>
      <c r="G815" s="10" t="s">
        <v>42</v>
      </c>
      <c r="H815" s="10" t="s">
        <v>86</v>
      </c>
      <c r="I815" s="10" t="s">
        <v>87</v>
      </c>
      <c r="J815" s="10" t="s">
        <v>88</v>
      </c>
      <c r="K815" s="10" t="s">
        <v>25</v>
      </c>
      <c r="L815" s="10" t="s">
        <v>74</v>
      </c>
      <c r="M815" s="10" t="s">
        <v>895</v>
      </c>
      <c r="N815" s="11">
        <v>1360.45</v>
      </c>
      <c r="O815" s="12">
        <v>3</v>
      </c>
      <c r="P815" s="13">
        <v>0.15</v>
      </c>
      <c r="Q815" s="19">
        <v>395.65</v>
      </c>
      <c r="R815" s="45" t="str">
        <f t="shared" si="48"/>
        <v>OK</v>
      </c>
      <c r="S815" s="45">
        <f t="shared" si="49"/>
        <v>274.75</v>
      </c>
      <c r="T815" s="45">
        <f t="shared" si="50"/>
        <v>1</v>
      </c>
      <c r="U815" s="45">
        <f t="shared" si="51"/>
        <v>274.75</v>
      </c>
    </row>
    <row r="816" spans="1:21" x14ac:dyDescent="0.3">
      <c r="A816" s="16" t="s">
        <v>1369</v>
      </c>
      <c r="B816" s="31">
        <v>45404</v>
      </c>
      <c r="C816" s="31">
        <v>45410</v>
      </c>
      <c r="D816" s="2" t="s">
        <v>29</v>
      </c>
      <c r="E816" s="2" t="s">
        <v>154</v>
      </c>
      <c r="F816" s="4" t="s">
        <v>155</v>
      </c>
      <c r="G816" s="4" t="s">
        <v>51</v>
      </c>
      <c r="H816" s="4" t="s">
        <v>156</v>
      </c>
      <c r="I816" s="4" t="s">
        <v>157</v>
      </c>
      <c r="J816" s="4" t="s">
        <v>88</v>
      </c>
      <c r="K816" s="4" t="s">
        <v>45</v>
      </c>
      <c r="L816" s="4" t="s">
        <v>117</v>
      </c>
      <c r="M816" s="4" t="s">
        <v>1370</v>
      </c>
      <c r="N816" s="5">
        <v>587.16</v>
      </c>
      <c r="O816" s="6">
        <v>5</v>
      </c>
      <c r="P816" s="7">
        <v>0.3</v>
      </c>
      <c r="Q816" s="18">
        <v>-4.4800000000000004</v>
      </c>
      <c r="R816" s="45" t="str">
        <f t="shared" si="48"/>
        <v>OK</v>
      </c>
      <c r="S816" s="45">
        <f t="shared" si="49"/>
        <v>274.75</v>
      </c>
      <c r="T816" s="45">
        <f t="shared" si="50"/>
        <v>1</v>
      </c>
      <c r="U816" s="45">
        <f t="shared" si="51"/>
        <v>274.75</v>
      </c>
    </row>
    <row r="817" spans="1:21" x14ac:dyDescent="0.3">
      <c r="A817" s="16" t="s">
        <v>1063</v>
      </c>
      <c r="B817" s="31">
        <v>45406</v>
      </c>
      <c r="C817" s="31">
        <v>45411</v>
      </c>
      <c r="D817" s="2" t="s">
        <v>29</v>
      </c>
      <c r="E817" s="2" t="s">
        <v>1064</v>
      </c>
      <c r="F817" s="4" t="s">
        <v>1065</v>
      </c>
      <c r="G817" s="4" t="s">
        <v>51</v>
      </c>
      <c r="H817" s="4" t="s">
        <v>122</v>
      </c>
      <c r="I817" s="4" t="s">
        <v>123</v>
      </c>
      <c r="J817" s="4" t="s">
        <v>24</v>
      </c>
      <c r="K817" s="4" t="s">
        <v>25</v>
      </c>
      <c r="L817" s="4" t="s">
        <v>26</v>
      </c>
      <c r="M817" s="4" t="s">
        <v>1066</v>
      </c>
      <c r="N817" s="5">
        <v>6663.87</v>
      </c>
      <c r="O817" s="6">
        <v>5</v>
      </c>
      <c r="P817" s="7">
        <v>0.15</v>
      </c>
      <c r="Q817" s="18">
        <v>942.13</v>
      </c>
      <c r="R817" s="45" t="str">
        <f t="shared" si="48"/>
        <v>OK</v>
      </c>
      <c r="S817" s="45">
        <f t="shared" si="49"/>
        <v>274.75</v>
      </c>
      <c r="T817" s="45">
        <f t="shared" si="50"/>
        <v>1</v>
      </c>
      <c r="U817" s="45">
        <f t="shared" si="51"/>
        <v>274.75</v>
      </c>
    </row>
    <row r="818" spans="1:21" x14ac:dyDescent="0.3">
      <c r="A818" s="17" t="s">
        <v>1971</v>
      </c>
      <c r="B818" s="32">
        <v>45406</v>
      </c>
      <c r="C818" s="32">
        <v>45407</v>
      </c>
      <c r="D818" s="8" t="s">
        <v>18</v>
      </c>
      <c r="E818" s="8" t="s">
        <v>154</v>
      </c>
      <c r="F818" s="10" t="s">
        <v>155</v>
      </c>
      <c r="G818" s="10" t="s">
        <v>51</v>
      </c>
      <c r="H818" s="10" t="s">
        <v>156</v>
      </c>
      <c r="I818" s="10" t="s">
        <v>157</v>
      </c>
      <c r="J818" s="10" t="s">
        <v>88</v>
      </c>
      <c r="K818" s="10" t="s">
        <v>45</v>
      </c>
      <c r="L818" s="10" t="s">
        <v>99</v>
      </c>
      <c r="M818" s="10" t="s">
        <v>1972</v>
      </c>
      <c r="N818" s="11">
        <v>766.38</v>
      </c>
      <c r="O818" s="12">
        <v>9</v>
      </c>
      <c r="P818" s="13">
        <v>0.15</v>
      </c>
      <c r="Q818" s="19">
        <v>215.87</v>
      </c>
      <c r="R818" s="45" t="str">
        <f t="shared" si="48"/>
        <v>OK</v>
      </c>
      <c r="S818" s="45">
        <f t="shared" si="49"/>
        <v>274.75</v>
      </c>
      <c r="T818" s="45">
        <f t="shared" si="50"/>
        <v>1</v>
      </c>
      <c r="U818" s="45">
        <f t="shared" si="51"/>
        <v>274.75</v>
      </c>
    </row>
    <row r="819" spans="1:21" x14ac:dyDescent="0.3">
      <c r="A819" s="16" t="s">
        <v>941</v>
      </c>
      <c r="B819" s="31">
        <v>45407</v>
      </c>
      <c r="C819" s="31">
        <v>45412</v>
      </c>
      <c r="D819" s="2" t="s">
        <v>29</v>
      </c>
      <c r="E819" s="2" t="s">
        <v>64</v>
      </c>
      <c r="F819" s="4" t="s">
        <v>65</v>
      </c>
      <c r="G819" s="4" t="s">
        <v>51</v>
      </c>
      <c r="H819" s="4" t="s">
        <v>66</v>
      </c>
      <c r="I819" s="4" t="s">
        <v>67</v>
      </c>
      <c r="J819" s="4" t="s">
        <v>34</v>
      </c>
      <c r="K819" s="4" t="s">
        <v>45</v>
      </c>
      <c r="L819" s="4" t="s">
        <v>99</v>
      </c>
      <c r="M819" s="4" t="s">
        <v>942</v>
      </c>
      <c r="N819" s="5">
        <v>232.32</v>
      </c>
      <c r="O819" s="6">
        <v>2</v>
      </c>
      <c r="P819" s="7">
        <v>0.3</v>
      </c>
      <c r="Q819" s="18">
        <v>0.74</v>
      </c>
      <c r="R819" s="45" t="str">
        <f t="shared" si="48"/>
        <v>OK</v>
      </c>
      <c r="S819" s="45">
        <f t="shared" si="49"/>
        <v>274.75</v>
      </c>
      <c r="T819" s="45">
        <f t="shared" si="50"/>
        <v>1</v>
      </c>
      <c r="U819" s="45">
        <f t="shared" si="51"/>
        <v>274.75</v>
      </c>
    </row>
    <row r="820" spans="1:21" x14ac:dyDescent="0.3">
      <c r="A820" s="17" t="s">
        <v>2310</v>
      </c>
      <c r="B820" s="32">
        <v>45407</v>
      </c>
      <c r="C820" s="32">
        <v>45409</v>
      </c>
      <c r="D820" s="8" t="s">
        <v>18</v>
      </c>
      <c r="E820" s="8" t="s">
        <v>223</v>
      </c>
      <c r="F820" s="10" t="s">
        <v>224</v>
      </c>
      <c r="G820" s="10" t="s">
        <v>21</v>
      </c>
      <c r="H820" s="10" t="s">
        <v>59</v>
      </c>
      <c r="I820" s="10" t="s">
        <v>60</v>
      </c>
      <c r="J820" s="10" t="s">
        <v>54</v>
      </c>
      <c r="K820" s="10" t="s">
        <v>45</v>
      </c>
      <c r="L820" s="10" t="s">
        <v>61</v>
      </c>
      <c r="M820" s="10" t="s">
        <v>2311</v>
      </c>
      <c r="N820" s="11">
        <v>2320.1799999999998</v>
      </c>
      <c r="O820" s="12">
        <v>6</v>
      </c>
      <c r="P820" s="13">
        <v>0.05</v>
      </c>
      <c r="Q820" s="19">
        <v>-0.56000000000000005</v>
      </c>
      <c r="R820" s="45" t="str">
        <f t="shared" si="48"/>
        <v>OK</v>
      </c>
      <c r="S820" s="45">
        <f t="shared" si="49"/>
        <v>274.75</v>
      </c>
      <c r="T820" s="45">
        <f t="shared" si="50"/>
        <v>1</v>
      </c>
      <c r="U820" s="45">
        <f t="shared" si="51"/>
        <v>274.75</v>
      </c>
    </row>
    <row r="821" spans="1:21" x14ac:dyDescent="0.3">
      <c r="A821" s="17" t="s">
        <v>2012</v>
      </c>
      <c r="B821" s="32">
        <v>45411</v>
      </c>
      <c r="C821" s="32">
        <v>45414</v>
      </c>
      <c r="D821" s="8" t="s">
        <v>18</v>
      </c>
      <c r="E821" s="8" t="s">
        <v>2013</v>
      </c>
      <c r="F821" s="10" t="s">
        <v>2014</v>
      </c>
      <c r="G821" s="10" t="s">
        <v>42</v>
      </c>
      <c r="H821" s="10" t="s">
        <v>177</v>
      </c>
      <c r="I821" s="10" t="s">
        <v>178</v>
      </c>
      <c r="J821" s="10" t="s">
        <v>24</v>
      </c>
      <c r="K821" s="10" t="s">
        <v>25</v>
      </c>
      <c r="L821" s="10" t="s">
        <v>68</v>
      </c>
      <c r="M821" s="10" t="s">
        <v>2015</v>
      </c>
      <c r="N821" s="11">
        <v>136.04</v>
      </c>
      <c r="O821" s="12">
        <v>2</v>
      </c>
      <c r="P821" s="13">
        <v>0.1</v>
      </c>
      <c r="Q821" s="19">
        <v>41.03</v>
      </c>
      <c r="R821" s="45" t="str">
        <f t="shared" si="48"/>
        <v>OK</v>
      </c>
      <c r="S821" s="45">
        <f t="shared" si="49"/>
        <v>274.75</v>
      </c>
      <c r="T821" s="45">
        <f t="shared" si="50"/>
        <v>1</v>
      </c>
      <c r="U821" s="45">
        <f t="shared" si="51"/>
        <v>274.75</v>
      </c>
    </row>
    <row r="822" spans="1:21" x14ac:dyDescent="0.3">
      <c r="A822" s="16" t="s">
        <v>2374</v>
      </c>
      <c r="B822" s="31">
        <v>45411</v>
      </c>
      <c r="C822" s="31">
        <v>45416</v>
      </c>
      <c r="D822" s="2" t="s">
        <v>29</v>
      </c>
      <c r="E822" s="2" t="s">
        <v>19</v>
      </c>
      <c r="F822" s="4" t="s">
        <v>20</v>
      </c>
      <c r="G822" s="4" t="s">
        <v>21</v>
      </c>
      <c r="H822" s="4" t="s">
        <v>22</v>
      </c>
      <c r="I822" s="4" t="s">
        <v>23</v>
      </c>
      <c r="J822" s="4" t="s">
        <v>24</v>
      </c>
      <c r="K822" s="4" t="s">
        <v>45</v>
      </c>
      <c r="L822" s="4" t="s">
        <v>99</v>
      </c>
      <c r="M822" s="4" t="s">
        <v>2375</v>
      </c>
      <c r="N822" s="5">
        <v>12.31</v>
      </c>
      <c r="O822" s="6">
        <v>1</v>
      </c>
      <c r="P822" s="7">
        <v>0.05</v>
      </c>
      <c r="Q822" s="18">
        <v>3.95</v>
      </c>
      <c r="R822" s="45" t="str">
        <f t="shared" si="48"/>
        <v>OK</v>
      </c>
      <c r="S822" s="45">
        <f t="shared" si="49"/>
        <v>274.75</v>
      </c>
      <c r="T822" s="45">
        <f t="shared" si="50"/>
        <v>1</v>
      </c>
      <c r="U822" s="45">
        <f t="shared" si="51"/>
        <v>274.75</v>
      </c>
    </row>
    <row r="823" spans="1:21" x14ac:dyDescent="0.3">
      <c r="A823" s="17" t="s">
        <v>802</v>
      </c>
      <c r="B823" s="32">
        <v>45412</v>
      </c>
      <c r="C823" s="32">
        <v>45415</v>
      </c>
      <c r="D823" s="8" t="s">
        <v>73</v>
      </c>
      <c r="E823" s="8" t="s">
        <v>584</v>
      </c>
      <c r="F823" s="10" t="s">
        <v>585</v>
      </c>
      <c r="G823" s="10" t="s">
        <v>42</v>
      </c>
      <c r="H823" s="10" t="s">
        <v>250</v>
      </c>
      <c r="I823" s="10" t="s">
        <v>251</v>
      </c>
      <c r="J823" s="10" t="s">
        <v>88</v>
      </c>
      <c r="K823" s="10" t="s">
        <v>45</v>
      </c>
      <c r="L823" s="10" t="s">
        <v>46</v>
      </c>
      <c r="M823" s="10" t="s">
        <v>803</v>
      </c>
      <c r="N823" s="11">
        <v>1030.05</v>
      </c>
      <c r="O823" s="12">
        <v>7</v>
      </c>
      <c r="P823" s="13">
        <v>0</v>
      </c>
      <c r="Q823" s="19">
        <v>339.27</v>
      </c>
      <c r="R823" s="45" t="str">
        <f t="shared" si="48"/>
        <v>OK</v>
      </c>
      <c r="S823" s="45">
        <f t="shared" si="49"/>
        <v>274.75</v>
      </c>
      <c r="T823" s="45">
        <f t="shared" si="50"/>
        <v>1</v>
      </c>
      <c r="U823" s="45">
        <f t="shared" si="51"/>
        <v>274.75</v>
      </c>
    </row>
    <row r="824" spans="1:21" x14ac:dyDescent="0.3">
      <c r="A824" s="16" t="s">
        <v>2225</v>
      </c>
      <c r="B824" s="31">
        <v>45414</v>
      </c>
      <c r="C824" s="31">
        <v>45420</v>
      </c>
      <c r="D824" s="2" t="s">
        <v>29</v>
      </c>
      <c r="E824" s="2" t="s">
        <v>232</v>
      </c>
      <c r="F824" s="4" t="s">
        <v>233</v>
      </c>
      <c r="G824" s="4" t="s">
        <v>21</v>
      </c>
      <c r="H824" s="4" t="s">
        <v>156</v>
      </c>
      <c r="I824" s="4" t="s">
        <v>157</v>
      </c>
      <c r="J824" s="4" t="s">
        <v>88</v>
      </c>
      <c r="K824" s="4" t="s">
        <v>35</v>
      </c>
      <c r="L824" s="4" t="s">
        <v>166</v>
      </c>
      <c r="M824" s="4" t="s">
        <v>2226</v>
      </c>
      <c r="N824" s="5">
        <v>91.6</v>
      </c>
      <c r="O824" s="6">
        <v>5</v>
      </c>
      <c r="P824" s="7">
        <v>0</v>
      </c>
      <c r="Q824" s="18">
        <v>24.74</v>
      </c>
      <c r="R824" s="45" t="str">
        <f t="shared" si="48"/>
        <v>OK</v>
      </c>
      <c r="S824" s="45">
        <f t="shared" si="49"/>
        <v>274.75</v>
      </c>
      <c r="T824" s="45">
        <f t="shared" si="50"/>
        <v>1</v>
      </c>
      <c r="U824" s="45">
        <f t="shared" si="51"/>
        <v>274.75</v>
      </c>
    </row>
    <row r="825" spans="1:21" x14ac:dyDescent="0.3">
      <c r="A825" s="17" t="s">
        <v>1729</v>
      </c>
      <c r="B825" s="32">
        <v>45417</v>
      </c>
      <c r="C825" s="32">
        <v>45424</v>
      </c>
      <c r="D825" s="8" t="s">
        <v>29</v>
      </c>
      <c r="E825" s="8" t="s">
        <v>1162</v>
      </c>
      <c r="F825" s="10" t="s">
        <v>1163</v>
      </c>
      <c r="G825" s="10" t="s">
        <v>21</v>
      </c>
      <c r="H825" s="10" t="s">
        <v>386</v>
      </c>
      <c r="I825" s="10" t="s">
        <v>347</v>
      </c>
      <c r="J825" s="10" t="s">
        <v>88</v>
      </c>
      <c r="K825" s="10" t="s">
        <v>35</v>
      </c>
      <c r="L825" s="10" t="s">
        <v>89</v>
      </c>
      <c r="M825" s="10" t="s">
        <v>1730</v>
      </c>
      <c r="N825" s="11">
        <v>288.55</v>
      </c>
      <c r="O825" s="12">
        <v>1</v>
      </c>
      <c r="P825" s="13">
        <v>0</v>
      </c>
      <c r="Q825" s="19">
        <v>78.7</v>
      </c>
      <c r="R825" s="45" t="str">
        <f t="shared" si="48"/>
        <v>OK</v>
      </c>
      <c r="S825" s="45">
        <f t="shared" si="49"/>
        <v>274.75</v>
      </c>
      <c r="T825" s="45">
        <f t="shared" si="50"/>
        <v>1</v>
      </c>
      <c r="U825" s="45">
        <f t="shared" si="51"/>
        <v>274.75</v>
      </c>
    </row>
    <row r="826" spans="1:21" x14ac:dyDescent="0.3">
      <c r="A826" s="16" t="s">
        <v>1155</v>
      </c>
      <c r="B826" s="31">
        <v>45418</v>
      </c>
      <c r="C826" s="31">
        <v>45420</v>
      </c>
      <c r="D826" s="2" t="s">
        <v>18</v>
      </c>
      <c r="E826" s="2" t="s">
        <v>729</v>
      </c>
      <c r="F826" s="4" t="s">
        <v>730</v>
      </c>
      <c r="G826" s="4" t="s">
        <v>42</v>
      </c>
      <c r="H826" s="4" t="s">
        <v>165</v>
      </c>
      <c r="I826" s="4" t="s">
        <v>44</v>
      </c>
      <c r="J826" s="4" t="s">
        <v>24</v>
      </c>
      <c r="K826" s="4" t="s">
        <v>45</v>
      </c>
      <c r="L826" s="4" t="s">
        <v>99</v>
      </c>
      <c r="M826" s="4" t="s">
        <v>1156</v>
      </c>
      <c r="N826" s="5">
        <v>191.62</v>
      </c>
      <c r="O826" s="6">
        <v>2</v>
      </c>
      <c r="P826" s="7">
        <v>0.5</v>
      </c>
      <c r="Q826" s="18">
        <v>-44.99</v>
      </c>
      <c r="R826" s="45" t="str">
        <f t="shared" si="48"/>
        <v>OK</v>
      </c>
      <c r="S826" s="45">
        <f t="shared" si="49"/>
        <v>274.75</v>
      </c>
      <c r="T826" s="45">
        <f t="shared" si="50"/>
        <v>1</v>
      </c>
      <c r="U826" s="45">
        <f t="shared" si="51"/>
        <v>274.75</v>
      </c>
    </row>
    <row r="827" spans="1:21" x14ac:dyDescent="0.3">
      <c r="A827" s="16" t="s">
        <v>2151</v>
      </c>
      <c r="B827" s="31">
        <v>45418</v>
      </c>
      <c r="C827" s="31">
        <v>45423</v>
      </c>
      <c r="D827" s="2" t="s">
        <v>73</v>
      </c>
      <c r="E827" s="2" t="s">
        <v>561</v>
      </c>
      <c r="F827" s="4" t="s">
        <v>562</v>
      </c>
      <c r="G827" s="4" t="s">
        <v>42</v>
      </c>
      <c r="H827" s="4" t="s">
        <v>563</v>
      </c>
      <c r="I827" s="4" t="s">
        <v>460</v>
      </c>
      <c r="J827" s="4" t="s">
        <v>54</v>
      </c>
      <c r="K827" s="4" t="s">
        <v>35</v>
      </c>
      <c r="L827" s="4" t="s">
        <v>216</v>
      </c>
      <c r="M827" s="4" t="s">
        <v>2152</v>
      </c>
      <c r="N827" s="5">
        <v>24.17</v>
      </c>
      <c r="O827" s="6">
        <v>3</v>
      </c>
      <c r="P827" s="7">
        <v>0.4</v>
      </c>
      <c r="Q827" s="18">
        <v>2.73</v>
      </c>
      <c r="R827" s="45" t="str">
        <f t="shared" si="48"/>
        <v>OK</v>
      </c>
      <c r="S827" s="45">
        <f t="shared" si="49"/>
        <v>274.75</v>
      </c>
      <c r="T827" s="45">
        <f t="shared" si="50"/>
        <v>1</v>
      </c>
      <c r="U827" s="45">
        <f t="shared" si="51"/>
        <v>274.75</v>
      </c>
    </row>
    <row r="828" spans="1:21" x14ac:dyDescent="0.3">
      <c r="A828" s="17" t="s">
        <v>162</v>
      </c>
      <c r="B828" s="32">
        <v>45419</v>
      </c>
      <c r="C828" s="32">
        <v>45424</v>
      </c>
      <c r="D828" s="8" t="s">
        <v>29</v>
      </c>
      <c r="E828" s="8" t="s">
        <v>163</v>
      </c>
      <c r="F828" s="10" t="s">
        <v>164</v>
      </c>
      <c r="G828" s="10" t="s">
        <v>21</v>
      </c>
      <c r="H828" s="10" t="s">
        <v>165</v>
      </c>
      <c r="I828" s="10" t="s">
        <v>44</v>
      </c>
      <c r="J828" s="10" t="s">
        <v>24</v>
      </c>
      <c r="K828" s="10" t="s">
        <v>35</v>
      </c>
      <c r="L828" s="10" t="s">
        <v>166</v>
      </c>
      <c r="M828" s="10" t="s">
        <v>167</v>
      </c>
      <c r="N828" s="11">
        <v>199.43</v>
      </c>
      <c r="O828" s="12">
        <v>2</v>
      </c>
      <c r="P828" s="13">
        <v>0.15</v>
      </c>
      <c r="Q828" s="19">
        <v>35.770000000000003</v>
      </c>
      <c r="R828" s="45" t="str">
        <f t="shared" si="48"/>
        <v>OK</v>
      </c>
      <c r="S828" s="45">
        <f t="shared" si="49"/>
        <v>274.75</v>
      </c>
      <c r="T828" s="45">
        <f t="shared" si="50"/>
        <v>1</v>
      </c>
      <c r="U828" s="45">
        <f t="shared" si="51"/>
        <v>274.75</v>
      </c>
    </row>
    <row r="829" spans="1:21" x14ac:dyDescent="0.3">
      <c r="A829" s="17" t="s">
        <v>1024</v>
      </c>
      <c r="B829" s="32">
        <v>45419</v>
      </c>
      <c r="C829" s="32">
        <v>45422</v>
      </c>
      <c r="D829" s="8" t="s">
        <v>73</v>
      </c>
      <c r="E829" s="8" t="s">
        <v>1025</v>
      </c>
      <c r="F829" s="10" t="s">
        <v>1026</v>
      </c>
      <c r="G829" s="10" t="s">
        <v>21</v>
      </c>
      <c r="H829" s="10" t="s">
        <v>412</v>
      </c>
      <c r="I829" s="10" t="s">
        <v>178</v>
      </c>
      <c r="J829" s="10" t="s">
        <v>24</v>
      </c>
      <c r="K829" s="10" t="s">
        <v>35</v>
      </c>
      <c r="L829" s="10" t="s">
        <v>166</v>
      </c>
      <c r="M829" s="10" t="s">
        <v>1027</v>
      </c>
      <c r="N829" s="11">
        <v>209.9</v>
      </c>
      <c r="O829" s="12">
        <v>5</v>
      </c>
      <c r="P829" s="13">
        <v>0</v>
      </c>
      <c r="Q829" s="19">
        <v>78.89</v>
      </c>
      <c r="R829" s="45" t="str">
        <f t="shared" si="48"/>
        <v>OK</v>
      </c>
      <c r="S829" s="45">
        <f t="shared" si="49"/>
        <v>274.75</v>
      </c>
      <c r="T829" s="45">
        <f t="shared" si="50"/>
        <v>1</v>
      </c>
      <c r="U829" s="45">
        <f t="shared" si="51"/>
        <v>274.75</v>
      </c>
    </row>
    <row r="830" spans="1:21" x14ac:dyDescent="0.3">
      <c r="A830" s="17" t="s">
        <v>507</v>
      </c>
      <c r="B830" s="32">
        <v>45421</v>
      </c>
      <c r="C830" s="32">
        <v>45424</v>
      </c>
      <c r="D830" s="8" t="s">
        <v>18</v>
      </c>
      <c r="E830" s="8" t="s">
        <v>143</v>
      </c>
      <c r="F830" s="10" t="s">
        <v>144</v>
      </c>
      <c r="G830" s="10" t="s">
        <v>21</v>
      </c>
      <c r="H830" s="10" t="s">
        <v>145</v>
      </c>
      <c r="I830" s="10" t="s">
        <v>140</v>
      </c>
      <c r="J830" s="10" t="s">
        <v>24</v>
      </c>
      <c r="K830" s="10" t="s">
        <v>45</v>
      </c>
      <c r="L830" s="10" t="s">
        <v>117</v>
      </c>
      <c r="M830" s="10" t="s">
        <v>508</v>
      </c>
      <c r="N830" s="11">
        <v>243.83</v>
      </c>
      <c r="O830" s="12">
        <v>1</v>
      </c>
      <c r="P830" s="13">
        <v>0.05</v>
      </c>
      <c r="Q830" s="19">
        <v>41.65</v>
      </c>
      <c r="R830" s="45" t="str">
        <f t="shared" si="48"/>
        <v>OK</v>
      </c>
      <c r="S830" s="45">
        <f t="shared" si="49"/>
        <v>274.75</v>
      </c>
      <c r="T830" s="45">
        <f t="shared" si="50"/>
        <v>1</v>
      </c>
      <c r="U830" s="45">
        <f t="shared" si="51"/>
        <v>274.75</v>
      </c>
    </row>
    <row r="831" spans="1:21" x14ac:dyDescent="0.3">
      <c r="A831" s="16" t="s">
        <v>1659</v>
      </c>
      <c r="B831" s="31">
        <v>45421</v>
      </c>
      <c r="C831" s="31">
        <v>45426</v>
      </c>
      <c r="D831" s="2" t="s">
        <v>29</v>
      </c>
      <c r="E831" s="2" t="s">
        <v>1064</v>
      </c>
      <c r="F831" s="4" t="s">
        <v>1065</v>
      </c>
      <c r="G831" s="4" t="s">
        <v>51</v>
      </c>
      <c r="H831" s="4" t="s">
        <v>122</v>
      </c>
      <c r="I831" s="4" t="s">
        <v>123</v>
      </c>
      <c r="J831" s="4" t="s">
        <v>24</v>
      </c>
      <c r="K831" s="4" t="s">
        <v>45</v>
      </c>
      <c r="L831" s="4" t="s">
        <v>117</v>
      </c>
      <c r="M831" s="4" t="s">
        <v>1660</v>
      </c>
      <c r="N831" s="5">
        <v>163.34</v>
      </c>
      <c r="O831" s="6">
        <v>2</v>
      </c>
      <c r="P831" s="7">
        <v>0.5</v>
      </c>
      <c r="Q831" s="18">
        <v>-47.49</v>
      </c>
      <c r="R831" s="45" t="str">
        <f t="shared" si="48"/>
        <v>OK</v>
      </c>
      <c r="S831" s="45">
        <f t="shared" si="49"/>
        <v>274.75</v>
      </c>
      <c r="T831" s="45">
        <f t="shared" si="50"/>
        <v>1</v>
      </c>
      <c r="U831" s="45">
        <f t="shared" si="51"/>
        <v>274.75</v>
      </c>
    </row>
    <row r="832" spans="1:21" x14ac:dyDescent="0.3">
      <c r="A832" s="16" t="s">
        <v>1747</v>
      </c>
      <c r="B832" s="31">
        <v>45423</v>
      </c>
      <c r="C832" s="31">
        <v>45422</v>
      </c>
      <c r="D832" s="2" t="s">
        <v>73</v>
      </c>
      <c r="E832" s="2" t="s">
        <v>1708</v>
      </c>
      <c r="F832" s="4" t="s">
        <v>1709</v>
      </c>
      <c r="G832" s="4" t="s">
        <v>51</v>
      </c>
      <c r="H832" s="4" t="s">
        <v>177</v>
      </c>
      <c r="I832" s="4" t="s">
        <v>178</v>
      </c>
      <c r="J832" s="4" t="s">
        <v>24</v>
      </c>
      <c r="K832" s="4" t="s">
        <v>25</v>
      </c>
      <c r="L832" s="4" t="s">
        <v>124</v>
      </c>
      <c r="M832" s="4" t="s">
        <v>1748</v>
      </c>
      <c r="N832" s="5">
        <v>9707.8799999999992</v>
      </c>
      <c r="O832" s="6">
        <v>6</v>
      </c>
      <c r="P832" s="7">
        <v>0.3</v>
      </c>
      <c r="Q832" s="18">
        <v>-194.88</v>
      </c>
      <c r="R832" s="45" t="str">
        <f t="shared" si="48"/>
        <v>Error</v>
      </c>
      <c r="S832" s="45">
        <f t="shared" si="49"/>
        <v>274.75</v>
      </c>
      <c r="T832" s="45">
        <f t="shared" si="50"/>
        <v>1</v>
      </c>
      <c r="U832" s="45">
        <f t="shared" si="51"/>
        <v>274.75</v>
      </c>
    </row>
    <row r="833" spans="1:21" x14ac:dyDescent="0.3">
      <c r="A833" s="17" t="s">
        <v>601</v>
      </c>
      <c r="B833" s="32">
        <v>45424</v>
      </c>
      <c r="C833" s="32">
        <v>45426</v>
      </c>
      <c r="D833" s="8" t="s">
        <v>39</v>
      </c>
      <c r="E833" s="8" t="s">
        <v>201</v>
      </c>
      <c r="F833" s="10" t="s">
        <v>202</v>
      </c>
      <c r="G833" s="10" t="s">
        <v>21</v>
      </c>
      <c r="H833" s="10" t="s">
        <v>98</v>
      </c>
      <c r="I833" s="10" t="s">
        <v>80</v>
      </c>
      <c r="J833" s="10" t="s">
        <v>54</v>
      </c>
      <c r="K833" s="10" t="s">
        <v>25</v>
      </c>
      <c r="L833" s="10" t="s">
        <v>74</v>
      </c>
      <c r="M833" s="10" t="s">
        <v>602</v>
      </c>
      <c r="N833" s="11">
        <v>1225.1199999999999</v>
      </c>
      <c r="O833" s="12">
        <v>6</v>
      </c>
      <c r="P833" s="13">
        <v>0.15</v>
      </c>
      <c r="Q833" s="19">
        <v>398.23</v>
      </c>
      <c r="R833" s="45" t="str">
        <f t="shared" si="48"/>
        <v>OK</v>
      </c>
      <c r="S833" s="45">
        <f t="shared" si="49"/>
        <v>274.75</v>
      </c>
      <c r="T833" s="45">
        <f t="shared" si="50"/>
        <v>1</v>
      </c>
      <c r="U833" s="45">
        <f t="shared" si="51"/>
        <v>274.75</v>
      </c>
    </row>
    <row r="834" spans="1:21" x14ac:dyDescent="0.3">
      <c r="A834" s="16" t="s">
        <v>2092</v>
      </c>
      <c r="B834" s="31">
        <v>45425</v>
      </c>
      <c r="C834" s="31">
        <v>45428</v>
      </c>
      <c r="D834" s="2" t="s">
        <v>39</v>
      </c>
      <c r="E834" s="2" t="s">
        <v>1435</v>
      </c>
      <c r="F834" s="4" t="s">
        <v>1436</v>
      </c>
      <c r="G834" s="4" t="s">
        <v>21</v>
      </c>
      <c r="H834" s="4" t="s">
        <v>492</v>
      </c>
      <c r="I834" s="4" t="s">
        <v>53</v>
      </c>
      <c r="J834" s="4" t="s">
        <v>54</v>
      </c>
      <c r="K834" s="4" t="s">
        <v>45</v>
      </c>
      <c r="L834" s="4" t="s">
        <v>46</v>
      </c>
      <c r="M834" s="4" t="s">
        <v>2093</v>
      </c>
      <c r="N834" s="5">
        <v>685.55</v>
      </c>
      <c r="O834" s="6">
        <v>6</v>
      </c>
      <c r="P834" s="7">
        <v>0.4</v>
      </c>
      <c r="Q834" s="18">
        <v>-115.63</v>
      </c>
      <c r="R834" s="45" t="str">
        <f t="shared" ref="R834:R897" si="52">IF(C834&lt;B834,"Error","OK")</f>
        <v>OK</v>
      </c>
      <c r="S834" s="45">
        <f t="shared" ref="S834:S897" si="53">AVERAGEIF(E834:E1832,"CU-1057",N834:N1832)</f>
        <v>274.75</v>
      </c>
      <c r="T834" s="45">
        <f t="shared" ref="T834:T897" si="54">COUNTIF(E834:E1832,"CU-1057")</f>
        <v>1</v>
      </c>
      <c r="U834" s="45">
        <f t="shared" ref="U834:U897" si="55">SUMIF(E834:E1832,"CU-1057",N834:N1832)</f>
        <v>274.75</v>
      </c>
    </row>
    <row r="835" spans="1:21" x14ac:dyDescent="0.3">
      <c r="A835" s="17" t="s">
        <v>871</v>
      </c>
      <c r="B835" s="32">
        <v>45426</v>
      </c>
      <c r="C835" s="32">
        <v>45427</v>
      </c>
      <c r="D835" s="8" t="s">
        <v>18</v>
      </c>
      <c r="E835" s="8" t="s">
        <v>453</v>
      </c>
      <c r="F835" s="10" t="s">
        <v>454</v>
      </c>
      <c r="G835" s="10" t="s">
        <v>21</v>
      </c>
      <c r="H835" s="10" t="s">
        <v>386</v>
      </c>
      <c r="I835" s="10" t="s">
        <v>347</v>
      </c>
      <c r="J835" s="10" t="s">
        <v>88</v>
      </c>
      <c r="K835" s="10" t="s">
        <v>25</v>
      </c>
      <c r="L835" s="10" t="s">
        <v>124</v>
      </c>
      <c r="M835" s="10" t="s">
        <v>872</v>
      </c>
      <c r="N835" s="11">
        <v>10346.89</v>
      </c>
      <c r="O835" s="12">
        <v>7</v>
      </c>
      <c r="P835" s="13">
        <v>0.3</v>
      </c>
      <c r="Q835" s="19">
        <v>-191.52</v>
      </c>
      <c r="R835" s="45" t="str">
        <f t="shared" si="52"/>
        <v>OK</v>
      </c>
      <c r="S835" s="45">
        <f t="shared" si="53"/>
        <v>274.75</v>
      </c>
      <c r="T835" s="45">
        <f t="shared" si="54"/>
        <v>1</v>
      </c>
      <c r="U835" s="45">
        <f t="shared" si="55"/>
        <v>274.75</v>
      </c>
    </row>
    <row r="836" spans="1:21" x14ac:dyDescent="0.3">
      <c r="A836" s="17" t="s">
        <v>1265</v>
      </c>
      <c r="B836" s="32">
        <v>45429</v>
      </c>
      <c r="C836" s="32">
        <v>45434</v>
      </c>
      <c r="D836" s="8" t="s">
        <v>73</v>
      </c>
      <c r="E836" s="8" t="s">
        <v>96</v>
      </c>
      <c r="F836" s="10" t="s">
        <v>97</v>
      </c>
      <c r="G836" s="10" t="s">
        <v>21</v>
      </c>
      <c r="H836" s="10" t="s">
        <v>98</v>
      </c>
      <c r="I836" s="10" t="s">
        <v>80</v>
      </c>
      <c r="J836" s="10" t="s">
        <v>54</v>
      </c>
      <c r="K836" s="10" t="s">
        <v>35</v>
      </c>
      <c r="L836" s="10" t="s">
        <v>110</v>
      </c>
      <c r="M836" s="10" t="s">
        <v>1266</v>
      </c>
      <c r="N836" s="11">
        <v>325.35000000000002</v>
      </c>
      <c r="O836" s="12">
        <v>9</v>
      </c>
      <c r="P836" s="13">
        <v>0</v>
      </c>
      <c r="Q836" s="19">
        <v>152.36000000000001</v>
      </c>
      <c r="R836" s="45" t="str">
        <f t="shared" si="52"/>
        <v>OK</v>
      </c>
      <c r="S836" s="45">
        <f t="shared" si="53"/>
        <v>274.75</v>
      </c>
      <c r="T836" s="45">
        <f t="shared" si="54"/>
        <v>1</v>
      </c>
      <c r="U836" s="45">
        <f t="shared" si="55"/>
        <v>274.75</v>
      </c>
    </row>
    <row r="837" spans="1:21" x14ac:dyDescent="0.3">
      <c r="A837" s="17" t="s">
        <v>1701</v>
      </c>
      <c r="B837" s="32">
        <v>45431</v>
      </c>
      <c r="C837" s="32">
        <v>45432</v>
      </c>
      <c r="D837" s="8" t="s">
        <v>18</v>
      </c>
      <c r="E837" s="8" t="s">
        <v>210</v>
      </c>
      <c r="F837" s="10" t="s">
        <v>211</v>
      </c>
      <c r="G837" s="10" t="s">
        <v>42</v>
      </c>
      <c r="H837" s="10" t="s">
        <v>86</v>
      </c>
      <c r="I837" s="10" t="s">
        <v>87</v>
      </c>
      <c r="J837" s="10" t="s">
        <v>88</v>
      </c>
      <c r="K837" s="10" t="s">
        <v>35</v>
      </c>
      <c r="L837" s="10" t="s">
        <v>110</v>
      </c>
      <c r="M837" s="10" t="s">
        <v>1702</v>
      </c>
      <c r="N837" s="11">
        <v>31.86</v>
      </c>
      <c r="O837" s="12">
        <v>6</v>
      </c>
      <c r="P837" s="13">
        <v>0.1</v>
      </c>
      <c r="Q837" s="19">
        <v>13.49</v>
      </c>
      <c r="R837" s="45" t="str">
        <f t="shared" si="52"/>
        <v>OK</v>
      </c>
      <c r="S837" s="45">
        <f t="shared" si="53"/>
        <v>274.75</v>
      </c>
      <c r="T837" s="45">
        <f t="shared" si="54"/>
        <v>1</v>
      </c>
      <c r="U837" s="45">
        <f t="shared" si="55"/>
        <v>274.75</v>
      </c>
    </row>
    <row r="838" spans="1:21" x14ac:dyDescent="0.3">
      <c r="A838" s="17" t="s">
        <v>2126</v>
      </c>
      <c r="B838" s="32">
        <v>45433</v>
      </c>
      <c r="C838" s="32">
        <v>45438</v>
      </c>
      <c r="D838" s="8" t="s">
        <v>73</v>
      </c>
      <c r="E838" s="8" t="s">
        <v>614</v>
      </c>
      <c r="F838" s="10" t="s">
        <v>615</v>
      </c>
      <c r="G838" s="10" t="s">
        <v>21</v>
      </c>
      <c r="H838" s="10" t="s">
        <v>139</v>
      </c>
      <c r="I838" s="10" t="s">
        <v>140</v>
      </c>
      <c r="J838" s="10" t="s">
        <v>24</v>
      </c>
      <c r="K838" s="10" t="s">
        <v>35</v>
      </c>
      <c r="L838" s="10" t="s">
        <v>89</v>
      </c>
      <c r="M838" s="10" t="s">
        <v>2127</v>
      </c>
      <c r="N838" s="11">
        <v>764.88</v>
      </c>
      <c r="O838" s="12">
        <v>6</v>
      </c>
      <c r="P838" s="13">
        <v>0.05</v>
      </c>
      <c r="Q838" s="19">
        <v>191.76</v>
      </c>
      <c r="R838" s="45" t="str">
        <f t="shared" si="52"/>
        <v>OK</v>
      </c>
      <c r="S838" s="45">
        <f t="shared" si="53"/>
        <v>274.75</v>
      </c>
      <c r="T838" s="45">
        <f t="shared" si="54"/>
        <v>1</v>
      </c>
      <c r="U838" s="45">
        <f t="shared" si="55"/>
        <v>274.75</v>
      </c>
    </row>
    <row r="839" spans="1:21" x14ac:dyDescent="0.3">
      <c r="A839" s="16" t="s">
        <v>1914</v>
      </c>
      <c r="B839" s="31">
        <v>45434</v>
      </c>
      <c r="C839" s="31">
        <v>45441</v>
      </c>
      <c r="D839" s="2" t="s">
        <v>29</v>
      </c>
      <c r="E839" s="2" t="s">
        <v>753</v>
      </c>
      <c r="F839" s="4" t="s">
        <v>754</v>
      </c>
      <c r="G839" s="4" t="s">
        <v>42</v>
      </c>
      <c r="H839" s="4" t="s">
        <v>22</v>
      </c>
      <c r="I839" s="4" t="s">
        <v>23</v>
      </c>
      <c r="J839" s="4" t="s">
        <v>24</v>
      </c>
      <c r="K839" s="4" t="s">
        <v>35</v>
      </c>
      <c r="L839" s="4" t="s">
        <v>110</v>
      </c>
      <c r="M839" s="4" t="s">
        <v>62</v>
      </c>
      <c r="N839" s="5">
        <v>138.81</v>
      </c>
      <c r="O839" s="6">
        <v>6</v>
      </c>
      <c r="P839" s="7">
        <v>0.3</v>
      </c>
      <c r="Q839" s="18">
        <v>20.46</v>
      </c>
      <c r="R839" s="45" t="str">
        <f t="shared" si="52"/>
        <v>OK</v>
      </c>
      <c r="S839" s="45">
        <f t="shared" si="53"/>
        <v>274.75</v>
      </c>
      <c r="T839" s="45">
        <f t="shared" si="54"/>
        <v>1</v>
      </c>
      <c r="U839" s="45">
        <f t="shared" si="55"/>
        <v>274.75</v>
      </c>
    </row>
    <row r="840" spans="1:21" x14ac:dyDescent="0.3">
      <c r="A840" s="16" t="s">
        <v>1886</v>
      </c>
      <c r="B840" s="31">
        <v>45435</v>
      </c>
      <c r="C840" s="31">
        <v>45440</v>
      </c>
      <c r="D840" s="2" t="s">
        <v>29</v>
      </c>
      <c r="E840" s="2" t="s">
        <v>1158</v>
      </c>
      <c r="F840" s="4" t="s">
        <v>1159</v>
      </c>
      <c r="G840" s="4" t="s">
        <v>42</v>
      </c>
      <c r="H840" s="4" t="s">
        <v>346</v>
      </c>
      <c r="I840" s="4" t="s">
        <v>347</v>
      </c>
      <c r="J840" s="4" t="s">
        <v>88</v>
      </c>
      <c r="K840" s="4" t="s">
        <v>25</v>
      </c>
      <c r="L840" s="4" t="s">
        <v>74</v>
      </c>
      <c r="M840" s="4" t="s">
        <v>1887</v>
      </c>
      <c r="N840" s="5">
        <v>3380.4</v>
      </c>
      <c r="O840" s="6">
        <v>6</v>
      </c>
      <c r="P840" s="7">
        <v>0.1</v>
      </c>
      <c r="Q840" s="18">
        <v>914.18</v>
      </c>
      <c r="R840" s="45" t="str">
        <f t="shared" si="52"/>
        <v>OK</v>
      </c>
      <c r="S840" s="45">
        <f t="shared" si="53"/>
        <v>274.75</v>
      </c>
      <c r="T840" s="45">
        <f t="shared" si="54"/>
        <v>1</v>
      </c>
      <c r="U840" s="45">
        <f t="shared" si="55"/>
        <v>274.75</v>
      </c>
    </row>
    <row r="841" spans="1:21" x14ac:dyDescent="0.3">
      <c r="A841" s="16" t="s">
        <v>832</v>
      </c>
      <c r="B841" s="31">
        <v>45437</v>
      </c>
      <c r="C841" s="31">
        <v>45441</v>
      </c>
      <c r="D841" s="2" t="s">
        <v>73</v>
      </c>
      <c r="E841" s="2" t="s">
        <v>553</v>
      </c>
      <c r="F841" s="4" t="s">
        <v>554</v>
      </c>
      <c r="G841" s="4" t="s">
        <v>42</v>
      </c>
      <c r="H841" s="4" t="s">
        <v>177</v>
      </c>
      <c r="I841" s="4" t="s">
        <v>178</v>
      </c>
      <c r="J841" s="4" t="s">
        <v>833</v>
      </c>
      <c r="K841" s="4" t="s">
        <v>25</v>
      </c>
      <c r="L841" s="4" t="s">
        <v>68</v>
      </c>
      <c r="M841" s="4" t="s">
        <v>834</v>
      </c>
      <c r="N841" s="5">
        <v>80.650000000000006</v>
      </c>
      <c r="O841" s="6">
        <v>2</v>
      </c>
      <c r="P841" s="7">
        <v>0.4</v>
      </c>
      <c r="Q841" s="18">
        <v>4.95</v>
      </c>
      <c r="R841" s="45" t="str">
        <f t="shared" si="52"/>
        <v>OK</v>
      </c>
      <c r="S841" s="45">
        <f t="shared" si="53"/>
        <v>274.75</v>
      </c>
      <c r="T841" s="45">
        <f t="shared" si="54"/>
        <v>1</v>
      </c>
      <c r="U841" s="45">
        <f t="shared" si="55"/>
        <v>274.75</v>
      </c>
    </row>
    <row r="842" spans="1:21" x14ac:dyDescent="0.3">
      <c r="A842" s="16" t="s">
        <v>1401</v>
      </c>
      <c r="B842" s="31">
        <v>45437</v>
      </c>
      <c r="C842" s="31">
        <v>45442</v>
      </c>
      <c r="D842" s="2" t="s">
        <v>29</v>
      </c>
      <c r="E842" s="2" t="s">
        <v>355</v>
      </c>
      <c r="F842" s="4" t="s">
        <v>356</v>
      </c>
      <c r="G842" s="4" t="s">
        <v>21</v>
      </c>
      <c r="H842" s="4" t="s">
        <v>357</v>
      </c>
      <c r="I842" s="4" t="s">
        <v>251</v>
      </c>
      <c r="J842" s="4" t="s">
        <v>88</v>
      </c>
      <c r="K842" s="4" t="s">
        <v>45</v>
      </c>
      <c r="L842" s="4" t="s">
        <v>46</v>
      </c>
      <c r="M842" s="4" t="s">
        <v>1402</v>
      </c>
      <c r="N842" s="5">
        <v>1624.97</v>
      </c>
      <c r="O842" s="6">
        <v>9</v>
      </c>
      <c r="P842" s="7">
        <v>0.2</v>
      </c>
      <c r="Q842" s="18">
        <v>198.57</v>
      </c>
      <c r="R842" s="45" t="str">
        <f t="shared" si="52"/>
        <v>OK</v>
      </c>
      <c r="S842" s="45">
        <f t="shared" si="53"/>
        <v>274.75</v>
      </c>
      <c r="T842" s="45">
        <f t="shared" si="54"/>
        <v>1</v>
      </c>
      <c r="U842" s="45">
        <f t="shared" si="55"/>
        <v>274.75</v>
      </c>
    </row>
    <row r="843" spans="1:21" x14ac:dyDescent="0.3">
      <c r="A843" s="17" t="s">
        <v>2294</v>
      </c>
      <c r="B843" s="32">
        <v>45437</v>
      </c>
      <c r="C843" s="32">
        <v>45441</v>
      </c>
      <c r="D843" s="8" t="s">
        <v>73</v>
      </c>
      <c r="E843" s="8" t="s">
        <v>360</v>
      </c>
      <c r="F843" s="10" t="s">
        <v>361</v>
      </c>
      <c r="G843" s="10" t="s">
        <v>42</v>
      </c>
      <c r="H843" s="10" t="s">
        <v>346</v>
      </c>
      <c r="I843" s="10" t="s">
        <v>347</v>
      </c>
      <c r="J843" s="10" t="s">
        <v>88</v>
      </c>
      <c r="K843" s="10" t="s">
        <v>25</v>
      </c>
      <c r="L843" s="10" t="s">
        <v>74</v>
      </c>
      <c r="M843" s="10" t="s">
        <v>2295</v>
      </c>
      <c r="N843" s="11">
        <v>1025.3499999999999</v>
      </c>
      <c r="O843" s="12">
        <v>4</v>
      </c>
      <c r="P843" s="13">
        <v>0.05</v>
      </c>
      <c r="Q843" s="19">
        <v>369.29</v>
      </c>
      <c r="R843" s="45" t="str">
        <f t="shared" si="52"/>
        <v>OK</v>
      </c>
      <c r="S843" s="45">
        <f t="shared" si="53"/>
        <v>274.75</v>
      </c>
      <c r="T843" s="45">
        <f t="shared" si="54"/>
        <v>1</v>
      </c>
      <c r="U843" s="45">
        <f t="shared" si="55"/>
        <v>274.75</v>
      </c>
    </row>
    <row r="844" spans="1:21" x14ac:dyDescent="0.3">
      <c r="A844" s="17" t="s">
        <v>1808</v>
      </c>
      <c r="B844" s="32">
        <v>45439</v>
      </c>
      <c r="C844" s="32">
        <v>45444</v>
      </c>
      <c r="D844" s="8" t="s">
        <v>29</v>
      </c>
      <c r="E844" s="8" t="s">
        <v>410</v>
      </c>
      <c r="F844" s="10" t="s">
        <v>411</v>
      </c>
      <c r="G844" s="10" t="s">
        <v>42</v>
      </c>
      <c r="H844" s="10" t="s">
        <v>412</v>
      </c>
      <c r="I844" s="10" t="s">
        <v>178</v>
      </c>
      <c r="J844" s="10" t="s">
        <v>24</v>
      </c>
      <c r="K844" s="10" t="s">
        <v>25</v>
      </c>
      <c r="L844" s="10" t="s">
        <v>26</v>
      </c>
      <c r="M844" s="10" t="s">
        <v>1809</v>
      </c>
      <c r="N844" s="11">
        <v>506.49</v>
      </c>
      <c r="O844" s="12">
        <v>2</v>
      </c>
      <c r="P844" s="13">
        <v>0.3</v>
      </c>
      <c r="Q844" s="19">
        <v>-102.85</v>
      </c>
      <c r="R844" s="45" t="str">
        <f t="shared" si="52"/>
        <v>OK</v>
      </c>
      <c r="S844" s="45">
        <f t="shared" si="53"/>
        <v>274.75</v>
      </c>
      <c r="T844" s="45">
        <f t="shared" si="54"/>
        <v>1</v>
      </c>
      <c r="U844" s="45">
        <f t="shared" si="55"/>
        <v>274.75</v>
      </c>
    </row>
    <row r="845" spans="1:21" x14ac:dyDescent="0.3">
      <c r="A845" s="16" t="s">
        <v>2241</v>
      </c>
      <c r="B845" s="31">
        <v>45440</v>
      </c>
      <c r="C845" s="31">
        <v>45443</v>
      </c>
      <c r="D845" s="2" t="s">
        <v>18</v>
      </c>
      <c r="E845" s="2" t="s">
        <v>406</v>
      </c>
      <c r="F845" s="4" t="s">
        <v>407</v>
      </c>
      <c r="G845" s="4" t="s">
        <v>42</v>
      </c>
      <c r="H845" s="4" t="s">
        <v>165</v>
      </c>
      <c r="I845" s="4" t="s">
        <v>44</v>
      </c>
      <c r="J845" s="4" t="s">
        <v>24</v>
      </c>
      <c r="K845" s="4" t="s">
        <v>45</v>
      </c>
      <c r="L845" s="4" t="s">
        <v>61</v>
      </c>
      <c r="M845" s="4" t="s">
        <v>2242</v>
      </c>
      <c r="N845" s="5">
        <v>637.4</v>
      </c>
      <c r="O845" s="6">
        <v>2</v>
      </c>
      <c r="P845" s="7">
        <v>0.4</v>
      </c>
      <c r="Q845" s="18">
        <v>-369.39</v>
      </c>
      <c r="R845" s="45" t="str">
        <f t="shared" si="52"/>
        <v>OK</v>
      </c>
      <c r="S845" s="45">
        <f t="shared" si="53"/>
        <v>274.75</v>
      </c>
      <c r="T845" s="45">
        <f t="shared" si="54"/>
        <v>1</v>
      </c>
      <c r="U845" s="45">
        <f t="shared" si="55"/>
        <v>274.75</v>
      </c>
    </row>
    <row r="846" spans="1:21" x14ac:dyDescent="0.3">
      <c r="A846" s="16" t="s">
        <v>1680</v>
      </c>
      <c r="B846" s="31">
        <v>45442</v>
      </c>
      <c r="C846" s="31">
        <v>45445</v>
      </c>
      <c r="D846" s="2" t="s">
        <v>18</v>
      </c>
      <c r="E846" s="2" t="s">
        <v>864</v>
      </c>
      <c r="F846" s="4" t="s">
        <v>865</v>
      </c>
      <c r="G846" s="4" t="s">
        <v>21</v>
      </c>
      <c r="H846" s="4" t="s">
        <v>177</v>
      </c>
      <c r="I846" s="4" t="s">
        <v>178</v>
      </c>
      <c r="J846" s="4" t="s">
        <v>24</v>
      </c>
      <c r="K846" s="4" t="s">
        <v>35</v>
      </c>
      <c r="L846" s="4" t="s">
        <v>89</v>
      </c>
      <c r="M846" s="4" t="s">
        <v>1681</v>
      </c>
      <c r="N846" s="5">
        <v>1500.58</v>
      </c>
      <c r="O846" s="6">
        <v>7</v>
      </c>
      <c r="P846" s="7">
        <v>0.2</v>
      </c>
      <c r="Q846" s="18">
        <v>198.47</v>
      </c>
      <c r="R846" s="45" t="str">
        <f t="shared" si="52"/>
        <v>OK</v>
      </c>
      <c r="S846" s="45">
        <f t="shared" si="53"/>
        <v>274.75</v>
      </c>
      <c r="T846" s="45">
        <f t="shared" si="54"/>
        <v>1</v>
      </c>
      <c r="U846" s="45">
        <f t="shared" si="55"/>
        <v>274.75</v>
      </c>
    </row>
    <row r="847" spans="1:21" x14ac:dyDescent="0.3">
      <c r="A847" s="17" t="s">
        <v>1769</v>
      </c>
      <c r="B847" s="32">
        <v>45445</v>
      </c>
      <c r="C847" s="32">
        <v>45449</v>
      </c>
      <c r="D847" s="8" t="s">
        <v>73</v>
      </c>
      <c r="E847" s="8" t="s">
        <v>768</v>
      </c>
      <c r="F847" s="10" t="s">
        <v>769</v>
      </c>
      <c r="G847" s="10" t="s">
        <v>51</v>
      </c>
      <c r="H847" s="10" t="s">
        <v>183</v>
      </c>
      <c r="I847" s="10" t="s">
        <v>184</v>
      </c>
      <c r="J847" s="10" t="s">
        <v>54</v>
      </c>
      <c r="K847" s="10" t="s">
        <v>45</v>
      </c>
      <c r="L847" s="10" t="s">
        <v>117</v>
      </c>
      <c r="M847" s="10" t="s">
        <v>1770</v>
      </c>
      <c r="N847" s="11">
        <v>400.57</v>
      </c>
      <c r="O847" s="12">
        <v>8</v>
      </c>
      <c r="P847" s="13">
        <v>0.3</v>
      </c>
      <c r="Q847" s="19">
        <v>-13.65</v>
      </c>
      <c r="R847" s="45" t="str">
        <f t="shared" si="52"/>
        <v>OK</v>
      </c>
      <c r="S847" s="45">
        <f t="shared" si="53"/>
        <v>274.75</v>
      </c>
      <c r="T847" s="45">
        <f t="shared" si="54"/>
        <v>1</v>
      </c>
      <c r="U847" s="45">
        <f t="shared" si="55"/>
        <v>274.75</v>
      </c>
    </row>
    <row r="848" spans="1:21" x14ac:dyDescent="0.3">
      <c r="A848" s="16" t="s">
        <v>1010</v>
      </c>
      <c r="B848" s="31">
        <v>45447</v>
      </c>
      <c r="C848" s="31">
        <v>45452</v>
      </c>
      <c r="D848" s="2" t="s">
        <v>73</v>
      </c>
      <c r="E848" s="2" t="s">
        <v>1011</v>
      </c>
      <c r="F848" s="4" t="s">
        <v>1012</v>
      </c>
      <c r="G848" s="4" t="s">
        <v>21</v>
      </c>
      <c r="H848" s="4" t="s">
        <v>59</v>
      </c>
      <c r="I848" s="4" t="s">
        <v>60</v>
      </c>
      <c r="J848" s="4" t="s">
        <v>54</v>
      </c>
      <c r="K848" s="4" t="s">
        <v>25</v>
      </c>
      <c r="L848" s="4" t="s">
        <v>26</v>
      </c>
      <c r="M848" s="4" t="s">
        <v>1013</v>
      </c>
      <c r="N848" s="5">
        <v>1648.87</v>
      </c>
      <c r="O848" s="6">
        <v>1</v>
      </c>
      <c r="P848" s="7">
        <v>0.1</v>
      </c>
      <c r="Q848" s="18">
        <v>65.89</v>
      </c>
      <c r="R848" s="45" t="str">
        <f t="shared" si="52"/>
        <v>OK</v>
      </c>
      <c r="S848" s="45">
        <f t="shared" si="53"/>
        <v>274.75</v>
      </c>
      <c r="T848" s="45">
        <f t="shared" si="54"/>
        <v>1</v>
      </c>
      <c r="U848" s="45">
        <f t="shared" si="55"/>
        <v>274.75</v>
      </c>
    </row>
    <row r="849" spans="1:21" x14ac:dyDescent="0.3">
      <c r="A849" s="17" t="s">
        <v>1228</v>
      </c>
      <c r="B849" s="32">
        <v>45448</v>
      </c>
      <c r="C849" s="32">
        <v>45451</v>
      </c>
      <c r="D849" s="8" t="s">
        <v>39</v>
      </c>
      <c r="E849" s="8" t="s">
        <v>745</v>
      </c>
      <c r="F849" s="10" t="s">
        <v>746</v>
      </c>
      <c r="G849" s="10" t="s">
        <v>51</v>
      </c>
      <c r="H849" s="10" t="s">
        <v>465</v>
      </c>
      <c r="I849" s="10" t="s">
        <v>423</v>
      </c>
      <c r="J849" s="10" t="s">
        <v>88</v>
      </c>
      <c r="K849" s="10" t="s">
        <v>45</v>
      </c>
      <c r="L849" s="10" t="s">
        <v>99</v>
      </c>
      <c r="M849" s="10" t="s">
        <v>1229</v>
      </c>
      <c r="N849" s="11">
        <v>230</v>
      </c>
      <c r="O849" s="12">
        <v>10</v>
      </c>
      <c r="P849" s="13">
        <v>0.05</v>
      </c>
      <c r="Q849" s="19">
        <v>51.69</v>
      </c>
      <c r="R849" s="45" t="str">
        <f t="shared" si="52"/>
        <v>OK</v>
      </c>
      <c r="S849" s="45">
        <f t="shared" si="53"/>
        <v>274.75</v>
      </c>
      <c r="T849" s="45">
        <f t="shared" si="54"/>
        <v>1</v>
      </c>
      <c r="U849" s="45">
        <f t="shared" si="55"/>
        <v>274.75</v>
      </c>
    </row>
    <row r="850" spans="1:21" x14ac:dyDescent="0.3">
      <c r="A850" s="17" t="s">
        <v>1847</v>
      </c>
      <c r="B850" s="32">
        <v>45448</v>
      </c>
      <c r="C850" s="32">
        <v>45452</v>
      </c>
      <c r="D850" s="8" t="s">
        <v>73</v>
      </c>
      <c r="E850" s="8" t="s">
        <v>946</v>
      </c>
      <c r="F850" s="10" t="s">
        <v>947</v>
      </c>
      <c r="G850" s="10" t="s">
        <v>21</v>
      </c>
      <c r="H850" s="10" t="s">
        <v>156</v>
      </c>
      <c r="I850" s="10" t="s">
        <v>157</v>
      </c>
      <c r="J850" s="10" t="s">
        <v>88</v>
      </c>
      <c r="K850" s="10" t="s">
        <v>45</v>
      </c>
      <c r="L850" s="10" t="s">
        <v>46</v>
      </c>
      <c r="M850" s="10" t="s">
        <v>455</v>
      </c>
      <c r="N850" s="11">
        <v>475.2</v>
      </c>
      <c r="O850" s="12">
        <v>3</v>
      </c>
      <c r="P850" s="13">
        <v>0</v>
      </c>
      <c r="Q850" s="19">
        <v>153.24</v>
      </c>
      <c r="R850" s="45" t="str">
        <f t="shared" si="52"/>
        <v>OK</v>
      </c>
      <c r="S850" s="45">
        <f t="shared" si="53"/>
        <v>274.75</v>
      </c>
      <c r="T850" s="45">
        <f t="shared" si="54"/>
        <v>1</v>
      </c>
      <c r="U850" s="45">
        <f t="shared" si="55"/>
        <v>274.75</v>
      </c>
    </row>
    <row r="851" spans="1:21" x14ac:dyDescent="0.3">
      <c r="A851" s="16" t="s">
        <v>957</v>
      </c>
      <c r="B851" s="31">
        <v>45449</v>
      </c>
      <c r="C851" s="31">
        <v>45450</v>
      </c>
      <c r="D851" s="2" t="s">
        <v>18</v>
      </c>
      <c r="E851" s="2" t="s">
        <v>537</v>
      </c>
      <c r="F851" s="4" t="s">
        <v>538</v>
      </c>
      <c r="G851" s="4" t="s">
        <v>42</v>
      </c>
      <c r="H851" s="4" t="s">
        <v>115</v>
      </c>
      <c r="I851" s="4" t="s">
        <v>116</v>
      </c>
      <c r="J851" s="4" t="s">
        <v>54</v>
      </c>
      <c r="K851" s="4" t="s">
        <v>25</v>
      </c>
      <c r="L851" s="4" t="s">
        <v>26</v>
      </c>
      <c r="M851" s="4" t="s">
        <v>774</v>
      </c>
      <c r="N851" s="5">
        <v>1070.55</v>
      </c>
      <c r="O851" s="6">
        <v>7</v>
      </c>
      <c r="P851" s="7">
        <v>0.3</v>
      </c>
      <c r="Q851" s="18">
        <v>-156.21</v>
      </c>
      <c r="R851" s="45" t="str">
        <f t="shared" si="52"/>
        <v>OK</v>
      </c>
      <c r="S851" s="45">
        <f t="shared" si="53"/>
        <v>274.75</v>
      </c>
      <c r="T851" s="45">
        <f t="shared" si="54"/>
        <v>1</v>
      </c>
      <c r="U851" s="45">
        <f t="shared" si="55"/>
        <v>274.75</v>
      </c>
    </row>
    <row r="852" spans="1:21" x14ac:dyDescent="0.3">
      <c r="A852" s="17" t="s">
        <v>1979</v>
      </c>
      <c r="B852" s="32">
        <v>45451</v>
      </c>
      <c r="C852" s="32">
        <v>45458</v>
      </c>
      <c r="D852" s="8" t="s">
        <v>29</v>
      </c>
      <c r="E852" s="8" t="s">
        <v>1162</v>
      </c>
      <c r="F852" s="10" t="s">
        <v>1163</v>
      </c>
      <c r="G852" s="10" t="s">
        <v>21</v>
      </c>
      <c r="H852" s="10" t="s">
        <v>386</v>
      </c>
      <c r="I852" s="10" t="s">
        <v>347</v>
      </c>
      <c r="J852" s="10" t="s">
        <v>88</v>
      </c>
      <c r="K852" s="10" t="s">
        <v>25</v>
      </c>
      <c r="L852" s="10" t="s">
        <v>68</v>
      </c>
      <c r="M852" s="10" t="s">
        <v>1980</v>
      </c>
      <c r="N852" s="11">
        <v>104.65</v>
      </c>
      <c r="O852" s="12">
        <v>4</v>
      </c>
      <c r="P852" s="13">
        <v>0.15</v>
      </c>
      <c r="Q852" s="19">
        <v>37.35</v>
      </c>
      <c r="R852" s="45" t="str">
        <f t="shared" si="52"/>
        <v>OK</v>
      </c>
      <c r="S852" s="45">
        <f t="shared" si="53"/>
        <v>274.75</v>
      </c>
      <c r="T852" s="45">
        <f t="shared" si="54"/>
        <v>1</v>
      </c>
      <c r="U852" s="45">
        <f t="shared" si="55"/>
        <v>274.75</v>
      </c>
    </row>
    <row r="853" spans="1:21" x14ac:dyDescent="0.3">
      <c r="A853" s="16" t="s">
        <v>2073</v>
      </c>
      <c r="B853" s="31">
        <v>45451</v>
      </c>
      <c r="C853" s="31">
        <v>45457</v>
      </c>
      <c r="D853" s="2" t="s">
        <v>29</v>
      </c>
      <c r="E853" s="2" t="s">
        <v>370</v>
      </c>
      <c r="F853" s="4" t="s">
        <v>371</v>
      </c>
      <c r="G853" s="4" t="s">
        <v>51</v>
      </c>
      <c r="H853" s="4" t="s">
        <v>372</v>
      </c>
      <c r="I853" s="4" t="s">
        <v>373</v>
      </c>
      <c r="J853" s="4" t="s">
        <v>34</v>
      </c>
      <c r="K853" s="4" t="s">
        <v>25</v>
      </c>
      <c r="L853" s="4" t="s">
        <v>26</v>
      </c>
      <c r="M853" s="4" t="s">
        <v>2074</v>
      </c>
      <c r="N853" s="5">
        <v>2808.34</v>
      </c>
      <c r="O853" s="6">
        <v>4</v>
      </c>
      <c r="P853" s="7">
        <v>0.5</v>
      </c>
      <c r="Q853" s="18">
        <v>-1671.11</v>
      </c>
      <c r="R853" s="45" t="str">
        <f t="shared" si="52"/>
        <v>OK</v>
      </c>
      <c r="S853" s="45">
        <f t="shared" si="53"/>
        <v>274.75</v>
      </c>
      <c r="T853" s="45">
        <f t="shared" si="54"/>
        <v>1</v>
      </c>
      <c r="U853" s="45">
        <f t="shared" si="55"/>
        <v>274.75</v>
      </c>
    </row>
    <row r="854" spans="1:21" x14ac:dyDescent="0.3">
      <c r="A854" s="16" t="s">
        <v>775</v>
      </c>
      <c r="B854" s="31">
        <v>45453</v>
      </c>
      <c r="C854" s="31">
        <v>45456</v>
      </c>
      <c r="D854" s="2" t="s">
        <v>18</v>
      </c>
      <c r="E854" s="2" t="s">
        <v>628</v>
      </c>
      <c r="F854" s="4" t="s">
        <v>629</v>
      </c>
      <c r="G854" s="4" t="s">
        <v>42</v>
      </c>
      <c r="H854" s="4" t="s">
        <v>32</v>
      </c>
      <c r="I854" s="4" t="s">
        <v>33</v>
      </c>
      <c r="J854" s="4" t="s">
        <v>34</v>
      </c>
      <c r="K854" s="4" t="s">
        <v>35</v>
      </c>
      <c r="L854" s="4" t="s">
        <v>158</v>
      </c>
      <c r="M854" s="4" t="s">
        <v>776</v>
      </c>
      <c r="N854" s="5">
        <v>992.97</v>
      </c>
      <c r="O854" s="6">
        <v>9</v>
      </c>
      <c r="P854" s="7">
        <v>0</v>
      </c>
      <c r="Q854" s="18">
        <v>403.07</v>
      </c>
      <c r="R854" s="45" t="str">
        <f t="shared" si="52"/>
        <v>OK</v>
      </c>
      <c r="S854" s="45">
        <f t="shared" si="53"/>
        <v>274.75</v>
      </c>
      <c r="T854" s="45">
        <f t="shared" si="54"/>
        <v>1</v>
      </c>
      <c r="U854" s="45">
        <f t="shared" si="55"/>
        <v>274.75</v>
      </c>
    </row>
    <row r="855" spans="1:21" x14ac:dyDescent="0.3">
      <c r="A855" s="17" t="s">
        <v>2104</v>
      </c>
      <c r="B855" s="32">
        <v>45454</v>
      </c>
      <c r="C855" s="32">
        <v>45459</v>
      </c>
      <c r="D855" s="8" t="s">
        <v>73</v>
      </c>
      <c r="E855" s="8" t="s">
        <v>132</v>
      </c>
      <c r="F855" s="10" t="s">
        <v>133</v>
      </c>
      <c r="G855" s="10" t="s">
        <v>21</v>
      </c>
      <c r="H855" s="10" t="s">
        <v>134</v>
      </c>
      <c r="I855" s="10" t="s">
        <v>87</v>
      </c>
      <c r="J855" s="10" t="s">
        <v>88</v>
      </c>
      <c r="K855" s="10" t="s">
        <v>25</v>
      </c>
      <c r="L855" s="10" t="s">
        <v>68</v>
      </c>
      <c r="M855" s="10" t="s">
        <v>2105</v>
      </c>
      <c r="N855" s="11">
        <v>768.51</v>
      </c>
      <c r="O855" s="12">
        <v>9</v>
      </c>
      <c r="P855" s="13">
        <v>0</v>
      </c>
      <c r="Q855" s="19">
        <v>287.39999999999998</v>
      </c>
      <c r="R855" s="45" t="str">
        <f t="shared" si="52"/>
        <v>OK</v>
      </c>
      <c r="S855" s="45">
        <f t="shared" si="53"/>
        <v>274.75</v>
      </c>
      <c r="T855" s="45">
        <f t="shared" si="54"/>
        <v>1</v>
      </c>
      <c r="U855" s="45">
        <f t="shared" si="55"/>
        <v>274.75</v>
      </c>
    </row>
    <row r="856" spans="1:21" x14ac:dyDescent="0.3">
      <c r="A856" s="17" t="s">
        <v>2171</v>
      </c>
      <c r="B856" s="32">
        <v>45454</v>
      </c>
      <c r="C856" s="32">
        <v>45459</v>
      </c>
      <c r="D856" s="8" t="s">
        <v>29</v>
      </c>
      <c r="E856" s="8" t="s">
        <v>240</v>
      </c>
      <c r="F856" s="10" t="s">
        <v>241</v>
      </c>
      <c r="G856" s="10" t="s">
        <v>42</v>
      </c>
      <c r="H856" s="10" t="s">
        <v>115</v>
      </c>
      <c r="I856" s="10" t="s">
        <v>116</v>
      </c>
      <c r="J856" s="10" t="s">
        <v>54</v>
      </c>
      <c r="K856" s="10" t="s">
        <v>45</v>
      </c>
      <c r="L856" s="10" t="s">
        <v>46</v>
      </c>
      <c r="M856" s="10" t="s">
        <v>2172</v>
      </c>
      <c r="N856" s="11">
        <v>838.39</v>
      </c>
      <c r="O856" s="12">
        <v>6</v>
      </c>
      <c r="P856" s="13">
        <v>0.15</v>
      </c>
      <c r="Q856" s="19">
        <v>199.81</v>
      </c>
      <c r="R856" s="45" t="str">
        <f t="shared" si="52"/>
        <v>OK</v>
      </c>
      <c r="S856" s="45">
        <f t="shared" si="53"/>
        <v>274.75</v>
      </c>
      <c r="T856" s="45">
        <f t="shared" si="54"/>
        <v>1</v>
      </c>
      <c r="U856" s="45">
        <f t="shared" si="55"/>
        <v>274.75</v>
      </c>
    </row>
    <row r="857" spans="1:21" x14ac:dyDescent="0.3">
      <c r="A857" s="17" t="s">
        <v>2458</v>
      </c>
      <c r="B857" s="32">
        <v>45454</v>
      </c>
      <c r="C857" s="32">
        <v>45456</v>
      </c>
      <c r="D857" s="8" t="s">
        <v>18</v>
      </c>
      <c r="E857" s="8" t="s">
        <v>197</v>
      </c>
      <c r="F857" s="10" t="s">
        <v>198</v>
      </c>
      <c r="G857" s="10" t="s">
        <v>21</v>
      </c>
      <c r="H857" s="10" t="s">
        <v>129</v>
      </c>
      <c r="I857" s="10" t="s">
        <v>33</v>
      </c>
      <c r="J857" s="10" t="s">
        <v>34</v>
      </c>
      <c r="K857" s="10" t="s">
        <v>45</v>
      </c>
      <c r="L857" s="10" t="s">
        <v>61</v>
      </c>
      <c r="M857" s="10" t="s">
        <v>2459</v>
      </c>
      <c r="N857" s="11">
        <v>485.72</v>
      </c>
      <c r="O857" s="12">
        <v>2</v>
      </c>
      <c r="P857" s="13">
        <v>0.15</v>
      </c>
      <c r="Q857" s="19">
        <v>-38.19</v>
      </c>
      <c r="R857" s="45" t="str">
        <f t="shared" si="52"/>
        <v>OK</v>
      </c>
      <c r="S857" s="45">
        <f t="shared" si="53"/>
        <v>274.75</v>
      </c>
      <c r="T857" s="45">
        <f t="shared" si="54"/>
        <v>1</v>
      </c>
      <c r="U857" s="45">
        <f t="shared" si="55"/>
        <v>274.75</v>
      </c>
    </row>
    <row r="858" spans="1:21" x14ac:dyDescent="0.3">
      <c r="A858" s="16" t="s">
        <v>641</v>
      </c>
      <c r="B858" s="31">
        <v>45456</v>
      </c>
      <c r="C858" s="31">
        <v>45458</v>
      </c>
      <c r="D858" s="2" t="s">
        <v>39</v>
      </c>
      <c r="E858" s="2" t="s">
        <v>642</v>
      </c>
      <c r="F858" s="4" t="s">
        <v>643</v>
      </c>
      <c r="G858" s="4" t="s">
        <v>51</v>
      </c>
      <c r="H858" s="4" t="s">
        <v>171</v>
      </c>
      <c r="I858" s="4" t="s">
        <v>172</v>
      </c>
      <c r="J858" s="4" t="s">
        <v>24</v>
      </c>
      <c r="K858" s="4" t="s">
        <v>45</v>
      </c>
      <c r="L858" s="4" t="s">
        <v>46</v>
      </c>
      <c r="M858" s="4" t="s">
        <v>644</v>
      </c>
      <c r="N858" s="5">
        <v>5385.73</v>
      </c>
      <c r="O858" s="6">
        <v>7</v>
      </c>
      <c r="P858" s="7">
        <v>0</v>
      </c>
      <c r="Q858" s="18">
        <v>1664.53</v>
      </c>
      <c r="R858" s="45" t="str">
        <f t="shared" si="52"/>
        <v>OK</v>
      </c>
      <c r="S858" s="45">
        <f t="shared" si="53"/>
        <v>274.75</v>
      </c>
      <c r="T858" s="45">
        <f t="shared" si="54"/>
        <v>1</v>
      </c>
      <c r="U858" s="45">
        <f t="shared" si="55"/>
        <v>274.75</v>
      </c>
    </row>
    <row r="859" spans="1:21" x14ac:dyDescent="0.3">
      <c r="A859" s="16" t="s">
        <v>706</v>
      </c>
      <c r="B859" s="31">
        <v>45458</v>
      </c>
      <c r="C859" s="31">
        <v>45459</v>
      </c>
      <c r="D859" s="2" t="s">
        <v>18</v>
      </c>
      <c r="E859" s="2" t="s">
        <v>707</v>
      </c>
      <c r="F859" s="4" t="s">
        <v>708</v>
      </c>
      <c r="G859" s="4" t="s">
        <v>51</v>
      </c>
      <c r="H859" s="4" t="s">
        <v>386</v>
      </c>
      <c r="I859" s="4" t="s">
        <v>347</v>
      </c>
      <c r="J859" s="4" t="s">
        <v>88</v>
      </c>
      <c r="K859" s="4" t="s">
        <v>45</v>
      </c>
      <c r="L859" s="4" t="s">
        <v>117</v>
      </c>
      <c r="M859" s="4" t="s">
        <v>709</v>
      </c>
      <c r="N859" s="5">
        <v>1168.2</v>
      </c>
      <c r="O859" s="6">
        <v>4</v>
      </c>
      <c r="P859" s="7">
        <v>0</v>
      </c>
      <c r="Q859" s="18">
        <v>248.61</v>
      </c>
      <c r="R859" s="45" t="str">
        <f t="shared" si="52"/>
        <v>OK</v>
      </c>
      <c r="S859" s="45">
        <f t="shared" si="53"/>
        <v>274.75</v>
      </c>
      <c r="T859" s="45">
        <f t="shared" si="54"/>
        <v>1</v>
      </c>
      <c r="U859" s="45">
        <f t="shared" si="55"/>
        <v>274.75</v>
      </c>
    </row>
    <row r="860" spans="1:21" x14ac:dyDescent="0.3">
      <c r="A860" s="17" t="s">
        <v>1418</v>
      </c>
      <c r="B860" s="32">
        <v>45459</v>
      </c>
      <c r="C860" s="32">
        <v>45460</v>
      </c>
      <c r="D860" s="8" t="s">
        <v>18</v>
      </c>
      <c r="E860" s="8" t="s">
        <v>991</v>
      </c>
      <c r="F860" s="10" t="s">
        <v>992</v>
      </c>
      <c r="G860" s="10" t="s">
        <v>42</v>
      </c>
      <c r="H860" s="10" t="s">
        <v>43</v>
      </c>
      <c r="I860" s="10" t="s">
        <v>44</v>
      </c>
      <c r="J860" s="10" t="s">
        <v>24</v>
      </c>
      <c r="K860" s="10" t="s">
        <v>25</v>
      </c>
      <c r="L860" s="10" t="s">
        <v>68</v>
      </c>
      <c r="M860" s="10" t="s">
        <v>1419</v>
      </c>
      <c r="N860" s="11">
        <v>398.24</v>
      </c>
      <c r="O860" s="12">
        <v>2</v>
      </c>
      <c r="P860" s="13">
        <v>0</v>
      </c>
      <c r="Q860" s="19">
        <v>149.76</v>
      </c>
      <c r="R860" s="45" t="str">
        <f t="shared" si="52"/>
        <v>OK</v>
      </c>
      <c r="S860" s="45">
        <f t="shared" si="53"/>
        <v>274.75</v>
      </c>
      <c r="T860" s="45">
        <f t="shared" si="54"/>
        <v>1</v>
      </c>
      <c r="U860" s="45">
        <f t="shared" si="55"/>
        <v>274.75</v>
      </c>
    </row>
    <row r="861" spans="1:21" x14ac:dyDescent="0.3">
      <c r="A861" s="17" t="s">
        <v>2056</v>
      </c>
      <c r="B861" s="32">
        <v>45459</v>
      </c>
      <c r="C861" s="32">
        <v>45462</v>
      </c>
      <c r="D861" s="8" t="s">
        <v>73</v>
      </c>
      <c r="E861" s="8" t="s">
        <v>355</v>
      </c>
      <c r="F861" s="10" t="s">
        <v>356</v>
      </c>
      <c r="G861" s="10" t="s">
        <v>21</v>
      </c>
      <c r="H861" s="10" t="s">
        <v>357</v>
      </c>
      <c r="I861" s="10" t="s">
        <v>251</v>
      </c>
      <c r="J861" s="10" t="s">
        <v>88</v>
      </c>
      <c r="K861" s="10" t="s">
        <v>35</v>
      </c>
      <c r="L861" s="10" t="s">
        <v>36</v>
      </c>
      <c r="M861" s="10" t="s">
        <v>2057</v>
      </c>
      <c r="N861" s="11">
        <v>361</v>
      </c>
      <c r="O861" s="12">
        <v>4</v>
      </c>
      <c r="P861" s="13">
        <v>0</v>
      </c>
      <c r="Q861" s="19">
        <v>155.88</v>
      </c>
      <c r="R861" s="45" t="str">
        <f t="shared" si="52"/>
        <v>OK</v>
      </c>
      <c r="S861" s="45">
        <f t="shared" si="53"/>
        <v>274.75</v>
      </c>
      <c r="T861" s="45">
        <f t="shared" si="54"/>
        <v>1</v>
      </c>
      <c r="U861" s="45">
        <f t="shared" si="55"/>
        <v>274.75</v>
      </c>
    </row>
    <row r="862" spans="1:21" x14ac:dyDescent="0.3">
      <c r="A862" s="16" t="s">
        <v>2102</v>
      </c>
      <c r="B862" s="31">
        <v>45462</v>
      </c>
      <c r="C862" s="31">
        <v>45465</v>
      </c>
      <c r="D862" s="2" t="s">
        <v>18</v>
      </c>
      <c r="E862" s="2" t="s">
        <v>745</v>
      </c>
      <c r="F862" s="4" t="s">
        <v>746</v>
      </c>
      <c r="G862" s="4" t="s">
        <v>51</v>
      </c>
      <c r="H862" s="4" t="s">
        <v>465</v>
      </c>
      <c r="I862" s="4" t="s">
        <v>423</v>
      </c>
      <c r="J862" s="4" t="s">
        <v>88</v>
      </c>
      <c r="K862" s="4" t="s">
        <v>25</v>
      </c>
      <c r="L862" s="4" t="s">
        <v>124</v>
      </c>
      <c r="M862" s="4" t="s">
        <v>2103</v>
      </c>
      <c r="N862" s="5">
        <v>2103.0700000000002</v>
      </c>
      <c r="O862" s="6">
        <v>9</v>
      </c>
      <c r="P862" s="7">
        <v>0.3</v>
      </c>
      <c r="Q862" s="18">
        <v>-89.26</v>
      </c>
      <c r="R862" s="45" t="str">
        <f t="shared" si="52"/>
        <v>OK</v>
      </c>
      <c r="S862" s="45">
        <f t="shared" si="53"/>
        <v>274.75</v>
      </c>
      <c r="T862" s="45">
        <f t="shared" si="54"/>
        <v>1</v>
      </c>
      <c r="U862" s="45">
        <f t="shared" si="55"/>
        <v>274.75</v>
      </c>
    </row>
    <row r="863" spans="1:21" x14ac:dyDescent="0.3">
      <c r="A863" s="16" t="s">
        <v>1688</v>
      </c>
      <c r="B863" s="31">
        <v>45463</v>
      </c>
      <c r="C863" s="31">
        <v>45466</v>
      </c>
      <c r="D863" s="2" t="s">
        <v>73</v>
      </c>
      <c r="E863" s="2" t="s">
        <v>102</v>
      </c>
      <c r="F863" s="4" t="s">
        <v>103</v>
      </c>
      <c r="G863" s="4" t="s">
        <v>42</v>
      </c>
      <c r="H863" s="4" t="s">
        <v>104</v>
      </c>
      <c r="I863" s="4" t="s">
        <v>105</v>
      </c>
      <c r="J863" s="4" t="s">
        <v>88</v>
      </c>
      <c r="K863" s="4" t="s">
        <v>45</v>
      </c>
      <c r="L863" s="4" t="s">
        <v>117</v>
      </c>
      <c r="M863" s="4" t="s">
        <v>1689</v>
      </c>
      <c r="N863" s="5">
        <v>1745.76</v>
      </c>
      <c r="O863" s="6">
        <v>8</v>
      </c>
      <c r="P863" s="7">
        <v>0.4</v>
      </c>
      <c r="Q863" s="18">
        <v>-280.3</v>
      </c>
      <c r="R863" s="45" t="str">
        <f t="shared" si="52"/>
        <v>OK</v>
      </c>
      <c r="S863" s="45">
        <f t="shared" si="53"/>
        <v>274.75</v>
      </c>
      <c r="T863" s="45">
        <f t="shared" si="54"/>
        <v>1</v>
      </c>
      <c r="U863" s="45">
        <f t="shared" si="55"/>
        <v>274.75</v>
      </c>
    </row>
    <row r="864" spans="1:21" x14ac:dyDescent="0.3">
      <c r="A864" s="17" t="s">
        <v>532</v>
      </c>
      <c r="B864" s="32">
        <v>45466</v>
      </c>
      <c r="C864" s="32">
        <v>45469</v>
      </c>
      <c r="D864" s="8" t="s">
        <v>18</v>
      </c>
      <c r="E864" s="8" t="s">
        <v>533</v>
      </c>
      <c r="F864" s="10" t="s">
        <v>534</v>
      </c>
      <c r="G864" s="10" t="s">
        <v>42</v>
      </c>
      <c r="H864" s="10" t="s">
        <v>145</v>
      </c>
      <c r="I864" s="10" t="s">
        <v>140</v>
      </c>
      <c r="J864" s="10" t="s">
        <v>24</v>
      </c>
      <c r="K864" s="10" t="s">
        <v>35</v>
      </c>
      <c r="L864" s="10" t="s">
        <v>36</v>
      </c>
      <c r="M864" s="10" t="s">
        <v>535</v>
      </c>
      <c r="N864" s="11">
        <v>1425.62</v>
      </c>
      <c r="O864" s="12">
        <v>8</v>
      </c>
      <c r="P864" s="13">
        <v>0.15</v>
      </c>
      <c r="Q864" s="19">
        <v>436.7</v>
      </c>
      <c r="R864" s="45" t="str">
        <f t="shared" si="52"/>
        <v>OK</v>
      </c>
      <c r="S864" s="45">
        <f t="shared" si="53"/>
        <v>274.75</v>
      </c>
      <c r="T864" s="45">
        <f t="shared" si="54"/>
        <v>1</v>
      </c>
      <c r="U864" s="45">
        <f t="shared" si="55"/>
        <v>274.75</v>
      </c>
    </row>
    <row r="865" spans="1:21" x14ac:dyDescent="0.3">
      <c r="A865" s="16" t="s">
        <v>1491</v>
      </c>
      <c r="B865" s="31">
        <v>45467</v>
      </c>
      <c r="C865" s="31">
        <v>45470</v>
      </c>
      <c r="D865" s="2" t="s">
        <v>73</v>
      </c>
      <c r="E865" s="2" t="s">
        <v>120</v>
      </c>
      <c r="F865" s="4" t="s">
        <v>121</v>
      </c>
      <c r="G865" s="4" t="s">
        <v>21</v>
      </c>
      <c r="H865" s="4" t="s">
        <v>122</v>
      </c>
      <c r="I865" s="4" t="s">
        <v>123</v>
      </c>
      <c r="J865" s="4" t="s">
        <v>24</v>
      </c>
      <c r="K865" s="4" t="s">
        <v>35</v>
      </c>
      <c r="L865" s="4" t="s">
        <v>36</v>
      </c>
      <c r="M865" s="4" t="s">
        <v>831</v>
      </c>
      <c r="N865" s="5">
        <v>632.07000000000005</v>
      </c>
      <c r="O865" s="6">
        <v>9</v>
      </c>
      <c r="P865" s="7">
        <v>0.5</v>
      </c>
      <c r="Q865" s="18">
        <v>-137.04</v>
      </c>
      <c r="R865" s="45" t="str">
        <f t="shared" si="52"/>
        <v>OK</v>
      </c>
      <c r="S865" s="45">
        <f t="shared" si="53"/>
        <v>274.75</v>
      </c>
      <c r="T865" s="45">
        <f t="shared" si="54"/>
        <v>1</v>
      </c>
      <c r="U865" s="45">
        <f t="shared" si="55"/>
        <v>274.75</v>
      </c>
    </row>
    <row r="866" spans="1:21" x14ac:dyDescent="0.3">
      <c r="A866" s="16" t="s">
        <v>1834</v>
      </c>
      <c r="B866" s="31">
        <v>45467</v>
      </c>
      <c r="C866" s="31">
        <v>45469</v>
      </c>
      <c r="D866" s="2" t="s">
        <v>18</v>
      </c>
      <c r="E866" s="2" t="s">
        <v>1001</v>
      </c>
      <c r="F866" s="4" t="s">
        <v>1002</v>
      </c>
      <c r="G866" s="4" t="s">
        <v>21</v>
      </c>
      <c r="H866" s="4" t="s">
        <v>59</v>
      </c>
      <c r="I866" s="4" t="s">
        <v>60</v>
      </c>
      <c r="J866" s="4" t="s">
        <v>54</v>
      </c>
      <c r="K866" s="4" t="s">
        <v>25</v>
      </c>
      <c r="L866" s="4" t="s">
        <v>26</v>
      </c>
      <c r="M866" s="4" t="s">
        <v>1835</v>
      </c>
      <c r="N866" s="5">
        <v>5325.48</v>
      </c>
      <c r="O866" s="6">
        <v>9</v>
      </c>
      <c r="P866" s="7">
        <v>0</v>
      </c>
      <c r="Q866" s="18">
        <v>1256.42</v>
      </c>
      <c r="R866" s="45" t="str">
        <f t="shared" si="52"/>
        <v>OK</v>
      </c>
      <c r="S866" s="45">
        <f t="shared" si="53"/>
        <v>274.75</v>
      </c>
      <c r="T866" s="45">
        <f t="shared" si="54"/>
        <v>1</v>
      </c>
      <c r="U866" s="45">
        <f t="shared" si="55"/>
        <v>274.75</v>
      </c>
    </row>
    <row r="867" spans="1:21" x14ac:dyDescent="0.3">
      <c r="A867" s="17" t="s">
        <v>1135</v>
      </c>
      <c r="B867" s="32">
        <v>45472</v>
      </c>
      <c r="C867" s="32">
        <v>45477</v>
      </c>
      <c r="D867" s="8" t="s">
        <v>29</v>
      </c>
      <c r="E867" s="8" t="s">
        <v>1136</v>
      </c>
      <c r="F867" s="10" t="s">
        <v>1137</v>
      </c>
      <c r="G867" s="10" t="s">
        <v>51</v>
      </c>
      <c r="H867" s="10" t="s">
        <v>386</v>
      </c>
      <c r="I867" s="10" t="s">
        <v>347</v>
      </c>
      <c r="J867" s="10" t="s">
        <v>88</v>
      </c>
      <c r="K867" s="10" t="s">
        <v>35</v>
      </c>
      <c r="L867" s="10" t="s">
        <v>216</v>
      </c>
      <c r="M867" s="10" t="s">
        <v>1138</v>
      </c>
      <c r="N867" s="11">
        <v>50.06</v>
      </c>
      <c r="O867" s="12">
        <v>3</v>
      </c>
      <c r="P867" s="13">
        <v>0.1</v>
      </c>
      <c r="Q867" s="19">
        <v>22.9</v>
      </c>
      <c r="R867" s="45" t="str">
        <f t="shared" si="52"/>
        <v>OK</v>
      </c>
      <c r="S867" s="45">
        <f t="shared" si="53"/>
        <v>274.75</v>
      </c>
      <c r="T867" s="45">
        <f t="shared" si="54"/>
        <v>1</v>
      </c>
      <c r="U867" s="45">
        <f t="shared" si="55"/>
        <v>274.75</v>
      </c>
    </row>
    <row r="868" spans="1:21" x14ac:dyDescent="0.3">
      <c r="A868" s="17" t="s">
        <v>186</v>
      </c>
      <c r="B868" s="32">
        <v>45473</v>
      </c>
      <c r="C868" s="32">
        <v>45476</v>
      </c>
      <c r="D868" s="8" t="s">
        <v>18</v>
      </c>
      <c r="E868" s="8" t="s">
        <v>187</v>
      </c>
      <c r="F868" s="10" t="s">
        <v>188</v>
      </c>
      <c r="G868" s="10" t="s">
        <v>21</v>
      </c>
      <c r="H868" s="10" t="s">
        <v>22</v>
      </c>
      <c r="I868" s="10" t="s">
        <v>23</v>
      </c>
      <c r="J868" s="10" t="s">
        <v>24</v>
      </c>
      <c r="K868" s="10" t="s">
        <v>45</v>
      </c>
      <c r="L868" s="10" t="s">
        <v>99</v>
      </c>
      <c r="M868" s="10" t="s">
        <v>189</v>
      </c>
      <c r="N868" s="11">
        <v>294.83999999999997</v>
      </c>
      <c r="O868" s="12">
        <v>3</v>
      </c>
      <c r="P868" s="13">
        <v>0.4</v>
      </c>
      <c r="Q868" s="19">
        <v>-76.819999999999993</v>
      </c>
      <c r="R868" s="45" t="str">
        <f t="shared" si="52"/>
        <v>OK</v>
      </c>
      <c r="S868" s="45">
        <f t="shared" si="53"/>
        <v>274.75</v>
      </c>
      <c r="T868" s="45">
        <f t="shared" si="54"/>
        <v>1</v>
      </c>
      <c r="U868" s="45">
        <f t="shared" si="55"/>
        <v>274.75</v>
      </c>
    </row>
    <row r="869" spans="1:21" x14ac:dyDescent="0.3">
      <c r="A869" s="17" t="s">
        <v>1339</v>
      </c>
      <c r="B869" s="32">
        <v>45473</v>
      </c>
      <c r="C869" s="32">
        <v>45475</v>
      </c>
      <c r="D869" s="8" t="s">
        <v>39</v>
      </c>
      <c r="E869" s="8" t="s">
        <v>244</v>
      </c>
      <c r="F869" s="10" t="s">
        <v>245</v>
      </c>
      <c r="G869" s="10" t="s">
        <v>42</v>
      </c>
      <c r="H869" s="10" t="s">
        <v>79</v>
      </c>
      <c r="I869" s="10" t="s">
        <v>80</v>
      </c>
      <c r="J869" s="10" t="s">
        <v>54</v>
      </c>
      <c r="K869" s="10" t="s">
        <v>35</v>
      </c>
      <c r="L869" s="10" t="s">
        <v>229</v>
      </c>
      <c r="M869" s="10" t="s">
        <v>1340</v>
      </c>
      <c r="N869" s="11">
        <v>49.19</v>
      </c>
      <c r="O869" s="12">
        <v>6</v>
      </c>
      <c r="P869" s="13">
        <v>0.1</v>
      </c>
      <c r="Q869" s="19">
        <v>20.54</v>
      </c>
      <c r="R869" s="45" t="str">
        <f t="shared" si="52"/>
        <v>OK</v>
      </c>
      <c r="S869" s="45">
        <f t="shared" si="53"/>
        <v>274.75</v>
      </c>
      <c r="T869" s="45">
        <f t="shared" si="54"/>
        <v>1</v>
      </c>
      <c r="U869" s="45">
        <f t="shared" si="55"/>
        <v>274.75</v>
      </c>
    </row>
    <row r="870" spans="1:21" x14ac:dyDescent="0.3">
      <c r="A870" s="16" t="s">
        <v>556</v>
      </c>
      <c r="B870" s="31">
        <v>45474</v>
      </c>
      <c r="C870" s="31">
        <v>45478</v>
      </c>
      <c r="D870" s="2" t="s">
        <v>73</v>
      </c>
      <c r="E870" s="2" t="s">
        <v>240</v>
      </c>
      <c r="F870" s="4" t="s">
        <v>241</v>
      </c>
      <c r="G870" s="4" t="s">
        <v>42</v>
      </c>
      <c r="H870" s="4" t="s">
        <v>115</v>
      </c>
      <c r="I870" s="4" t="s">
        <v>116</v>
      </c>
      <c r="J870" s="4" t="s">
        <v>54</v>
      </c>
      <c r="K870" s="4" t="s">
        <v>35</v>
      </c>
      <c r="L870" s="4" t="s">
        <v>158</v>
      </c>
      <c r="M870" s="4" t="s">
        <v>557</v>
      </c>
      <c r="N870" s="5">
        <v>127.82</v>
      </c>
      <c r="O870" s="6">
        <v>3</v>
      </c>
      <c r="P870" s="7">
        <v>0.4</v>
      </c>
      <c r="Q870" s="18">
        <v>-20.170000000000002</v>
      </c>
      <c r="R870" s="45" t="str">
        <f t="shared" si="52"/>
        <v>OK</v>
      </c>
      <c r="S870" s="45">
        <f t="shared" si="53"/>
        <v>274.75</v>
      </c>
      <c r="T870" s="45">
        <f t="shared" si="54"/>
        <v>1</v>
      </c>
      <c r="U870" s="45">
        <f t="shared" si="55"/>
        <v>274.75</v>
      </c>
    </row>
    <row r="871" spans="1:21" x14ac:dyDescent="0.3">
      <c r="A871" s="17" t="s">
        <v>1317</v>
      </c>
      <c r="B871" s="32">
        <v>45478</v>
      </c>
      <c r="C871" s="32">
        <v>45482</v>
      </c>
      <c r="D871" s="8" t="s">
        <v>39</v>
      </c>
      <c r="E871" s="8" t="s">
        <v>476</v>
      </c>
      <c r="F871" s="10" t="s">
        <v>477</v>
      </c>
      <c r="G871" s="10" t="s">
        <v>42</v>
      </c>
      <c r="H871" s="10" t="s">
        <v>150</v>
      </c>
      <c r="I871" s="10" t="s">
        <v>151</v>
      </c>
      <c r="J871" s="10" t="s">
        <v>34</v>
      </c>
      <c r="K871" s="10" t="s">
        <v>25</v>
      </c>
      <c r="L871" s="10" t="s">
        <v>26</v>
      </c>
      <c r="M871" s="10" t="s">
        <v>1318</v>
      </c>
      <c r="N871" s="11">
        <v>3679.32</v>
      </c>
      <c r="O871" s="12">
        <v>6</v>
      </c>
      <c r="P871" s="13">
        <v>0</v>
      </c>
      <c r="Q871" s="19">
        <v>999.72</v>
      </c>
      <c r="R871" s="45" t="str">
        <f t="shared" si="52"/>
        <v>OK</v>
      </c>
      <c r="S871" s="45">
        <f t="shared" si="53"/>
        <v>274.75</v>
      </c>
      <c r="T871" s="45">
        <f t="shared" si="54"/>
        <v>1</v>
      </c>
      <c r="U871" s="45">
        <f t="shared" si="55"/>
        <v>274.75</v>
      </c>
    </row>
    <row r="872" spans="1:21" x14ac:dyDescent="0.3">
      <c r="A872" s="16" t="s">
        <v>1910</v>
      </c>
      <c r="B872" s="31">
        <v>45480</v>
      </c>
      <c r="C872" s="31">
        <v>45487</v>
      </c>
      <c r="D872" s="2" t="s">
        <v>29</v>
      </c>
      <c r="E872" s="2" t="s">
        <v>1097</v>
      </c>
      <c r="F872" s="4" t="s">
        <v>1098</v>
      </c>
      <c r="G872" s="4" t="s">
        <v>42</v>
      </c>
      <c r="H872" s="4" t="s">
        <v>417</v>
      </c>
      <c r="I872" s="4" t="s">
        <v>123</v>
      </c>
      <c r="J872" s="4" t="s">
        <v>24</v>
      </c>
      <c r="K872" s="4" t="s">
        <v>25</v>
      </c>
      <c r="L872" s="4" t="s">
        <v>68</v>
      </c>
      <c r="M872" s="4" t="s">
        <v>1911</v>
      </c>
      <c r="N872" s="5">
        <v>305.89</v>
      </c>
      <c r="O872" s="6">
        <v>3</v>
      </c>
      <c r="P872" s="7">
        <v>0.4</v>
      </c>
      <c r="Q872" s="18">
        <v>24.76</v>
      </c>
      <c r="R872" s="45" t="str">
        <f t="shared" si="52"/>
        <v>OK</v>
      </c>
      <c r="S872" s="45">
        <f t="shared" si="53"/>
        <v>274.75</v>
      </c>
      <c r="T872" s="45">
        <f t="shared" si="54"/>
        <v>1</v>
      </c>
      <c r="U872" s="45">
        <f t="shared" si="55"/>
        <v>274.75</v>
      </c>
    </row>
    <row r="873" spans="1:21" x14ac:dyDescent="0.3">
      <c r="A873" s="16" t="s">
        <v>2450</v>
      </c>
      <c r="B873" s="31">
        <v>45480</v>
      </c>
      <c r="C873" s="31">
        <v>45485</v>
      </c>
      <c r="D873" s="2" t="s">
        <v>73</v>
      </c>
      <c r="E873" s="2" t="s">
        <v>2451</v>
      </c>
      <c r="F873" s="4" t="s">
        <v>2452</v>
      </c>
      <c r="G873" s="4" t="s">
        <v>21</v>
      </c>
      <c r="H873" s="4" t="s">
        <v>59</v>
      </c>
      <c r="I873" s="4" t="s">
        <v>60</v>
      </c>
      <c r="J873" s="4" t="s">
        <v>54</v>
      </c>
      <c r="K873" s="4" t="s">
        <v>45</v>
      </c>
      <c r="L873" s="4" t="s">
        <v>117</v>
      </c>
      <c r="M873" s="4" t="s">
        <v>2453</v>
      </c>
      <c r="N873" s="5">
        <v>173.61</v>
      </c>
      <c r="O873" s="6">
        <v>1</v>
      </c>
      <c r="P873" s="7">
        <v>0.15</v>
      </c>
      <c r="Q873" s="18">
        <v>10.75</v>
      </c>
      <c r="R873" s="45" t="str">
        <f t="shared" si="52"/>
        <v>OK</v>
      </c>
      <c r="S873" s="45">
        <f t="shared" si="53"/>
        <v>274.75</v>
      </c>
      <c r="T873" s="45">
        <f t="shared" si="54"/>
        <v>1</v>
      </c>
      <c r="U873" s="45">
        <f t="shared" si="55"/>
        <v>274.75</v>
      </c>
    </row>
    <row r="874" spans="1:21" x14ac:dyDescent="0.3">
      <c r="A874" s="17" t="s">
        <v>835</v>
      </c>
      <c r="B874" s="32">
        <v>45481</v>
      </c>
      <c r="C874" s="32">
        <v>45483</v>
      </c>
      <c r="D874" s="8" t="s">
        <v>39</v>
      </c>
      <c r="E874" s="8" t="s">
        <v>642</v>
      </c>
      <c r="F874" s="10" t="s">
        <v>643</v>
      </c>
      <c r="G874" s="10" t="s">
        <v>51</v>
      </c>
      <c r="H874" s="10" t="s">
        <v>171</v>
      </c>
      <c r="I874" s="10" t="s">
        <v>172</v>
      </c>
      <c r="J874" s="10" t="s">
        <v>24</v>
      </c>
      <c r="K874" s="10" t="s">
        <v>25</v>
      </c>
      <c r="L874" s="10" t="s">
        <v>74</v>
      </c>
      <c r="M874" s="10" t="s">
        <v>836</v>
      </c>
      <c r="N874" s="11">
        <v>2772.35</v>
      </c>
      <c r="O874" s="12">
        <v>10</v>
      </c>
      <c r="P874" s="13">
        <v>0.5</v>
      </c>
      <c r="Q874" s="19">
        <v>-508.52</v>
      </c>
      <c r="R874" s="45" t="str">
        <f t="shared" si="52"/>
        <v>OK</v>
      </c>
      <c r="S874" s="45">
        <f t="shared" si="53"/>
        <v>274.75</v>
      </c>
      <c r="T874" s="45">
        <f t="shared" si="54"/>
        <v>1</v>
      </c>
      <c r="U874" s="45">
        <f t="shared" si="55"/>
        <v>274.75</v>
      </c>
    </row>
    <row r="875" spans="1:21" x14ac:dyDescent="0.3">
      <c r="A875" s="17" t="s">
        <v>1004</v>
      </c>
      <c r="B875" s="32">
        <v>45481</v>
      </c>
      <c r="C875" s="32">
        <v>45485</v>
      </c>
      <c r="D875" s="8" t="s">
        <v>39</v>
      </c>
      <c r="E875" s="8" t="s">
        <v>588</v>
      </c>
      <c r="F875" s="10" t="s">
        <v>589</v>
      </c>
      <c r="G875" s="10" t="s">
        <v>42</v>
      </c>
      <c r="H875" s="10" t="s">
        <v>397</v>
      </c>
      <c r="I875" s="10" t="s">
        <v>33</v>
      </c>
      <c r="J875" s="10" t="s">
        <v>34</v>
      </c>
      <c r="K875" s="10" t="s">
        <v>25</v>
      </c>
      <c r="L875" s="10" t="s">
        <v>124</v>
      </c>
      <c r="M875" s="10" t="s">
        <v>1005</v>
      </c>
      <c r="N875" s="11">
        <v>17326</v>
      </c>
      <c r="O875" s="12">
        <v>10</v>
      </c>
      <c r="P875" s="13">
        <v>0.2</v>
      </c>
      <c r="Q875" s="19">
        <v>-105.8</v>
      </c>
      <c r="R875" s="45" t="str">
        <f t="shared" si="52"/>
        <v>OK</v>
      </c>
      <c r="S875" s="45">
        <f t="shared" si="53"/>
        <v>274.75</v>
      </c>
      <c r="T875" s="45">
        <f t="shared" si="54"/>
        <v>1</v>
      </c>
      <c r="U875" s="45">
        <f t="shared" si="55"/>
        <v>274.75</v>
      </c>
    </row>
    <row r="876" spans="1:21" x14ac:dyDescent="0.3">
      <c r="A876" s="17" t="s">
        <v>1880</v>
      </c>
      <c r="B876" s="32">
        <v>45481</v>
      </c>
      <c r="C876" s="32">
        <v>45484</v>
      </c>
      <c r="D876" s="8" t="s">
        <v>18</v>
      </c>
      <c r="E876" s="8" t="s">
        <v>946</v>
      </c>
      <c r="F876" s="10" t="s">
        <v>947</v>
      </c>
      <c r="G876" s="10" t="s">
        <v>21</v>
      </c>
      <c r="H876" s="10" t="s">
        <v>156</v>
      </c>
      <c r="I876" s="10" t="s">
        <v>157</v>
      </c>
      <c r="J876" s="10" t="s">
        <v>88</v>
      </c>
      <c r="K876" s="10" t="s">
        <v>35</v>
      </c>
      <c r="L876" s="10" t="s">
        <v>89</v>
      </c>
      <c r="M876" s="10" t="s">
        <v>1881</v>
      </c>
      <c r="N876" s="11">
        <v>276.11</v>
      </c>
      <c r="O876" s="12">
        <v>1</v>
      </c>
      <c r="P876" s="13">
        <v>0</v>
      </c>
      <c r="Q876" s="19">
        <v>97.46</v>
      </c>
      <c r="R876" s="45" t="str">
        <f t="shared" si="52"/>
        <v>OK</v>
      </c>
      <c r="S876" s="45">
        <f t="shared" si="53"/>
        <v>274.75</v>
      </c>
      <c r="T876" s="45">
        <f t="shared" si="54"/>
        <v>1</v>
      </c>
      <c r="U876" s="45">
        <f t="shared" si="55"/>
        <v>274.75</v>
      </c>
    </row>
    <row r="877" spans="1:21" x14ac:dyDescent="0.3">
      <c r="A877" s="17" t="s">
        <v>1892</v>
      </c>
      <c r="B877" s="32">
        <v>45481</v>
      </c>
      <c r="C877" s="32">
        <v>45484</v>
      </c>
      <c r="D877" s="8" t="s">
        <v>39</v>
      </c>
      <c r="E877" s="8" t="s">
        <v>1097</v>
      </c>
      <c r="F877" s="10" t="s">
        <v>1098</v>
      </c>
      <c r="G877" s="10" t="s">
        <v>42</v>
      </c>
      <c r="H877" s="10" t="s">
        <v>417</v>
      </c>
      <c r="I877" s="10" t="s">
        <v>123</v>
      </c>
      <c r="J877" s="10" t="s">
        <v>24</v>
      </c>
      <c r="K877" s="10" t="s">
        <v>25</v>
      </c>
      <c r="L877" s="10" t="s">
        <v>68</v>
      </c>
      <c r="M877" s="10" t="s">
        <v>1893</v>
      </c>
      <c r="N877" s="11">
        <v>493.16</v>
      </c>
      <c r="O877" s="12">
        <v>8</v>
      </c>
      <c r="P877" s="13">
        <v>0.5</v>
      </c>
      <c r="Q877" s="19">
        <v>-169.69</v>
      </c>
      <c r="R877" s="45" t="str">
        <f t="shared" si="52"/>
        <v>OK</v>
      </c>
      <c r="S877" s="45">
        <f t="shared" si="53"/>
        <v>274.75</v>
      </c>
      <c r="T877" s="45">
        <f t="shared" si="54"/>
        <v>1</v>
      </c>
      <c r="U877" s="45">
        <f t="shared" si="55"/>
        <v>274.75</v>
      </c>
    </row>
    <row r="878" spans="1:21" x14ac:dyDescent="0.3">
      <c r="A878" s="17" t="s">
        <v>1469</v>
      </c>
      <c r="B878" s="32">
        <v>45483</v>
      </c>
      <c r="C878" s="32">
        <v>45486</v>
      </c>
      <c r="D878" s="8" t="s">
        <v>73</v>
      </c>
      <c r="E878" s="8" t="s">
        <v>1246</v>
      </c>
      <c r="F878" s="10" t="s">
        <v>1247</v>
      </c>
      <c r="G878" s="10" t="s">
        <v>42</v>
      </c>
      <c r="H878" s="10" t="s">
        <v>1091</v>
      </c>
      <c r="I878" s="10" t="s">
        <v>23</v>
      </c>
      <c r="J878" s="10" t="s">
        <v>24</v>
      </c>
      <c r="K878" s="10" t="s">
        <v>35</v>
      </c>
      <c r="L878" s="10" t="s">
        <v>229</v>
      </c>
      <c r="M878" s="10" t="s">
        <v>1470</v>
      </c>
      <c r="N878" s="11">
        <v>13.27</v>
      </c>
      <c r="O878" s="12">
        <v>2</v>
      </c>
      <c r="P878" s="13">
        <v>0.4</v>
      </c>
      <c r="Q878" s="19">
        <v>2.85</v>
      </c>
      <c r="R878" s="45" t="str">
        <f t="shared" si="52"/>
        <v>OK</v>
      </c>
      <c r="S878" s="45">
        <f t="shared" si="53"/>
        <v>274.75</v>
      </c>
      <c r="T878" s="45">
        <f t="shared" si="54"/>
        <v>1</v>
      </c>
      <c r="U878" s="45">
        <f t="shared" si="55"/>
        <v>274.75</v>
      </c>
    </row>
    <row r="879" spans="1:21" x14ac:dyDescent="0.3">
      <c r="A879" s="17" t="s">
        <v>1131</v>
      </c>
      <c r="B879" s="32">
        <v>45485</v>
      </c>
      <c r="C879" s="32">
        <v>45486</v>
      </c>
      <c r="D879" s="8" t="s">
        <v>18</v>
      </c>
      <c r="E879" s="8" t="s">
        <v>580</v>
      </c>
      <c r="F879" s="10" t="s">
        <v>581</v>
      </c>
      <c r="G879" s="10" t="s">
        <v>51</v>
      </c>
      <c r="H879" s="10" t="s">
        <v>156</v>
      </c>
      <c r="I879" s="10" t="s">
        <v>157</v>
      </c>
      <c r="J879" s="10" t="s">
        <v>88</v>
      </c>
      <c r="K879" s="10" t="s">
        <v>25</v>
      </c>
      <c r="L879" s="10" t="s">
        <v>124</v>
      </c>
      <c r="M879" s="10" t="s">
        <v>1132</v>
      </c>
      <c r="N879" s="11">
        <v>20784.259999999998</v>
      </c>
      <c r="O879" s="12">
        <v>10</v>
      </c>
      <c r="P879" s="13">
        <v>0.3</v>
      </c>
      <c r="Q879" s="19">
        <v>80.7</v>
      </c>
      <c r="R879" s="45" t="str">
        <f t="shared" si="52"/>
        <v>OK</v>
      </c>
      <c r="S879" s="45">
        <f t="shared" si="53"/>
        <v>274.75</v>
      </c>
      <c r="T879" s="45">
        <f t="shared" si="54"/>
        <v>1</v>
      </c>
      <c r="U879" s="45">
        <f t="shared" si="55"/>
        <v>274.75</v>
      </c>
    </row>
    <row r="880" spans="1:21" x14ac:dyDescent="0.3">
      <c r="A880" s="17" t="s">
        <v>2436</v>
      </c>
      <c r="B880" s="32">
        <v>45486</v>
      </c>
      <c r="C880" s="32">
        <v>45490</v>
      </c>
      <c r="D880" s="8" t="s">
        <v>39</v>
      </c>
      <c r="E880" s="8" t="s">
        <v>432</v>
      </c>
      <c r="F880" s="10" t="s">
        <v>433</v>
      </c>
      <c r="G880" s="10" t="s">
        <v>51</v>
      </c>
      <c r="H880" s="10" t="s">
        <v>171</v>
      </c>
      <c r="I880" s="10" t="s">
        <v>172</v>
      </c>
      <c r="J880" s="10" t="s">
        <v>24</v>
      </c>
      <c r="K880" s="10" t="s">
        <v>25</v>
      </c>
      <c r="L880" s="10" t="s">
        <v>74</v>
      </c>
      <c r="M880" s="10" t="s">
        <v>2437</v>
      </c>
      <c r="N880" s="11">
        <v>1357.11</v>
      </c>
      <c r="O880" s="12">
        <v>3</v>
      </c>
      <c r="P880" s="13">
        <v>0.4</v>
      </c>
      <c r="Q880" s="19">
        <v>61.97</v>
      </c>
      <c r="R880" s="45" t="str">
        <f t="shared" si="52"/>
        <v>OK</v>
      </c>
      <c r="S880" s="45">
        <f t="shared" si="53"/>
        <v>274.75</v>
      </c>
      <c r="T880" s="45">
        <f t="shared" si="54"/>
        <v>1</v>
      </c>
      <c r="U880" s="45">
        <f t="shared" si="55"/>
        <v>274.75</v>
      </c>
    </row>
    <row r="881" spans="1:21" x14ac:dyDescent="0.3">
      <c r="A881" s="16" t="s">
        <v>276</v>
      </c>
      <c r="B881" s="31">
        <v>45489</v>
      </c>
      <c r="C881" s="31">
        <v>45491</v>
      </c>
      <c r="D881" s="2" t="s">
        <v>39</v>
      </c>
      <c r="E881" s="2" t="s">
        <v>277</v>
      </c>
      <c r="F881" s="4" t="s">
        <v>278</v>
      </c>
      <c r="G881" s="4" t="s">
        <v>21</v>
      </c>
      <c r="H881" s="4" t="s">
        <v>104</v>
      </c>
      <c r="I881" s="4" t="s">
        <v>105</v>
      </c>
      <c r="J881" s="4" t="s">
        <v>88</v>
      </c>
      <c r="K881" s="4" t="s">
        <v>35</v>
      </c>
      <c r="L881" s="4" t="s">
        <v>36</v>
      </c>
      <c r="M881" s="4" t="s">
        <v>279</v>
      </c>
      <c r="N881" s="5">
        <v>410.48</v>
      </c>
      <c r="O881" s="6">
        <v>3</v>
      </c>
      <c r="P881" s="7">
        <v>0.1</v>
      </c>
      <c r="Q881" s="18">
        <v>150.30000000000001</v>
      </c>
      <c r="R881" s="45" t="str">
        <f t="shared" si="52"/>
        <v>OK</v>
      </c>
      <c r="S881" s="45">
        <f t="shared" si="53"/>
        <v>274.75</v>
      </c>
      <c r="T881" s="45">
        <f t="shared" si="54"/>
        <v>1</v>
      </c>
      <c r="U881" s="45">
        <f t="shared" si="55"/>
        <v>274.75</v>
      </c>
    </row>
    <row r="882" spans="1:21" x14ac:dyDescent="0.3">
      <c r="A882" s="17" t="s">
        <v>1929</v>
      </c>
      <c r="B882" s="32">
        <v>45489</v>
      </c>
      <c r="C882" s="32">
        <v>45493</v>
      </c>
      <c r="D882" s="8" t="s">
        <v>73</v>
      </c>
      <c r="E882" s="8" t="s">
        <v>384</v>
      </c>
      <c r="F882" s="10" t="s">
        <v>385</v>
      </c>
      <c r="G882" s="10" t="s">
        <v>51</v>
      </c>
      <c r="H882" s="10" t="s">
        <v>386</v>
      </c>
      <c r="I882" s="10" t="s">
        <v>347</v>
      </c>
      <c r="J882" s="10" t="s">
        <v>88</v>
      </c>
      <c r="K882" s="10" t="s">
        <v>25</v>
      </c>
      <c r="L882" s="10" t="s">
        <v>74</v>
      </c>
      <c r="M882" s="10" t="s">
        <v>1930</v>
      </c>
      <c r="N882" s="11">
        <v>420.84</v>
      </c>
      <c r="O882" s="12">
        <v>3</v>
      </c>
      <c r="P882" s="13">
        <v>0</v>
      </c>
      <c r="Q882" s="19">
        <v>160.76</v>
      </c>
      <c r="R882" s="45" t="str">
        <f t="shared" si="52"/>
        <v>OK</v>
      </c>
      <c r="S882" s="45">
        <f t="shared" si="53"/>
        <v>274.75</v>
      </c>
      <c r="T882" s="45">
        <f t="shared" si="54"/>
        <v>1</v>
      </c>
      <c r="U882" s="45">
        <f t="shared" si="55"/>
        <v>274.75</v>
      </c>
    </row>
    <row r="883" spans="1:21" x14ac:dyDescent="0.3">
      <c r="A883" s="16" t="s">
        <v>1528</v>
      </c>
      <c r="B883" s="31">
        <v>45493</v>
      </c>
      <c r="C883" s="31">
        <v>45498</v>
      </c>
      <c r="D883" s="2" t="s">
        <v>29</v>
      </c>
      <c r="E883" s="2" t="s">
        <v>463</v>
      </c>
      <c r="F883" s="4" t="s">
        <v>464</v>
      </c>
      <c r="G883" s="4" t="s">
        <v>51</v>
      </c>
      <c r="H883" s="4" t="s">
        <v>465</v>
      </c>
      <c r="I883" s="4" t="s">
        <v>423</v>
      </c>
      <c r="J883" s="4" t="s">
        <v>88</v>
      </c>
      <c r="K883" s="4" t="s">
        <v>45</v>
      </c>
      <c r="L883" s="4" t="s">
        <v>117</v>
      </c>
      <c r="M883" s="4" t="s">
        <v>1334</v>
      </c>
      <c r="N883" s="5">
        <v>2530.36</v>
      </c>
      <c r="O883" s="6">
        <v>7</v>
      </c>
      <c r="P883" s="7">
        <v>0</v>
      </c>
      <c r="Q883" s="18">
        <v>853.49</v>
      </c>
      <c r="R883" s="45" t="str">
        <f t="shared" si="52"/>
        <v>OK</v>
      </c>
      <c r="S883" s="45">
        <f t="shared" si="53"/>
        <v>274.75</v>
      </c>
      <c r="T883" s="45">
        <f t="shared" si="54"/>
        <v>1</v>
      </c>
      <c r="U883" s="45">
        <f t="shared" si="55"/>
        <v>274.75</v>
      </c>
    </row>
    <row r="884" spans="1:21" x14ac:dyDescent="0.3">
      <c r="A884" s="17" t="s">
        <v>2163</v>
      </c>
      <c r="B884" s="32">
        <v>45494</v>
      </c>
      <c r="C884" s="32">
        <v>45498</v>
      </c>
      <c r="D884" s="8" t="s">
        <v>39</v>
      </c>
      <c r="E884" s="8" t="s">
        <v>666</v>
      </c>
      <c r="F884" s="10" t="s">
        <v>667</v>
      </c>
      <c r="G884" s="10" t="s">
        <v>21</v>
      </c>
      <c r="H884" s="10" t="s">
        <v>372</v>
      </c>
      <c r="I884" s="10" t="s">
        <v>373</v>
      </c>
      <c r="J884" s="10" t="s">
        <v>34</v>
      </c>
      <c r="K884" s="10" t="s">
        <v>35</v>
      </c>
      <c r="L884" s="10" t="s">
        <v>216</v>
      </c>
      <c r="M884" s="10" t="s">
        <v>2164</v>
      </c>
      <c r="N884" s="11">
        <v>34.200000000000003</v>
      </c>
      <c r="O884" s="12">
        <v>4</v>
      </c>
      <c r="P884" s="13">
        <v>0</v>
      </c>
      <c r="Q884" s="19">
        <v>16.260000000000002</v>
      </c>
      <c r="R884" s="45" t="str">
        <f t="shared" si="52"/>
        <v>OK</v>
      </c>
      <c r="S884" s="45">
        <f t="shared" si="53"/>
        <v>274.75</v>
      </c>
      <c r="T884" s="45">
        <f t="shared" si="54"/>
        <v>1</v>
      </c>
      <c r="U884" s="45">
        <f t="shared" si="55"/>
        <v>274.75</v>
      </c>
    </row>
    <row r="885" spans="1:21" x14ac:dyDescent="0.3">
      <c r="A885" s="17" t="s">
        <v>1825</v>
      </c>
      <c r="B885" s="32">
        <v>45498</v>
      </c>
      <c r="C885" s="32">
        <v>45501</v>
      </c>
      <c r="D885" s="8" t="s">
        <v>73</v>
      </c>
      <c r="E885" s="8" t="s">
        <v>127</v>
      </c>
      <c r="F885" s="10" t="s">
        <v>128</v>
      </c>
      <c r="G885" s="10" t="s">
        <v>21</v>
      </c>
      <c r="H885" s="10" t="s">
        <v>129</v>
      </c>
      <c r="I885" s="10" t="s">
        <v>33</v>
      </c>
      <c r="J885" s="10" t="s">
        <v>34</v>
      </c>
      <c r="K885" s="10" t="s">
        <v>35</v>
      </c>
      <c r="L885" s="10" t="s">
        <v>81</v>
      </c>
      <c r="M885" s="10" t="s">
        <v>1826</v>
      </c>
      <c r="N885" s="11">
        <v>2.81</v>
      </c>
      <c r="O885" s="12">
        <v>1</v>
      </c>
      <c r="P885" s="13">
        <v>0.2</v>
      </c>
      <c r="Q885" s="19">
        <v>1.18</v>
      </c>
      <c r="R885" s="45" t="str">
        <f t="shared" si="52"/>
        <v>OK</v>
      </c>
      <c r="S885" s="45">
        <f t="shared" si="53"/>
        <v>274.75</v>
      </c>
      <c r="T885" s="45">
        <f t="shared" si="54"/>
        <v>1</v>
      </c>
      <c r="U885" s="45">
        <f t="shared" si="55"/>
        <v>274.75</v>
      </c>
    </row>
    <row r="886" spans="1:21" x14ac:dyDescent="0.3">
      <c r="A886" s="17" t="s">
        <v>1463</v>
      </c>
      <c r="B886" s="32">
        <v>45499</v>
      </c>
      <c r="C886" s="32">
        <v>45502</v>
      </c>
      <c r="D886" s="8" t="s">
        <v>73</v>
      </c>
      <c r="E886" s="8" t="s">
        <v>1464</v>
      </c>
      <c r="F886" s="10" t="s">
        <v>1465</v>
      </c>
      <c r="G886" s="10" t="s">
        <v>21</v>
      </c>
      <c r="H886" s="10" t="s">
        <v>438</v>
      </c>
      <c r="I886" s="10" t="s">
        <v>157</v>
      </c>
      <c r="J886" s="10" t="s">
        <v>88</v>
      </c>
      <c r="K886" s="10" t="s">
        <v>25</v>
      </c>
      <c r="L886" s="10" t="s">
        <v>124</v>
      </c>
      <c r="M886" s="10" t="s">
        <v>1466</v>
      </c>
      <c r="N886" s="11">
        <v>6992.64</v>
      </c>
      <c r="O886" s="12">
        <v>7</v>
      </c>
      <c r="P886" s="13">
        <v>0.3</v>
      </c>
      <c r="Q886" s="19">
        <v>165.57</v>
      </c>
      <c r="R886" s="45" t="str">
        <f t="shared" si="52"/>
        <v>OK</v>
      </c>
      <c r="S886" s="45">
        <f t="shared" si="53"/>
        <v>274.75</v>
      </c>
      <c r="T886" s="45">
        <f t="shared" si="54"/>
        <v>1</v>
      </c>
      <c r="U886" s="45">
        <f t="shared" si="55"/>
        <v>274.75</v>
      </c>
    </row>
    <row r="887" spans="1:21" x14ac:dyDescent="0.3">
      <c r="A887" s="17" t="s">
        <v>2262</v>
      </c>
      <c r="B887" s="32">
        <v>45499</v>
      </c>
      <c r="C887" s="32">
        <v>45504</v>
      </c>
      <c r="D887" s="8" t="s">
        <v>29</v>
      </c>
      <c r="E887" s="8" t="s">
        <v>30</v>
      </c>
      <c r="F887" s="10" t="s">
        <v>31</v>
      </c>
      <c r="G887" s="10" t="s">
        <v>21</v>
      </c>
      <c r="H887" s="10" t="s">
        <v>32</v>
      </c>
      <c r="I887" s="10" t="s">
        <v>33</v>
      </c>
      <c r="J887" s="10" t="s">
        <v>34</v>
      </c>
      <c r="K887" s="10" t="s">
        <v>25</v>
      </c>
      <c r="L887" s="10" t="s">
        <v>68</v>
      </c>
      <c r="M887" s="10" t="s">
        <v>2263</v>
      </c>
      <c r="N887" s="11">
        <v>40.799999999999997</v>
      </c>
      <c r="O887" s="12">
        <v>3</v>
      </c>
      <c r="P887" s="13">
        <v>0.5</v>
      </c>
      <c r="Q887" s="19">
        <v>-13.42</v>
      </c>
      <c r="R887" s="45" t="str">
        <f t="shared" si="52"/>
        <v>OK</v>
      </c>
      <c r="S887" s="45">
        <f t="shared" si="53"/>
        <v>274.75</v>
      </c>
      <c r="T887" s="45">
        <f t="shared" si="54"/>
        <v>1</v>
      </c>
      <c r="U887" s="45">
        <f t="shared" si="55"/>
        <v>274.75</v>
      </c>
    </row>
    <row r="888" spans="1:21" x14ac:dyDescent="0.3">
      <c r="A888" s="17" t="s">
        <v>1489</v>
      </c>
      <c r="B888" s="32">
        <v>45501</v>
      </c>
      <c r="C888" s="32">
        <v>45504</v>
      </c>
      <c r="D888" s="8" t="s">
        <v>18</v>
      </c>
      <c r="E888" s="8" t="s">
        <v>528</v>
      </c>
      <c r="F888" s="10" t="s">
        <v>529</v>
      </c>
      <c r="G888" s="10" t="s">
        <v>51</v>
      </c>
      <c r="H888" s="10" t="s">
        <v>530</v>
      </c>
      <c r="I888" s="10" t="s">
        <v>373</v>
      </c>
      <c r="J888" s="10" t="s">
        <v>34</v>
      </c>
      <c r="K888" s="10" t="s">
        <v>35</v>
      </c>
      <c r="L888" s="10" t="s">
        <v>81</v>
      </c>
      <c r="M888" s="10" t="s">
        <v>1490</v>
      </c>
      <c r="N888" s="11">
        <v>77.7</v>
      </c>
      <c r="O888" s="12">
        <v>3</v>
      </c>
      <c r="P888" s="13">
        <v>0</v>
      </c>
      <c r="Q888" s="19">
        <v>41.47</v>
      </c>
      <c r="R888" s="45" t="str">
        <f t="shared" si="52"/>
        <v>OK</v>
      </c>
      <c r="S888" s="45">
        <f t="shared" si="53"/>
        <v>274.75</v>
      </c>
      <c r="T888" s="45">
        <f t="shared" si="54"/>
        <v>1</v>
      </c>
      <c r="U888" s="45">
        <f t="shared" si="55"/>
        <v>274.75</v>
      </c>
    </row>
    <row r="889" spans="1:21" x14ac:dyDescent="0.3">
      <c r="A889" s="16" t="s">
        <v>226</v>
      </c>
      <c r="B889" s="31">
        <v>45503</v>
      </c>
      <c r="C889" s="31">
        <v>45506</v>
      </c>
      <c r="D889" s="2" t="s">
        <v>18</v>
      </c>
      <c r="E889" s="2" t="s">
        <v>227</v>
      </c>
      <c r="F889" s="4" t="s">
        <v>228</v>
      </c>
      <c r="G889" s="4" t="s">
        <v>51</v>
      </c>
      <c r="H889" s="4" t="s">
        <v>98</v>
      </c>
      <c r="I889" s="4" t="s">
        <v>80</v>
      </c>
      <c r="J889" s="4" t="s">
        <v>54</v>
      </c>
      <c r="K889" s="4" t="s">
        <v>35</v>
      </c>
      <c r="L889" s="4" t="s">
        <v>229</v>
      </c>
      <c r="M889" s="4" t="s">
        <v>230</v>
      </c>
      <c r="N889" s="5">
        <v>126.76</v>
      </c>
      <c r="O889" s="6">
        <v>9</v>
      </c>
      <c r="P889" s="7">
        <v>0.15</v>
      </c>
      <c r="Q889" s="18">
        <v>50.31</v>
      </c>
      <c r="R889" s="45" t="str">
        <f t="shared" si="52"/>
        <v>OK</v>
      </c>
      <c r="S889" s="45">
        <f t="shared" si="53"/>
        <v>274.75</v>
      </c>
      <c r="T889" s="45">
        <f t="shared" si="54"/>
        <v>1</v>
      </c>
      <c r="U889" s="45">
        <f t="shared" si="55"/>
        <v>274.75</v>
      </c>
    </row>
    <row r="890" spans="1:21" x14ac:dyDescent="0.3">
      <c r="A890" s="17" t="s">
        <v>2395</v>
      </c>
      <c r="B890" s="32">
        <v>45505</v>
      </c>
      <c r="C890" s="32">
        <v>45506</v>
      </c>
      <c r="D890" s="8" t="s">
        <v>18</v>
      </c>
      <c r="E890" s="8" t="s">
        <v>1258</v>
      </c>
      <c r="F890" s="10" t="s">
        <v>1259</v>
      </c>
      <c r="G890" s="10" t="s">
        <v>21</v>
      </c>
      <c r="H890" s="10" t="s">
        <v>438</v>
      </c>
      <c r="I890" s="10" t="s">
        <v>157</v>
      </c>
      <c r="J890" s="10" t="s">
        <v>88</v>
      </c>
      <c r="K890" s="10" t="s">
        <v>45</v>
      </c>
      <c r="L890" s="10" t="s">
        <v>99</v>
      </c>
      <c r="M890" s="10" t="s">
        <v>2396</v>
      </c>
      <c r="N890" s="11">
        <v>110.3</v>
      </c>
      <c r="O890" s="12">
        <v>2</v>
      </c>
      <c r="P890" s="13">
        <v>0</v>
      </c>
      <c r="Q890" s="19">
        <v>39.909999999999997</v>
      </c>
      <c r="R890" s="45" t="str">
        <f t="shared" si="52"/>
        <v>OK</v>
      </c>
      <c r="S890" s="45">
        <f t="shared" si="53"/>
        <v>274.75</v>
      </c>
      <c r="T890" s="45">
        <f t="shared" si="54"/>
        <v>1</v>
      </c>
      <c r="U890" s="45">
        <f t="shared" si="55"/>
        <v>274.75</v>
      </c>
    </row>
    <row r="891" spans="1:21" x14ac:dyDescent="0.3">
      <c r="A891" s="16" t="s">
        <v>908</v>
      </c>
      <c r="B891" s="31">
        <v>45508</v>
      </c>
      <c r="C891" s="31">
        <v>45513</v>
      </c>
      <c r="D891" s="2" t="s">
        <v>29</v>
      </c>
      <c r="E891" s="2" t="s">
        <v>618</v>
      </c>
      <c r="F891" s="4" t="s">
        <v>619</v>
      </c>
      <c r="G891" s="4" t="s">
        <v>42</v>
      </c>
      <c r="H891" s="4" t="s">
        <v>260</v>
      </c>
      <c r="I891" s="4" t="s">
        <v>151</v>
      </c>
      <c r="J891" s="4" t="s">
        <v>34</v>
      </c>
      <c r="K891" s="4" t="s">
        <v>25</v>
      </c>
      <c r="L891" s="4" t="s">
        <v>26</v>
      </c>
      <c r="M891" s="4" t="s">
        <v>909</v>
      </c>
      <c r="N891" s="5">
        <v>1111.52</v>
      </c>
      <c r="O891" s="6">
        <v>1</v>
      </c>
      <c r="P891" s="7">
        <v>0.3</v>
      </c>
      <c r="Q891" s="18">
        <v>-69.58</v>
      </c>
      <c r="R891" s="45" t="str">
        <f t="shared" si="52"/>
        <v>OK</v>
      </c>
      <c r="S891" s="45">
        <f t="shared" si="53"/>
        <v>274.75</v>
      </c>
      <c r="T891" s="45">
        <f t="shared" si="54"/>
        <v>1</v>
      </c>
      <c r="U891" s="45">
        <f t="shared" si="55"/>
        <v>274.75</v>
      </c>
    </row>
    <row r="892" spans="1:21" x14ac:dyDescent="0.3">
      <c r="A892" s="17" t="s">
        <v>1093</v>
      </c>
      <c r="B892" s="32">
        <v>45508</v>
      </c>
      <c r="C892" s="32">
        <v>45513</v>
      </c>
      <c r="D892" s="8" t="s">
        <v>73</v>
      </c>
      <c r="E892" s="8" t="s">
        <v>745</v>
      </c>
      <c r="F892" s="10" t="s">
        <v>746</v>
      </c>
      <c r="G892" s="10" t="s">
        <v>51</v>
      </c>
      <c r="H892" s="10" t="s">
        <v>465</v>
      </c>
      <c r="I892" s="10" t="s">
        <v>423</v>
      </c>
      <c r="J892" s="10" t="s">
        <v>88</v>
      </c>
      <c r="K892" s="10" t="s">
        <v>35</v>
      </c>
      <c r="L892" s="10" t="s">
        <v>36</v>
      </c>
      <c r="M892" s="10" t="s">
        <v>311</v>
      </c>
      <c r="N892" s="11">
        <v>1147.1600000000001</v>
      </c>
      <c r="O892" s="12">
        <v>10</v>
      </c>
      <c r="P892" s="13">
        <v>0.3</v>
      </c>
      <c r="Q892" s="19">
        <v>227.5</v>
      </c>
      <c r="R892" s="45" t="str">
        <f t="shared" si="52"/>
        <v>OK</v>
      </c>
      <c r="S892" s="45">
        <f t="shared" si="53"/>
        <v>274.75</v>
      </c>
      <c r="T892" s="45">
        <f t="shared" si="54"/>
        <v>1</v>
      </c>
      <c r="U892" s="45">
        <f t="shared" si="55"/>
        <v>274.75</v>
      </c>
    </row>
    <row r="893" spans="1:21" x14ac:dyDescent="0.3">
      <c r="A893" s="17" t="s">
        <v>1741</v>
      </c>
      <c r="B893" s="32">
        <v>45508</v>
      </c>
      <c r="C893" s="32">
        <v>45514</v>
      </c>
      <c r="D893" s="8" t="s">
        <v>29</v>
      </c>
      <c r="E893" s="8" t="s">
        <v>406</v>
      </c>
      <c r="F893" s="10" t="s">
        <v>407</v>
      </c>
      <c r="G893" s="10" t="s">
        <v>42</v>
      </c>
      <c r="H893" s="10" t="s">
        <v>165</v>
      </c>
      <c r="I893" s="10" t="s">
        <v>44</v>
      </c>
      <c r="J893" s="10" t="s">
        <v>24</v>
      </c>
      <c r="K893" s="10" t="s">
        <v>35</v>
      </c>
      <c r="L893" s="10" t="s">
        <v>216</v>
      </c>
      <c r="M893" s="10" t="s">
        <v>1742</v>
      </c>
      <c r="N893" s="11">
        <v>239.69</v>
      </c>
      <c r="O893" s="12">
        <v>9</v>
      </c>
      <c r="P893" s="13">
        <v>0.2</v>
      </c>
      <c r="Q893" s="19">
        <v>95.71</v>
      </c>
      <c r="R893" s="45" t="str">
        <f t="shared" si="52"/>
        <v>OK</v>
      </c>
      <c r="S893" s="45">
        <f t="shared" si="53"/>
        <v>274.75</v>
      </c>
      <c r="T893" s="45">
        <f t="shared" si="54"/>
        <v>1</v>
      </c>
      <c r="U893" s="45">
        <f t="shared" si="55"/>
        <v>274.75</v>
      </c>
    </row>
    <row r="894" spans="1:21" x14ac:dyDescent="0.3">
      <c r="A894" s="16" t="s">
        <v>1841</v>
      </c>
      <c r="B894" s="31">
        <v>45509</v>
      </c>
      <c r="C894" s="31">
        <v>45511</v>
      </c>
      <c r="D894" s="2" t="s">
        <v>18</v>
      </c>
      <c r="E894" s="2" t="s">
        <v>57</v>
      </c>
      <c r="F894" s="4" t="s">
        <v>58</v>
      </c>
      <c r="G894" s="4" t="s">
        <v>42</v>
      </c>
      <c r="H894" s="4" t="s">
        <v>59</v>
      </c>
      <c r="I894" s="4" t="s">
        <v>60</v>
      </c>
      <c r="J894" s="4" t="s">
        <v>54</v>
      </c>
      <c r="K894" s="4" t="s">
        <v>35</v>
      </c>
      <c r="L894" s="4" t="s">
        <v>158</v>
      </c>
      <c r="M894" s="4" t="s">
        <v>1842</v>
      </c>
      <c r="N894" s="5">
        <v>10.34</v>
      </c>
      <c r="O894" s="6">
        <v>4</v>
      </c>
      <c r="P894" s="7">
        <v>0.05</v>
      </c>
      <c r="Q894" s="18">
        <v>3.23</v>
      </c>
      <c r="R894" s="45" t="str">
        <f t="shared" si="52"/>
        <v>OK</v>
      </c>
      <c r="S894" s="45">
        <f t="shared" si="53"/>
        <v>274.75</v>
      </c>
      <c r="T894" s="45">
        <f t="shared" si="54"/>
        <v>1</v>
      </c>
      <c r="U894" s="45">
        <f t="shared" si="55"/>
        <v>274.75</v>
      </c>
    </row>
    <row r="895" spans="1:21" x14ac:dyDescent="0.3">
      <c r="A895" s="16" t="s">
        <v>339</v>
      </c>
      <c r="B895" s="31">
        <v>45513</v>
      </c>
      <c r="C895" s="31">
        <v>45518</v>
      </c>
      <c r="D895" s="2" t="s">
        <v>73</v>
      </c>
      <c r="E895" s="2" t="s">
        <v>340</v>
      </c>
      <c r="F895" s="4" t="s">
        <v>341</v>
      </c>
      <c r="G895" s="4" t="s">
        <v>21</v>
      </c>
      <c r="H895" s="4" t="s">
        <v>139</v>
      </c>
      <c r="I895" s="4" t="s">
        <v>140</v>
      </c>
      <c r="J895" s="4" t="s">
        <v>24</v>
      </c>
      <c r="K895" s="4" t="s">
        <v>25</v>
      </c>
      <c r="L895" s="4" t="s">
        <v>26</v>
      </c>
      <c r="M895" s="4" t="s">
        <v>342</v>
      </c>
      <c r="N895" s="5">
        <v>1428.52</v>
      </c>
      <c r="O895" s="6">
        <v>6</v>
      </c>
      <c r="P895" s="7">
        <v>0.4</v>
      </c>
      <c r="Q895" s="18">
        <v>-414.66</v>
      </c>
      <c r="R895" s="45" t="str">
        <f t="shared" si="52"/>
        <v>OK</v>
      </c>
      <c r="S895" s="45">
        <f t="shared" si="53"/>
        <v>274.75</v>
      </c>
      <c r="T895" s="45">
        <f t="shared" si="54"/>
        <v>1</v>
      </c>
      <c r="U895" s="45">
        <f t="shared" si="55"/>
        <v>274.75</v>
      </c>
    </row>
    <row r="896" spans="1:21" x14ac:dyDescent="0.3">
      <c r="A896" s="17" t="s">
        <v>1645</v>
      </c>
      <c r="B896" s="32">
        <v>45514</v>
      </c>
      <c r="C896" s="32">
        <v>45516</v>
      </c>
      <c r="D896" s="8" t="s">
        <v>39</v>
      </c>
      <c r="E896" s="8" t="s">
        <v>717</v>
      </c>
      <c r="F896" s="10" t="s">
        <v>718</v>
      </c>
      <c r="G896" s="10" t="s">
        <v>51</v>
      </c>
      <c r="H896" s="10" t="s">
        <v>86</v>
      </c>
      <c r="I896" s="10" t="s">
        <v>87</v>
      </c>
      <c r="J896" s="10" t="s">
        <v>88</v>
      </c>
      <c r="K896" s="10" t="s">
        <v>25</v>
      </c>
      <c r="L896" s="10" t="s">
        <v>74</v>
      </c>
      <c r="M896" s="10" t="s">
        <v>1646</v>
      </c>
      <c r="N896" s="11">
        <v>232.72</v>
      </c>
      <c r="O896" s="12">
        <v>2</v>
      </c>
      <c r="P896" s="13">
        <v>0.1</v>
      </c>
      <c r="Q896" s="19">
        <v>69.959999999999994</v>
      </c>
      <c r="R896" s="45" t="str">
        <f t="shared" si="52"/>
        <v>OK</v>
      </c>
      <c r="S896" s="45">
        <f t="shared" si="53"/>
        <v>274.75</v>
      </c>
      <c r="T896" s="45">
        <f t="shared" si="54"/>
        <v>1</v>
      </c>
      <c r="U896" s="45">
        <f t="shared" si="55"/>
        <v>274.75</v>
      </c>
    </row>
    <row r="897" spans="1:21" x14ac:dyDescent="0.3">
      <c r="A897" s="16" t="s">
        <v>2136</v>
      </c>
      <c r="B897" s="31">
        <v>45515</v>
      </c>
      <c r="C897" s="31">
        <v>45517</v>
      </c>
      <c r="D897" s="2" t="s">
        <v>18</v>
      </c>
      <c r="E897" s="2" t="s">
        <v>395</v>
      </c>
      <c r="F897" s="4" t="s">
        <v>396</v>
      </c>
      <c r="G897" s="4" t="s">
        <v>21</v>
      </c>
      <c r="H897" s="4" t="s">
        <v>397</v>
      </c>
      <c r="I897" s="4" t="s">
        <v>33</v>
      </c>
      <c r="J897" s="4" t="s">
        <v>34</v>
      </c>
      <c r="K897" s="4" t="s">
        <v>45</v>
      </c>
      <c r="L897" s="4" t="s">
        <v>61</v>
      </c>
      <c r="M897" s="4" t="s">
        <v>2137</v>
      </c>
      <c r="N897" s="5">
        <v>1700.4</v>
      </c>
      <c r="O897" s="6">
        <v>5</v>
      </c>
      <c r="P897" s="7">
        <v>0.5</v>
      </c>
      <c r="Q897" s="18">
        <v>-1411.28</v>
      </c>
      <c r="R897" s="45" t="str">
        <f t="shared" si="52"/>
        <v>OK</v>
      </c>
      <c r="S897" s="45">
        <f t="shared" si="53"/>
        <v>274.75</v>
      </c>
      <c r="T897" s="45">
        <f t="shared" si="54"/>
        <v>1</v>
      </c>
      <c r="U897" s="45">
        <f t="shared" si="55"/>
        <v>274.75</v>
      </c>
    </row>
    <row r="898" spans="1:21" x14ac:dyDescent="0.3">
      <c r="A898" s="17" t="s">
        <v>1860</v>
      </c>
      <c r="B898" s="32">
        <v>45516</v>
      </c>
      <c r="C898" s="32">
        <v>45521</v>
      </c>
      <c r="D898" s="8" t="s">
        <v>29</v>
      </c>
      <c r="E898" s="8" t="s">
        <v>1033</v>
      </c>
      <c r="F898" s="10" t="s">
        <v>1034</v>
      </c>
      <c r="G898" s="10" t="s">
        <v>42</v>
      </c>
      <c r="H898" s="10" t="s">
        <v>86</v>
      </c>
      <c r="I898" s="10" t="s">
        <v>87</v>
      </c>
      <c r="J898" s="10" t="s">
        <v>88</v>
      </c>
      <c r="K898" s="10" t="s">
        <v>45</v>
      </c>
      <c r="L898" s="10" t="s">
        <v>61</v>
      </c>
      <c r="M898" s="10" t="s">
        <v>1861</v>
      </c>
      <c r="N898" s="11">
        <v>814.38</v>
      </c>
      <c r="O898" s="12">
        <v>2</v>
      </c>
      <c r="P898" s="13">
        <v>0</v>
      </c>
      <c r="Q898" s="19">
        <v>47.11</v>
      </c>
      <c r="R898" s="45" t="str">
        <f t="shared" ref="R898:R961" si="56">IF(C898&lt;B898,"Error","OK")</f>
        <v>OK</v>
      </c>
      <c r="S898" s="45">
        <f t="shared" ref="S898:S961" si="57">AVERAGEIF(E898:E1896,"CU-1057",N898:N1896)</f>
        <v>274.75</v>
      </c>
      <c r="T898" s="45">
        <f t="shared" ref="T898:T961" si="58">COUNTIF(E898:E1896,"CU-1057")</f>
        <v>1</v>
      </c>
      <c r="U898" s="45">
        <f t="shared" ref="U898:U961" si="59">SUMIF(E898:E1896,"CU-1057",N898:N1896)</f>
        <v>274.75</v>
      </c>
    </row>
    <row r="899" spans="1:21" x14ac:dyDescent="0.3">
      <c r="A899" s="16" t="s">
        <v>609</v>
      </c>
      <c r="B899" s="31">
        <v>45517</v>
      </c>
      <c r="C899" s="31">
        <v>45522</v>
      </c>
      <c r="D899" s="2" t="s">
        <v>73</v>
      </c>
      <c r="E899" s="2" t="s">
        <v>610</v>
      </c>
      <c r="F899" s="4" t="s">
        <v>611</v>
      </c>
      <c r="G899" s="4" t="s">
        <v>51</v>
      </c>
      <c r="H899" s="4" t="s">
        <v>346</v>
      </c>
      <c r="I899" s="4" t="s">
        <v>347</v>
      </c>
      <c r="J899" s="4" t="s">
        <v>88</v>
      </c>
      <c r="K899" s="4" t="s">
        <v>35</v>
      </c>
      <c r="L899" s="4" t="s">
        <v>216</v>
      </c>
      <c r="M899" s="4" t="s">
        <v>612</v>
      </c>
      <c r="N899" s="5">
        <v>252.6</v>
      </c>
      <c r="O899" s="6">
        <v>6</v>
      </c>
      <c r="P899" s="7">
        <v>0</v>
      </c>
      <c r="Q899" s="18">
        <v>131.46</v>
      </c>
      <c r="R899" s="45" t="str">
        <f t="shared" si="56"/>
        <v>OK</v>
      </c>
      <c r="S899" s="45">
        <f t="shared" si="57"/>
        <v>274.75</v>
      </c>
      <c r="T899" s="45">
        <f t="shared" si="58"/>
        <v>1</v>
      </c>
      <c r="U899" s="45">
        <f t="shared" si="59"/>
        <v>274.75</v>
      </c>
    </row>
    <row r="900" spans="1:21" x14ac:dyDescent="0.3">
      <c r="A900" s="17" t="s">
        <v>1943</v>
      </c>
      <c r="B900" s="32">
        <v>45517</v>
      </c>
      <c r="C900" s="32">
        <v>45519</v>
      </c>
      <c r="D900" s="8" t="s">
        <v>18</v>
      </c>
      <c r="E900" s="8" t="s">
        <v>512</v>
      </c>
      <c r="F900" s="10" t="s">
        <v>513</v>
      </c>
      <c r="G900" s="10" t="s">
        <v>21</v>
      </c>
      <c r="H900" s="10" t="s">
        <v>104</v>
      </c>
      <c r="I900" s="10" t="s">
        <v>105</v>
      </c>
      <c r="J900" s="10" t="s">
        <v>88</v>
      </c>
      <c r="K900" s="10" t="s">
        <v>25</v>
      </c>
      <c r="L900" s="10" t="s">
        <v>68</v>
      </c>
      <c r="M900" s="10" t="s">
        <v>1944</v>
      </c>
      <c r="N900" s="11">
        <v>386.23</v>
      </c>
      <c r="O900" s="12">
        <v>3</v>
      </c>
      <c r="P900" s="13">
        <v>0.2</v>
      </c>
      <c r="Q900" s="19">
        <v>97.78</v>
      </c>
      <c r="R900" s="45" t="str">
        <f t="shared" si="56"/>
        <v>OK</v>
      </c>
      <c r="S900" s="45">
        <f t="shared" si="57"/>
        <v>274.75</v>
      </c>
      <c r="T900" s="45">
        <f t="shared" si="58"/>
        <v>1</v>
      </c>
      <c r="U900" s="45">
        <f t="shared" si="59"/>
        <v>274.75</v>
      </c>
    </row>
    <row r="901" spans="1:21" x14ac:dyDescent="0.3">
      <c r="A901" s="17" t="s">
        <v>1864</v>
      </c>
      <c r="B901" s="32">
        <v>45518</v>
      </c>
      <c r="C901" s="32">
        <v>45519</v>
      </c>
      <c r="D901" s="8" t="s">
        <v>18</v>
      </c>
      <c r="E901" s="8" t="s">
        <v>997</v>
      </c>
      <c r="F901" s="10" t="s">
        <v>998</v>
      </c>
      <c r="G901" s="10" t="s">
        <v>21</v>
      </c>
      <c r="H901" s="10" t="s">
        <v>357</v>
      </c>
      <c r="I901" s="10" t="s">
        <v>251</v>
      </c>
      <c r="J901" s="10" t="s">
        <v>88</v>
      </c>
      <c r="K901" s="10" t="s">
        <v>45</v>
      </c>
      <c r="L901" s="10" t="s">
        <v>61</v>
      </c>
      <c r="M901" s="10" t="s">
        <v>1865</v>
      </c>
      <c r="N901" s="11">
        <v>1767.08</v>
      </c>
      <c r="O901" s="12">
        <v>4</v>
      </c>
      <c r="P901" s="13">
        <v>0.5</v>
      </c>
      <c r="Q901" s="19">
        <v>-1352.95</v>
      </c>
      <c r="R901" s="45" t="str">
        <f t="shared" si="56"/>
        <v>OK</v>
      </c>
      <c r="S901" s="45">
        <f t="shared" si="57"/>
        <v>274.75</v>
      </c>
      <c r="T901" s="45">
        <f t="shared" si="58"/>
        <v>1</v>
      </c>
      <c r="U901" s="45">
        <f t="shared" si="59"/>
        <v>274.75</v>
      </c>
    </row>
    <row r="902" spans="1:21" x14ac:dyDescent="0.3">
      <c r="A902" s="16" t="s">
        <v>2114</v>
      </c>
      <c r="B902" s="31">
        <v>45518</v>
      </c>
      <c r="C902" s="31">
        <v>45522</v>
      </c>
      <c r="D902" s="2" t="s">
        <v>73</v>
      </c>
      <c r="E902" s="2" t="s">
        <v>905</v>
      </c>
      <c r="F902" s="4" t="s">
        <v>906</v>
      </c>
      <c r="G902" s="4" t="s">
        <v>51</v>
      </c>
      <c r="H902" s="4" t="s">
        <v>352</v>
      </c>
      <c r="I902" s="4" t="s">
        <v>306</v>
      </c>
      <c r="J902" s="4" t="s">
        <v>34</v>
      </c>
      <c r="K902" s="4" t="s">
        <v>35</v>
      </c>
      <c r="L902" s="4" t="s">
        <v>36</v>
      </c>
      <c r="M902" s="4" t="s">
        <v>2115</v>
      </c>
      <c r="N902" s="5">
        <v>1396.32</v>
      </c>
      <c r="O902" s="6">
        <v>6</v>
      </c>
      <c r="P902" s="7">
        <v>0</v>
      </c>
      <c r="Q902" s="18">
        <v>542.34</v>
      </c>
      <c r="R902" s="45" t="str">
        <f t="shared" si="56"/>
        <v>OK</v>
      </c>
      <c r="S902" s="45">
        <f t="shared" si="57"/>
        <v>274.75</v>
      </c>
      <c r="T902" s="45">
        <f t="shared" si="58"/>
        <v>1</v>
      </c>
      <c r="U902" s="45">
        <f t="shared" si="59"/>
        <v>274.75</v>
      </c>
    </row>
    <row r="903" spans="1:21" x14ac:dyDescent="0.3">
      <c r="A903" s="17" t="s">
        <v>1357</v>
      </c>
      <c r="B903" s="32">
        <v>45521</v>
      </c>
      <c r="C903" s="32">
        <v>45522</v>
      </c>
      <c r="D903" s="8" t="s">
        <v>18</v>
      </c>
      <c r="E903" s="8" t="s">
        <v>717</v>
      </c>
      <c r="F903" s="10" t="s">
        <v>718</v>
      </c>
      <c r="G903" s="10" t="s">
        <v>51</v>
      </c>
      <c r="H903" s="10" t="s">
        <v>86</v>
      </c>
      <c r="I903" s="10" t="s">
        <v>87</v>
      </c>
      <c r="J903" s="10" t="s">
        <v>88</v>
      </c>
      <c r="K903" s="10" t="s">
        <v>25</v>
      </c>
      <c r="L903" s="10" t="s">
        <v>74</v>
      </c>
      <c r="M903" s="10" t="s">
        <v>1358</v>
      </c>
      <c r="N903" s="11">
        <v>2000.97</v>
      </c>
      <c r="O903" s="12">
        <v>3</v>
      </c>
      <c r="P903" s="13">
        <v>0</v>
      </c>
      <c r="Q903" s="19">
        <v>663.25</v>
      </c>
      <c r="R903" s="45" t="str">
        <f t="shared" si="56"/>
        <v>OK</v>
      </c>
      <c r="S903" s="45">
        <f t="shared" si="57"/>
        <v>274.75</v>
      </c>
      <c r="T903" s="45">
        <f t="shared" si="58"/>
        <v>1</v>
      </c>
      <c r="U903" s="45">
        <f t="shared" si="59"/>
        <v>274.75</v>
      </c>
    </row>
    <row r="904" spans="1:21" x14ac:dyDescent="0.3">
      <c r="A904" s="17" t="s">
        <v>2138</v>
      </c>
      <c r="B904" s="32">
        <v>45521</v>
      </c>
      <c r="C904" s="32">
        <v>45525</v>
      </c>
      <c r="D904" s="8" t="s">
        <v>73</v>
      </c>
      <c r="E904" s="8" t="s">
        <v>57</v>
      </c>
      <c r="F904" s="10" t="s">
        <v>58</v>
      </c>
      <c r="G904" s="10" t="s">
        <v>42</v>
      </c>
      <c r="H904" s="10" t="s">
        <v>59</v>
      </c>
      <c r="I904" s="10" t="s">
        <v>60</v>
      </c>
      <c r="J904" s="10" t="s">
        <v>54</v>
      </c>
      <c r="K904" s="10" t="s">
        <v>35</v>
      </c>
      <c r="L904" s="10" t="s">
        <v>166</v>
      </c>
      <c r="M904" s="10" t="s">
        <v>1116</v>
      </c>
      <c r="N904" s="11">
        <v>320.04000000000002</v>
      </c>
      <c r="O904" s="12">
        <v>9</v>
      </c>
      <c r="P904" s="13">
        <v>0.3</v>
      </c>
      <c r="Q904" s="19">
        <v>18.05</v>
      </c>
      <c r="R904" s="45" t="str">
        <f t="shared" si="56"/>
        <v>OK</v>
      </c>
      <c r="S904" s="45">
        <f t="shared" si="57"/>
        <v>274.75</v>
      </c>
      <c r="T904" s="45">
        <f t="shared" si="58"/>
        <v>1</v>
      </c>
      <c r="U904" s="45">
        <f t="shared" si="59"/>
        <v>274.75</v>
      </c>
    </row>
    <row r="905" spans="1:21" x14ac:dyDescent="0.3">
      <c r="A905" s="16" t="s">
        <v>1767</v>
      </c>
      <c r="B905" s="31">
        <v>45522</v>
      </c>
      <c r="C905" s="31">
        <v>45524</v>
      </c>
      <c r="D905" s="2" t="s">
        <v>39</v>
      </c>
      <c r="E905" s="2" t="s">
        <v>40</v>
      </c>
      <c r="F905" s="4" t="s">
        <v>41</v>
      </c>
      <c r="G905" s="4" t="s">
        <v>42</v>
      </c>
      <c r="H905" s="4" t="s">
        <v>43</v>
      </c>
      <c r="I905" s="4" t="s">
        <v>44</v>
      </c>
      <c r="J905" s="4" t="s">
        <v>24</v>
      </c>
      <c r="K905" s="4" t="s">
        <v>35</v>
      </c>
      <c r="L905" s="4" t="s">
        <v>295</v>
      </c>
      <c r="M905" s="4" t="s">
        <v>1768</v>
      </c>
      <c r="N905" s="5">
        <v>630.79999999999995</v>
      </c>
      <c r="O905" s="6">
        <v>10</v>
      </c>
      <c r="P905" s="7">
        <v>0</v>
      </c>
      <c r="Q905" s="18">
        <v>286.20999999999998</v>
      </c>
      <c r="R905" s="45" t="str">
        <f t="shared" si="56"/>
        <v>OK</v>
      </c>
      <c r="S905" s="45">
        <f t="shared" si="57"/>
        <v>274.75</v>
      </c>
      <c r="T905" s="45">
        <f t="shared" si="58"/>
        <v>1</v>
      </c>
      <c r="U905" s="45">
        <f t="shared" si="59"/>
        <v>274.75</v>
      </c>
    </row>
    <row r="906" spans="1:21" x14ac:dyDescent="0.3">
      <c r="A906" s="17" t="s">
        <v>1407</v>
      </c>
      <c r="B906" s="32">
        <v>45524</v>
      </c>
      <c r="C906" s="32">
        <v>45531</v>
      </c>
      <c r="D906" s="8" t="s">
        <v>29</v>
      </c>
      <c r="E906" s="8" t="s">
        <v>1136</v>
      </c>
      <c r="F906" s="10" t="s">
        <v>1137</v>
      </c>
      <c r="G906" s="10" t="s">
        <v>51</v>
      </c>
      <c r="H906" s="10" t="s">
        <v>386</v>
      </c>
      <c r="I906" s="10" t="s">
        <v>347</v>
      </c>
      <c r="J906" s="10" t="s">
        <v>88</v>
      </c>
      <c r="K906" s="10" t="s">
        <v>45</v>
      </c>
      <c r="L906" s="10" t="s">
        <v>99</v>
      </c>
      <c r="M906" s="10" t="s">
        <v>1408</v>
      </c>
      <c r="N906" s="11">
        <v>36.979999999999997</v>
      </c>
      <c r="O906" s="12">
        <v>2</v>
      </c>
      <c r="P906" s="13">
        <v>0</v>
      </c>
      <c r="Q906" s="19">
        <v>9.77</v>
      </c>
      <c r="R906" s="45" t="str">
        <f t="shared" si="56"/>
        <v>OK</v>
      </c>
      <c r="S906" s="45">
        <f t="shared" si="57"/>
        <v>274.75</v>
      </c>
      <c r="T906" s="45">
        <f t="shared" si="58"/>
        <v>1</v>
      </c>
      <c r="U906" s="45">
        <f t="shared" si="59"/>
        <v>274.75</v>
      </c>
    </row>
    <row r="907" spans="1:21" x14ac:dyDescent="0.3">
      <c r="A907" s="17" t="s">
        <v>2338</v>
      </c>
      <c r="B907" s="32">
        <v>45524</v>
      </c>
      <c r="C907" s="32">
        <v>45526</v>
      </c>
      <c r="D907" s="8" t="s">
        <v>18</v>
      </c>
      <c r="E907" s="8" t="s">
        <v>701</v>
      </c>
      <c r="F907" s="10" t="s">
        <v>702</v>
      </c>
      <c r="G907" s="10" t="s">
        <v>21</v>
      </c>
      <c r="H907" s="10" t="s">
        <v>43</v>
      </c>
      <c r="I907" s="10" t="s">
        <v>44</v>
      </c>
      <c r="J907" s="10" t="s">
        <v>24</v>
      </c>
      <c r="K907" s="10" t="s">
        <v>45</v>
      </c>
      <c r="L907" s="10" t="s">
        <v>61</v>
      </c>
      <c r="M907" s="10" t="s">
        <v>2339</v>
      </c>
      <c r="N907" s="11">
        <v>5050.08</v>
      </c>
      <c r="O907" s="12">
        <v>9</v>
      </c>
      <c r="P907" s="13">
        <v>0</v>
      </c>
      <c r="Q907" s="19">
        <v>692.59</v>
      </c>
      <c r="R907" s="45" t="str">
        <f t="shared" si="56"/>
        <v>OK</v>
      </c>
      <c r="S907" s="45">
        <f t="shared" si="57"/>
        <v>274.75</v>
      </c>
      <c r="T907" s="45">
        <f t="shared" si="58"/>
        <v>1</v>
      </c>
      <c r="U907" s="45">
        <f t="shared" si="59"/>
        <v>274.75</v>
      </c>
    </row>
    <row r="908" spans="1:21" x14ac:dyDescent="0.3">
      <c r="A908" s="17" t="s">
        <v>450</v>
      </c>
      <c r="B908" s="32">
        <v>45525</v>
      </c>
      <c r="C908" s="32">
        <v>45528</v>
      </c>
      <c r="D908" s="8" t="s">
        <v>73</v>
      </c>
      <c r="E908" s="8" t="s">
        <v>389</v>
      </c>
      <c r="F908" s="10" t="s">
        <v>390</v>
      </c>
      <c r="G908" s="10" t="s">
        <v>51</v>
      </c>
      <c r="H908" s="10" t="s">
        <v>59</v>
      </c>
      <c r="I908" s="10" t="s">
        <v>60</v>
      </c>
      <c r="J908" s="10" t="s">
        <v>54</v>
      </c>
      <c r="K908" s="10" t="s">
        <v>25</v>
      </c>
      <c r="L908" s="10" t="s">
        <v>68</v>
      </c>
      <c r="M908" s="10" t="s">
        <v>451</v>
      </c>
      <c r="N908" s="11">
        <v>995.3</v>
      </c>
      <c r="O908" s="12">
        <v>10</v>
      </c>
      <c r="P908" s="13">
        <v>0</v>
      </c>
      <c r="Q908" s="19">
        <v>439.1</v>
      </c>
      <c r="R908" s="45" t="str">
        <f t="shared" si="56"/>
        <v>OK</v>
      </c>
      <c r="S908" s="45">
        <f t="shared" si="57"/>
        <v>274.75</v>
      </c>
      <c r="T908" s="45">
        <f t="shared" si="58"/>
        <v>1</v>
      </c>
      <c r="U908" s="45">
        <f t="shared" si="59"/>
        <v>274.75</v>
      </c>
    </row>
    <row r="909" spans="1:21" x14ac:dyDescent="0.3">
      <c r="A909" s="17" t="s">
        <v>1947</v>
      </c>
      <c r="B909" s="32">
        <v>45528</v>
      </c>
      <c r="C909" s="32">
        <v>45530</v>
      </c>
      <c r="D909" s="8" t="s">
        <v>18</v>
      </c>
      <c r="E909" s="8" t="s">
        <v>650</v>
      </c>
      <c r="F909" s="10" t="s">
        <v>651</v>
      </c>
      <c r="G909" s="10" t="s">
        <v>42</v>
      </c>
      <c r="H909" s="10" t="s">
        <v>438</v>
      </c>
      <c r="I909" s="10" t="s">
        <v>157</v>
      </c>
      <c r="J909" s="10" t="s">
        <v>88</v>
      </c>
      <c r="K909" s="10" t="s">
        <v>25</v>
      </c>
      <c r="L909" s="10" t="s">
        <v>124</v>
      </c>
      <c r="M909" s="10" t="s">
        <v>1948</v>
      </c>
      <c r="N909" s="11">
        <v>19007.45</v>
      </c>
      <c r="O909" s="12">
        <v>7</v>
      </c>
      <c r="P909" s="13">
        <v>0</v>
      </c>
      <c r="Q909" s="19">
        <v>3907.23</v>
      </c>
      <c r="R909" s="45" t="str">
        <f t="shared" si="56"/>
        <v>OK</v>
      </c>
      <c r="S909" s="45">
        <f t="shared" si="57"/>
        <v>274.75</v>
      </c>
      <c r="T909" s="45">
        <f t="shared" si="58"/>
        <v>1</v>
      </c>
      <c r="U909" s="45">
        <f t="shared" si="59"/>
        <v>274.75</v>
      </c>
    </row>
    <row r="910" spans="1:21" x14ac:dyDescent="0.3">
      <c r="A910" s="17" t="s">
        <v>2203</v>
      </c>
      <c r="B910" s="32">
        <v>45530</v>
      </c>
      <c r="C910" s="32">
        <v>45532</v>
      </c>
      <c r="D910" s="8" t="s">
        <v>18</v>
      </c>
      <c r="E910" s="8" t="s">
        <v>432</v>
      </c>
      <c r="F910" s="10" t="s">
        <v>433</v>
      </c>
      <c r="G910" s="10" t="s">
        <v>51</v>
      </c>
      <c r="H910" s="10" t="s">
        <v>171</v>
      </c>
      <c r="I910" s="10" t="s">
        <v>172</v>
      </c>
      <c r="J910" s="10" t="s">
        <v>24</v>
      </c>
      <c r="K910" s="10" t="s">
        <v>25</v>
      </c>
      <c r="L910" s="10" t="s">
        <v>26</v>
      </c>
      <c r="M910" s="10" t="s">
        <v>2204</v>
      </c>
      <c r="N910" s="11">
        <v>7430.9</v>
      </c>
      <c r="O910" s="12">
        <v>8</v>
      </c>
      <c r="P910" s="13">
        <v>0.15</v>
      </c>
      <c r="Q910" s="19">
        <v>162.31</v>
      </c>
      <c r="R910" s="45" t="str">
        <f t="shared" si="56"/>
        <v>OK</v>
      </c>
      <c r="S910" s="45">
        <f t="shared" si="57"/>
        <v>274.75</v>
      </c>
      <c r="T910" s="45">
        <f t="shared" si="58"/>
        <v>1</v>
      </c>
      <c r="U910" s="45">
        <f t="shared" si="59"/>
        <v>274.75</v>
      </c>
    </row>
    <row r="911" spans="1:21" x14ac:dyDescent="0.3">
      <c r="A911" s="16" t="s">
        <v>2292</v>
      </c>
      <c r="B911" s="31">
        <v>45531</v>
      </c>
      <c r="C911" s="31">
        <v>45536</v>
      </c>
      <c r="D911" s="2" t="s">
        <v>29</v>
      </c>
      <c r="E911" s="2" t="s">
        <v>701</v>
      </c>
      <c r="F911" s="4" t="s">
        <v>702</v>
      </c>
      <c r="G911" s="4" t="s">
        <v>21</v>
      </c>
      <c r="H911" s="4" t="s">
        <v>43</v>
      </c>
      <c r="I911" s="4" t="s">
        <v>44</v>
      </c>
      <c r="J911" s="4" t="s">
        <v>24</v>
      </c>
      <c r="K911" s="4" t="s">
        <v>35</v>
      </c>
      <c r="L911" s="4" t="s">
        <v>216</v>
      </c>
      <c r="M911" s="4" t="s">
        <v>2293</v>
      </c>
      <c r="N911" s="5">
        <v>195.48</v>
      </c>
      <c r="O911" s="6">
        <v>10</v>
      </c>
      <c r="P911" s="7">
        <v>0.4</v>
      </c>
      <c r="Q911" s="18">
        <v>5.15</v>
      </c>
      <c r="R911" s="45" t="str">
        <f t="shared" si="56"/>
        <v>OK</v>
      </c>
      <c r="S911" s="45">
        <f t="shared" si="57"/>
        <v>274.75</v>
      </c>
      <c r="T911" s="45">
        <f t="shared" si="58"/>
        <v>1</v>
      </c>
      <c r="U911" s="45">
        <f t="shared" si="59"/>
        <v>274.75</v>
      </c>
    </row>
    <row r="912" spans="1:21" x14ac:dyDescent="0.3">
      <c r="A912" s="16" t="s">
        <v>38</v>
      </c>
      <c r="B912" s="31">
        <v>45532</v>
      </c>
      <c r="C912" s="31">
        <v>45535</v>
      </c>
      <c r="D912" s="2" t="s">
        <v>39</v>
      </c>
      <c r="E912" s="2" t="s">
        <v>40</v>
      </c>
      <c r="F912" s="4" t="s">
        <v>41</v>
      </c>
      <c r="G912" s="4" t="s">
        <v>42</v>
      </c>
      <c r="H912" s="4" t="s">
        <v>43</v>
      </c>
      <c r="I912" s="4" t="s">
        <v>44</v>
      </c>
      <c r="J912" s="4" t="s">
        <v>24</v>
      </c>
      <c r="K912" s="4" t="s">
        <v>45</v>
      </c>
      <c r="L912" s="4" t="s">
        <v>46</v>
      </c>
      <c r="M912" s="4" t="s">
        <v>47</v>
      </c>
      <c r="N912" s="5">
        <v>1607.06</v>
      </c>
      <c r="O912" s="6">
        <v>6</v>
      </c>
      <c r="P912" s="7">
        <v>0.15</v>
      </c>
      <c r="Q912" s="18">
        <v>234.41</v>
      </c>
      <c r="R912" s="45" t="str">
        <f t="shared" si="56"/>
        <v>OK</v>
      </c>
      <c r="S912" s="45">
        <f t="shared" si="57"/>
        <v>274.75</v>
      </c>
      <c r="T912" s="45">
        <f t="shared" si="58"/>
        <v>1</v>
      </c>
      <c r="U912" s="45">
        <f t="shared" si="59"/>
        <v>274.75</v>
      </c>
    </row>
    <row r="913" spans="1:21" x14ac:dyDescent="0.3">
      <c r="A913" s="16" t="s">
        <v>1945</v>
      </c>
      <c r="B913" s="31">
        <v>45538</v>
      </c>
      <c r="C913" s="31">
        <v>45542</v>
      </c>
      <c r="D913" s="2" t="s">
        <v>73</v>
      </c>
      <c r="E913" s="2" t="s">
        <v>654</v>
      </c>
      <c r="F913" s="4" t="s">
        <v>655</v>
      </c>
      <c r="G913" s="4" t="s">
        <v>21</v>
      </c>
      <c r="H913" s="4" t="s">
        <v>66</v>
      </c>
      <c r="I913" s="4" t="s">
        <v>67</v>
      </c>
      <c r="J913" s="4" t="s">
        <v>34</v>
      </c>
      <c r="K913" s="4" t="s">
        <v>45</v>
      </c>
      <c r="L913" s="4" t="s">
        <v>61</v>
      </c>
      <c r="M913" s="4" t="s">
        <v>1946</v>
      </c>
      <c r="N913" s="5">
        <v>207.8</v>
      </c>
      <c r="O913" s="6">
        <v>1</v>
      </c>
      <c r="P913" s="7">
        <v>0.15</v>
      </c>
      <c r="Q913" s="18">
        <v>-6.34</v>
      </c>
      <c r="R913" s="45" t="str">
        <f t="shared" si="56"/>
        <v>OK</v>
      </c>
      <c r="S913" s="45">
        <f t="shared" si="57"/>
        <v>274.75</v>
      </c>
      <c r="T913" s="45">
        <f t="shared" si="58"/>
        <v>1</v>
      </c>
      <c r="U913" s="45">
        <f t="shared" si="59"/>
        <v>274.75</v>
      </c>
    </row>
    <row r="914" spans="1:21" x14ac:dyDescent="0.3">
      <c r="A914" s="17" t="s">
        <v>2425</v>
      </c>
      <c r="B914" s="32">
        <v>45539</v>
      </c>
      <c r="C914" s="32">
        <v>45544</v>
      </c>
      <c r="D914" s="8" t="s">
        <v>29</v>
      </c>
      <c r="E914" s="8" t="s">
        <v>265</v>
      </c>
      <c r="F914" s="10" t="s">
        <v>266</v>
      </c>
      <c r="G914" s="10" t="s">
        <v>21</v>
      </c>
      <c r="H914" s="10" t="s">
        <v>171</v>
      </c>
      <c r="I914" s="10" t="s">
        <v>172</v>
      </c>
      <c r="J914" s="10" t="s">
        <v>24</v>
      </c>
      <c r="K914" s="10" t="s">
        <v>45</v>
      </c>
      <c r="L914" s="10" t="s">
        <v>117</v>
      </c>
      <c r="M914" s="10" t="s">
        <v>2426</v>
      </c>
      <c r="N914" s="11">
        <v>286.17</v>
      </c>
      <c r="O914" s="12">
        <v>3</v>
      </c>
      <c r="P914" s="13">
        <v>0.5</v>
      </c>
      <c r="Q914" s="19">
        <v>-94.13</v>
      </c>
      <c r="R914" s="45" t="str">
        <f t="shared" si="56"/>
        <v>OK</v>
      </c>
      <c r="S914" s="45">
        <f t="shared" si="57"/>
        <v>274.75</v>
      </c>
      <c r="T914" s="45">
        <f t="shared" si="58"/>
        <v>1</v>
      </c>
      <c r="U914" s="45">
        <f t="shared" si="59"/>
        <v>274.75</v>
      </c>
    </row>
    <row r="915" spans="1:21" x14ac:dyDescent="0.3">
      <c r="A915" s="17" t="s">
        <v>2068</v>
      </c>
      <c r="B915" s="32">
        <v>45540</v>
      </c>
      <c r="C915" s="32">
        <v>45544</v>
      </c>
      <c r="D915" s="8" t="s">
        <v>39</v>
      </c>
      <c r="E915" s="8" t="s">
        <v>340</v>
      </c>
      <c r="F915" s="10" t="s">
        <v>341</v>
      </c>
      <c r="G915" s="10" t="s">
        <v>21</v>
      </c>
      <c r="H915" s="10" t="s">
        <v>139</v>
      </c>
      <c r="I915" s="10" t="s">
        <v>140</v>
      </c>
      <c r="J915" s="10" t="s">
        <v>24</v>
      </c>
      <c r="K915" s="10" t="s">
        <v>45</v>
      </c>
      <c r="L915" s="10" t="s">
        <v>99</v>
      </c>
      <c r="M915" s="10" t="s">
        <v>2069</v>
      </c>
      <c r="N915" s="11">
        <v>30.58</v>
      </c>
      <c r="O915" s="12">
        <v>2</v>
      </c>
      <c r="P915" s="13">
        <v>0.15</v>
      </c>
      <c r="Q915" s="19">
        <v>3.67</v>
      </c>
      <c r="R915" s="45" t="str">
        <f t="shared" si="56"/>
        <v>OK</v>
      </c>
      <c r="S915" s="45">
        <f t="shared" si="57"/>
        <v>274.75</v>
      </c>
      <c r="T915" s="45">
        <f t="shared" si="58"/>
        <v>1</v>
      </c>
      <c r="U915" s="45">
        <f t="shared" si="59"/>
        <v>274.75</v>
      </c>
    </row>
    <row r="916" spans="1:21" x14ac:dyDescent="0.3">
      <c r="A916" s="17" t="s">
        <v>1955</v>
      </c>
      <c r="B916" s="32">
        <v>45542</v>
      </c>
      <c r="C916" s="32">
        <v>45543</v>
      </c>
      <c r="D916" s="8" t="s">
        <v>18</v>
      </c>
      <c r="E916" s="8" t="s">
        <v>163</v>
      </c>
      <c r="F916" s="10" t="s">
        <v>164</v>
      </c>
      <c r="G916" s="10" t="s">
        <v>21</v>
      </c>
      <c r="H916" s="10" t="s">
        <v>165</v>
      </c>
      <c r="I916" s="10" t="s">
        <v>44</v>
      </c>
      <c r="J916" s="10" t="s">
        <v>24</v>
      </c>
      <c r="K916" s="10" t="s">
        <v>25</v>
      </c>
      <c r="L916" s="10" t="s">
        <v>124</v>
      </c>
      <c r="M916" s="10" t="s">
        <v>1956</v>
      </c>
      <c r="N916" s="11">
        <v>7423.02</v>
      </c>
      <c r="O916" s="12">
        <v>6</v>
      </c>
      <c r="P916" s="13">
        <v>0.5</v>
      </c>
      <c r="Q916" s="19">
        <v>-4551.09</v>
      </c>
      <c r="R916" s="45" t="str">
        <f t="shared" si="56"/>
        <v>OK</v>
      </c>
      <c r="S916" s="45">
        <f t="shared" si="57"/>
        <v>274.75</v>
      </c>
      <c r="T916" s="45">
        <f t="shared" si="58"/>
        <v>1</v>
      </c>
      <c r="U916" s="45">
        <f t="shared" si="59"/>
        <v>274.75</v>
      </c>
    </row>
    <row r="917" spans="1:21" x14ac:dyDescent="0.3">
      <c r="A917" s="17" t="s">
        <v>889</v>
      </c>
      <c r="B917" s="32">
        <v>45543</v>
      </c>
      <c r="C917" s="32">
        <v>45546</v>
      </c>
      <c r="D917" s="8" t="s">
        <v>73</v>
      </c>
      <c r="E917" s="8" t="s">
        <v>890</v>
      </c>
      <c r="F917" s="10" t="s">
        <v>891</v>
      </c>
      <c r="G917" s="10" t="s">
        <v>42</v>
      </c>
      <c r="H917" s="10" t="s">
        <v>22</v>
      </c>
      <c r="I917" s="10" t="s">
        <v>23</v>
      </c>
      <c r="J917" s="10" t="s">
        <v>24</v>
      </c>
      <c r="K917" s="10" t="s">
        <v>25</v>
      </c>
      <c r="L917" s="10" t="s">
        <v>68</v>
      </c>
      <c r="M917" s="10" t="s">
        <v>870</v>
      </c>
      <c r="N917" s="11">
        <v>92.15</v>
      </c>
      <c r="O917" s="12">
        <v>1</v>
      </c>
      <c r="P917" s="13">
        <v>0</v>
      </c>
      <c r="Q917" s="19">
        <v>42.14</v>
      </c>
      <c r="R917" s="45" t="str">
        <f t="shared" si="56"/>
        <v>OK</v>
      </c>
      <c r="S917" s="45">
        <f t="shared" si="57"/>
        <v>274.75</v>
      </c>
      <c r="T917" s="45">
        <f t="shared" si="58"/>
        <v>1</v>
      </c>
      <c r="U917" s="45">
        <f t="shared" si="59"/>
        <v>274.75</v>
      </c>
    </row>
    <row r="918" spans="1:21" x14ac:dyDescent="0.3">
      <c r="A918" s="17" t="s">
        <v>1781</v>
      </c>
      <c r="B918" s="32">
        <v>45544</v>
      </c>
      <c r="C918" s="32">
        <v>45548</v>
      </c>
      <c r="D918" s="8" t="s">
        <v>39</v>
      </c>
      <c r="E918" s="8" t="s">
        <v>566</v>
      </c>
      <c r="F918" s="10" t="s">
        <v>567</v>
      </c>
      <c r="G918" s="10" t="s">
        <v>21</v>
      </c>
      <c r="H918" s="10" t="s">
        <v>156</v>
      </c>
      <c r="I918" s="10" t="s">
        <v>157</v>
      </c>
      <c r="J918" s="10" t="s">
        <v>88</v>
      </c>
      <c r="K918" s="10" t="s">
        <v>25</v>
      </c>
      <c r="L918" s="10" t="s">
        <v>26</v>
      </c>
      <c r="M918" s="10" t="s">
        <v>1782</v>
      </c>
      <c r="N918" s="11">
        <v>482.08</v>
      </c>
      <c r="O918" s="12">
        <v>4</v>
      </c>
      <c r="P918" s="13">
        <v>0.3</v>
      </c>
      <c r="Q918" s="19">
        <v>-38.020000000000003</v>
      </c>
      <c r="R918" s="45" t="str">
        <f t="shared" si="56"/>
        <v>OK</v>
      </c>
      <c r="S918" s="45">
        <f t="shared" si="57"/>
        <v>274.75</v>
      </c>
      <c r="T918" s="45">
        <f t="shared" si="58"/>
        <v>1</v>
      </c>
      <c r="U918" s="45">
        <f t="shared" si="59"/>
        <v>274.75</v>
      </c>
    </row>
    <row r="919" spans="1:21" x14ac:dyDescent="0.3">
      <c r="A919" s="16" t="s">
        <v>218</v>
      </c>
      <c r="B919" s="31">
        <v>45545</v>
      </c>
      <c r="C919" s="31">
        <v>45546</v>
      </c>
      <c r="D919" s="2" t="s">
        <v>18</v>
      </c>
      <c r="E919" s="2" t="s">
        <v>219</v>
      </c>
      <c r="F919" s="4" t="s">
        <v>220</v>
      </c>
      <c r="G919" s="4" t="s">
        <v>51</v>
      </c>
      <c r="H919" s="4" t="s">
        <v>171</v>
      </c>
      <c r="I919" s="4" t="s">
        <v>172</v>
      </c>
      <c r="J919" s="4" t="s">
        <v>24</v>
      </c>
      <c r="K919" s="4" t="s">
        <v>25</v>
      </c>
      <c r="L919" s="4" t="s">
        <v>26</v>
      </c>
      <c r="M919" s="4" t="s">
        <v>221</v>
      </c>
      <c r="N919" s="5">
        <v>5391.14</v>
      </c>
      <c r="O919" s="6">
        <v>4</v>
      </c>
      <c r="P919" s="7">
        <v>0.15</v>
      </c>
      <c r="Q919" s="18">
        <v>92.85</v>
      </c>
      <c r="R919" s="45" t="str">
        <f t="shared" si="56"/>
        <v>OK</v>
      </c>
      <c r="S919" s="45">
        <f t="shared" si="57"/>
        <v>274.75</v>
      </c>
      <c r="T919" s="45">
        <f t="shared" si="58"/>
        <v>1</v>
      </c>
      <c r="U919" s="45">
        <f t="shared" si="59"/>
        <v>274.75</v>
      </c>
    </row>
    <row r="920" spans="1:21" x14ac:dyDescent="0.3">
      <c r="A920" s="16" t="s">
        <v>1775</v>
      </c>
      <c r="B920" s="31">
        <v>45545</v>
      </c>
      <c r="C920" s="31">
        <v>45550</v>
      </c>
      <c r="D920" s="2" t="s">
        <v>73</v>
      </c>
      <c r="E920" s="2" t="s">
        <v>1578</v>
      </c>
      <c r="F920" s="4" t="s">
        <v>1579</v>
      </c>
      <c r="G920" s="4" t="s">
        <v>51</v>
      </c>
      <c r="H920" s="4" t="s">
        <v>207</v>
      </c>
      <c r="I920" s="4" t="s">
        <v>60</v>
      </c>
      <c r="J920" s="4" t="s">
        <v>54</v>
      </c>
      <c r="K920" s="4" t="s">
        <v>45</v>
      </c>
      <c r="L920" s="4" t="s">
        <v>61</v>
      </c>
      <c r="M920" s="4" t="s">
        <v>1776</v>
      </c>
      <c r="N920" s="5">
        <v>1723.63</v>
      </c>
      <c r="O920" s="6">
        <v>3</v>
      </c>
      <c r="P920" s="7">
        <v>0.1</v>
      </c>
      <c r="Q920" s="18">
        <v>79.05</v>
      </c>
      <c r="R920" s="45" t="str">
        <f t="shared" si="56"/>
        <v>OK</v>
      </c>
      <c r="S920" s="45">
        <f t="shared" si="57"/>
        <v>274.75</v>
      </c>
      <c r="T920" s="45">
        <f t="shared" si="58"/>
        <v>1</v>
      </c>
      <c r="U920" s="45">
        <f t="shared" si="59"/>
        <v>274.75</v>
      </c>
    </row>
    <row r="921" spans="1:21" x14ac:dyDescent="0.3">
      <c r="A921" s="16" t="s">
        <v>960</v>
      </c>
      <c r="B921" s="31">
        <v>45548</v>
      </c>
      <c r="C921" s="31">
        <v>45554</v>
      </c>
      <c r="D921" s="2" t="s">
        <v>29</v>
      </c>
      <c r="E921" s="2" t="s">
        <v>143</v>
      </c>
      <c r="F921" s="4" t="s">
        <v>144</v>
      </c>
      <c r="G921" s="4" t="s">
        <v>21</v>
      </c>
      <c r="H921" s="4" t="s">
        <v>145</v>
      </c>
      <c r="I921" s="4" t="s">
        <v>140</v>
      </c>
      <c r="J921" s="4" t="s">
        <v>24</v>
      </c>
      <c r="K921" s="4" t="s">
        <v>35</v>
      </c>
      <c r="L921" s="4" t="s">
        <v>295</v>
      </c>
      <c r="M921" s="4" t="s">
        <v>961</v>
      </c>
      <c r="N921" s="5">
        <v>81.06</v>
      </c>
      <c r="O921" s="6">
        <v>7</v>
      </c>
      <c r="P921" s="7">
        <v>0.05</v>
      </c>
      <c r="Q921" s="18">
        <v>33.42</v>
      </c>
      <c r="R921" s="45" t="str">
        <f t="shared" si="56"/>
        <v>OK</v>
      </c>
      <c r="S921" s="45">
        <f t="shared" si="57"/>
        <v>274.75</v>
      </c>
      <c r="T921" s="45">
        <f t="shared" si="58"/>
        <v>1</v>
      </c>
      <c r="U921" s="45">
        <f t="shared" si="59"/>
        <v>274.75</v>
      </c>
    </row>
    <row r="922" spans="1:21" x14ac:dyDescent="0.3">
      <c r="A922" s="16" t="s">
        <v>712</v>
      </c>
      <c r="B922" s="31">
        <v>45550</v>
      </c>
      <c r="C922" s="31">
        <v>45556</v>
      </c>
      <c r="D922" s="2" t="s">
        <v>29</v>
      </c>
      <c r="E922" s="2" t="s">
        <v>480</v>
      </c>
      <c r="F922" s="4" t="s">
        <v>481</v>
      </c>
      <c r="G922" s="4" t="s">
        <v>42</v>
      </c>
      <c r="H922" s="4" t="s">
        <v>352</v>
      </c>
      <c r="I922" s="4" t="s">
        <v>306</v>
      </c>
      <c r="J922" s="4" t="s">
        <v>34</v>
      </c>
      <c r="K922" s="4" t="s">
        <v>25</v>
      </c>
      <c r="L922" s="4" t="s">
        <v>26</v>
      </c>
      <c r="M922" s="4" t="s">
        <v>713</v>
      </c>
      <c r="N922" s="5">
        <v>4452.5200000000004</v>
      </c>
      <c r="O922" s="6">
        <v>5</v>
      </c>
      <c r="P922" s="7">
        <v>0.3</v>
      </c>
      <c r="Q922" s="18">
        <v>-515.39</v>
      </c>
      <c r="R922" s="45" t="str">
        <f t="shared" si="56"/>
        <v>OK</v>
      </c>
      <c r="S922" s="45">
        <f t="shared" si="57"/>
        <v>274.75</v>
      </c>
      <c r="T922" s="45">
        <f t="shared" si="58"/>
        <v>1</v>
      </c>
      <c r="U922" s="45">
        <f t="shared" si="59"/>
        <v>274.75</v>
      </c>
    </row>
    <row r="923" spans="1:21" x14ac:dyDescent="0.3">
      <c r="A923" s="16" t="s">
        <v>1953</v>
      </c>
      <c r="B923" s="31">
        <v>45550</v>
      </c>
      <c r="C923" s="31">
        <v>45552</v>
      </c>
      <c r="D923" s="2" t="s">
        <v>39</v>
      </c>
      <c r="E923" s="2" t="s">
        <v>120</v>
      </c>
      <c r="F923" s="4" t="s">
        <v>121</v>
      </c>
      <c r="G923" s="4" t="s">
        <v>21</v>
      </c>
      <c r="H923" s="4" t="s">
        <v>122</v>
      </c>
      <c r="I923" s="4" t="s">
        <v>123</v>
      </c>
      <c r="J923" s="4" t="s">
        <v>24</v>
      </c>
      <c r="K923" s="4" t="s">
        <v>35</v>
      </c>
      <c r="L923" s="4" t="s">
        <v>216</v>
      </c>
      <c r="M923" s="4" t="s">
        <v>1954</v>
      </c>
      <c r="N923" s="5">
        <v>100.84</v>
      </c>
      <c r="O923" s="6">
        <v>7</v>
      </c>
      <c r="P923" s="7">
        <v>0.3</v>
      </c>
      <c r="Q923" s="18">
        <v>21.86</v>
      </c>
      <c r="R923" s="45" t="str">
        <f t="shared" si="56"/>
        <v>OK</v>
      </c>
      <c r="S923" s="45">
        <f t="shared" si="57"/>
        <v>274.75</v>
      </c>
      <c r="T923" s="45">
        <f t="shared" si="58"/>
        <v>1</v>
      </c>
      <c r="U923" s="45">
        <f t="shared" si="59"/>
        <v>274.75</v>
      </c>
    </row>
    <row r="924" spans="1:21" x14ac:dyDescent="0.3">
      <c r="A924" s="17" t="s">
        <v>1908</v>
      </c>
      <c r="B924" s="32">
        <v>45551</v>
      </c>
      <c r="C924" s="32">
        <v>45558</v>
      </c>
      <c r="D924" s="8" t="s">
        <v>29</v>
      </c>
      <c r="E924" s="8" t="s">
        <v>181</v>
      </c>
      <c r="F924" s="10" t="s">
        <v>182</v>
      </c>
      <c r="G924" s="10" t="s">
        <v>21</v>
      </c>
      <c r="H924" s="10" t="s">
        <v>183</v>
      </c>
      <c r="I924" s="10" t="s">
        <v>184</v>
      </c>
      <c r="J924" s="10" t="s">
        <v>54</v>
      </c>
      <c r="K924" s="10" t="s">
        <v>45</v>
      </c>
      <c r="L924" s="10" t="s">
        <v>61</v>
      </c>
      <c r="M924" s="10" t="s">
        <v>1909</v>
      </c>
      <c r="N924" s="11">
        <v>3773.8</v>
      </c>
      <c r="O924" s="12">
        <v>6</v>
      </c>
      <c r="P924" s="13">
        <v>0.05</v>
      </c>
      <c r="Q924" s="19">
        <v>-115.5</v>
      </c>
      <c r="R924" s="45" t="str">
        <f t="shared" si="56"/>
        <v>OK</v>
      </c>
      <c r="S924" s="45">
        <f t="shared" si="57"/>
        <v>274.75</v>
      </c>
      <c r="T924" s="45">
        <f t="shared" si="58"/>
        <v>1</v>
      </c>
      <c r="U924" s="45">
        <f t="shared" si="59"/>
        <v>274.75</v>
      </c>
    </row>
    <row r="925" spans="1:21" x14ac:dyDescent="0.3">
      <c r="A925" s="17" t="s">
        <v>1121</v>
      </c>
      <c r="B925" s="32">
        <v>45553</v>
      </c>
      <c r="C925" s="32">
        <v>45560</v>
      </c>
      <c r="D925" s="8" t="s">
        <v>29</v>
      </c>
      <c r="E925" s="8" t="s">
        <v>666</v>
      </c>
      <c r="F925" s="10" t="s">
        <v>667</v>
      </c>
      <c r="G925" s="10" t="s">
        <v>21</v>
      </c>
      <c r="H925" s="10" t="s">
        <v>372</v>
      </c>
      <c r="I925" s="10" t="s">
        <v>373</v>
      </c>
      <c r="J925" s="10" t="s">
        <v>34</v>
      </c>
      <c r="K925" s="10" t="s">
        <v>35</v>
      </c>
      <c r="L925" s="10" t="s">
        <v>229</v>
      </c>
      <c r="M925" s="10" t="s">
        <v>1122</v>
      </c>
      <c r="N925" s="11">
        <v>14</v>
      </c>
      <c r="O925" s="12">
        <v>10</v>
      </c>
      <c r="P925" s="13">
        <v>0</v>
      </c>
      <c r="Q925" s="19">
        <v>5.96</v>
      </c>
      <c r="R925" s="45" t="str">
        <f t="shared" si="56"/>
        <v>OK</v>
      </c>
      <c r="S925" s="45">
        <f t="shared" si="57"/>
        <v>274.75</v>
      </c>
      <c r="T925" s="45">
        <f t="shared" si="58"/>
        <v>1</v>
      </c>
      <c r="U925" s="45">
        <f t="shared" si="59"/>
        <v>274.75</v>
      </c>
    </row>
    <row r="926" spans="1:21" x14ac:dyDescent="0.3">
      <c r="A926" s="17" t="s">
        <v>1042</v>
      </c>
      <c r="B926" s="32">
        <v>45558</v>
      </c>
      <c r="C926" s="32">
        <v>45561</v>
      </c>
      <c r="D926" s="8" t="s">
        <v>73</v>
      </c>
      <c r="E926" s="8" t="s">
        <v>19</v>
      </c>
      <c r="F926" s="10" t="s">
        <v>20</v>
      </c>
      <c r="G926" s="10" t="s">
        <v>21</v>
      </c>
      <c r="H926" s="10" t="s">
        <v>22</v>
      </c>
      <c r="I926" s="10" t="s">
        <v>23</v>
      </c>
      <c r="J926" s="10" t="s">
        <v>24</v>
      </c>
      <c r="K926" s="10" t="s">
        <v>25</v>
      </c>
      <c r="L926" s="10" t="s">
        <v>124</v>
      </c>
      <c r="M926" s="10" t="s">
        <v>1043</v>
      </c>
      <c r="N926" s="11">
        <v>2953.78</v>
      </c>
      <c r="O926" s="12">
        <v>6</v>
      </c>
      <c r="P926" s="13">
        <v>0.2</v>
      </c>
      <c r="Q926" s="19">
        <v>266.94</v>
      </c>
      <c r="R926" s="45" t="str">
        <f t="shared" si="56"/>
        <v>OK</v>
      </c>
      <c r="S926" s="45">
        <f t="shared" si="57"/>
        <v>274.75</v>
      </c>
      <c r="T926" s="45">
        <f t="shared" si="58"/>
        <v>1</v>
      </c>
      <c r="U926" s="45">
        <f t="shared" si="59"/>
        <v>274.75</v>
      </c>
    </row>
    <row r="927" spans="1:21" x14ac:dyDescent="0.3">
      <c r="A927" s="17" t="s">
        <v>1329</v>
      </c>
      <c r="B927" s="32">
        <v>45558</v>
      </c>
      <c r="C927" s="32">
        <v>45563</v>
      </c>
      <c r="D927" s="8" t="s">
        <v>73</v>
      </c>
      <c r="E927" s="8" t="s">
        <v>1330</v>
      </c>
      <c r="F927" s="10" t="s">
        <v>1331</v>
      </c>
      <c r="G927" s="10" t="s">
        <v>51</v>
      </c>
      <c r="H927" s="10" t="s">
        <v>52</v>
      </c>
      <c r="I927" s="10" t="s">
        <v>53</v>
      </c>
      <c r="J927" s="10" t="s">
        <v>54</v>
      </c>
      <c r="K927" s="10" t="s">
        <v>35</v>
      </c>
      <c r="L927" s="10" t="s">
        <v>110</v>
      </c>
      <c r="M927" s="10" t="s">
        <v>1332</v>
      </c>
      <c r="N927" s="11">
        <v>100.89</v>
      </c>
      <c r="O927" s="12">
        <v>9</v>
      </c>
      <c r="P927" s="13">
        <v>0</v>
      </c>
      <c r="Q927" s="19">
        <v>38.840000000000003</v>
      </c>
      <c r="R927" s="45" t="str">
        <f t="shared" si="56"/>
        <v>OK</v>
      </c>
      <c r="S927" s="45">
        <f t="shared" si="57"/>
        <v>274.75</v>
      </c>
      <c r="T927" s="45">
        <f t="shared" si="58"/>
        <v>1</v>
      </c>
      <c r="U927" s="45">
        <f t="shared" si="59"/>
        <v>274.75</v>
      </c>
    </row>
    <row r="928" spans="1:21" x14ac:dyDescent="0.3">
      <c r="A928" s="16" t="s">
        <v>1428</v>
      </c>
      <c r="B928" s="31">
        <v>45564</v>
      </c>
      <c r="C928" s="31">
        <v>45567</v>
      </c>
      <c r="D928" s="2" t="s">
        <v>39</v>
      </c>
      <c r="E928" s="2" t="s">
        <v>1236</v>
      </c>
      <c r="F928" s="4" t="s">
        <v>1237</v>
      </c>
      <c r="G928" s="4" t="s">
        <v>51</v>
      </c>
      <c r="H928" s="4" t="s">
        <v>300</v>
      </c>
      <c r="I928" s="4" t="s">
        <v>184</v>
      </c>
      <c r="J928" s="4" t="s">
        <v>54</v>
      </c>
      <c r="K928" s="4" t="s">
        <v>25</v>
      </c>
      <c r="L928" s="4" t="s">
        <v>68</v>
      </c>
      <c r="M928" s="4" t="s">
        <v>1429</v>
      </c>
      <c r="N928" s="5">
        <v>586.66</v>
      </c>
      <c r="O928" s="6">
        <v>9</v>
      </c>
      <c r="P928" s="7">
        <v>0.5</v>
      </c>
      <c r="Q928" s="18">
        <v>-174.76</v>
      </c>
      <c r="R928" s="45" t="str">
        <f t="shared" si="56"/>
        <v>OK</v>
      </c>
      <c r="S928" s="45">
        <f t="shared" si="57"/>
        <v>274.75</v>
      </c>
      <c r="T928" s="45">
        <f t="shared" si="58"/>
        <v>1</v>
      </c>
      <c r="U928" s="45">
        <f t="shared" si="59"/>
        <v>274.75</v>
      </c>
    </row>
    <row r="929" spans="1:21" x14ac:dyDescent="0.3">
      <c r="A929" s="16" t="s">
        <v>1862</v>
      </c>
      <c r="B929" s="31">
        <v>45568</v>
      </c>
      <c r="C929" s="31">
        <v>45570</v>
      </c>
      <c r="D929" s="2" t="s">
        <v>39</v>
      </c>
      <c r="E929" s="2" t="s">
        <v>745</v>
      </c>
      <c r="F929" s="4" t="s">
        <v>746</v>
      </c>
      <c r="G929" s="4" t="s">
        <v>51</v>
      </c>
      <c r="H929" s="4" t="s">
        <v>465</v>
      </c>
      <c r="I929" s="4" t="s">
        <v>423</v>
      </c>
      <c r="J929" s="4" t="s">
        <v>88</v>
      </c>
      <c r="K929" s="4" t="s">
        <v>35</v>
      </c>
      <c r="L929" s="4" t="s">
        <v>295</v>
      </c>
      <c r="M929" s="4" t="s">
        <v>1863</v>
      </c>
      <c r="N929" s="5">
        <v>71.23</v>
      </c>
      <c r="O929" s="6">
        <v>8</v>
      </c>
      <c r="P929" s="7">
        <v>0.2</v>
      </c>
      <c r="Q929" s="18">
        <v>26.36</v>
      </c>
      <c r="R929" s="45" t="str">
        <f t="shared" si="56"/>
        <v>OK</v>
      </c>
      <c r="S929" s="45">
        <f t="shared" si="57"/>
        <v>274.75</v>
      </c>
      <c r="T929" s="45">
        <f t="shared" si="58"/>
        <v>1</v>
      </c>
      <c r="U929" s="45">
        <f t="shared" si="59"/>
        <v>274.75</v>
      </c>
    </row>
    <row r="930" spans="1:21" x14ac:dyDescent="0.3">
      <c r="A930" s="16" t="s">
        <v>503</v>
      </c>
      <c r="B930" s="31">
        <v>45569</v>
      </c>
      <c r="C930" s="31">
        <v>45572</v>
      </c>
      <c r="D930" s="2" t="s">
        <v>73</v>
      </c>
      <c r="E930" s="2" t="s">
        <v>504</v>
      </c>
      <c r="F930" s="4" t="s">
        <v>505</v>
      </c>
      <c r="G930" s="4" t="s">
        <v>42</v>
      </c>
      <c r="H930" s="4" t="s">
        <v>150</v>
      </c>
      <c r="I930" s="4" t="s">
        <v>151</v>
      </c>
      <c r="J930" s="4" t="s">
        <v>34</v>
      </c>
      <c r="K930" s="4" t="s">
        <v>45</v>
      </c>
      <c r="L930" s="4" t="s">
        <v>117</v>
      </c>
      <c r="M930" s="4" t="s">
        <v>506</v>
      </c>
      <c r="N930" s="5">
        <v>1706.3</v>
      </c>
      <c r="O930" s="6">
        <v>6</v>
      </c>
      <c r="P930" s="7">
        <v>0.2</v>
      </c>
      <c r="Q930" s="18">
        <v>288.61</v>
      </c>
      <c r="R930" s="45" t="str">
        <f t="shared" si="56"/>
        <v>OK</v>
      </c>
      <c r="S930" s="45">
        <f t="shared" si="57"/>
        <v>274.75</v>
      </c>
      <c r="T930" s="45">
        <f t="shared" si="58"/>
        <v>1</v>
      </c>
      <c r="U930" s="45">
        <f t="shared" si="59"/>
        <v>274.75</v>
      </c>
    </row>
    <row r="931" spans="1:21" x14ac:dyDescent="0.3">
      <c r="A931" s="17" t="s">
        <v>1014</v>
      </c>
      <c r="B931" s="32">
        <v>45571</v>
      </c>
      <c r="C931" s="32">
        <v>45574</v>
      </c>
      <c r="D931" s="8" t="s">
        <v>18</v>
      </c>
      <c r="E931" s="8" t="s">
        <v>1015</v>
      </c>
      <c r="F931" s="10" t="s">
        <v>1016</v>
      </c>
      <c r="G931" s="10" t="s">
        <v>42</v>
      </c>
      <c r="H931" s="10" t="s">
        <v>134</v>
      </c>
      <c r="I931" s="10" t="s">
        <v>87</v>
      </c>
      <c r="J931" s="10" t="s">
        <v>88</v>
      </c>
      <c r="K931" s="10" t="s">
        <v>25</v>
      </c>
      <c r="L931" s="10" t="s">
        <v>74</v>
      </c>
      <c r="M931" s="10" t="s">
        <v>1017</v>
      </c>
      <c r="N931" s="11">
        <v>389.31</v>
      </c>
      <c r="O931" s="12">
        <v>1</v>
      </c>
      <c r="P931" s="13">
        <v>0.15</v>
      </c>
      <c r="Q931" s="19">
        <v>72.98</v>
      </c>
      <c r="R931" s="45" t="str">
        <f t="shared" si="56"/>
        <v>OK</v>
      </c>
      <c r="S931" s="45">
        <f t="shared" si="57"/>
        <v>274.75</v>
      </c>
      <c r="T931" s="45">
        <f t="shared" si="58"/>
        <v>1</v>
      </c>
      <c r="U931" s="45">
        <f t="shared" si="59"/>
        <v>274.75</v>
      </c>
    </row>
    <row r="932" spans="1:21" x14ac:dyDescent="0.3">
      <c r="A932" s="16" t="s">
        <v>2165</v>
      </c>
      <c r="B932" s="31">
        <v>45571</v>
      </c>
      <c r="C932" s="31">
        <v>45574</v>
      </c>
      <c r="D932" s="2" t="s">
        <v>73</v>
      </c>
      <c r="E932" s="2" t="s">
        <v>495</v>
      </c>
      <c r="F932" s="4" t="s">
        <v>496</v>
      </c>
      <c r="G932" s="4" t="s">
        <v>51</v>
      </c>
      <c r="H932" s="4" t="s">
        <v>497</v>
      </c>
      <c r="I932" s="4" t="s">
        <v>423</v>
      </c>
      <c r="J932" s="4" t="s">
        <v>88</v>
      </c>
      <c r="K932" s="4" t="s">
        <v>45</v>
      </c>
      <c r="L932" s="4" t="s">
        <v>117</v>
      </c>
      <c r="M932" s="4" t="s">
        <v>2166</v>
      </c>
      <c r="N932" s="5">
        <v>3053.68</v>
      </c>
      <c r="O932" s="6">
        <v>8</v>
      </c>
      <c r="P932" s="7">
        <v>0.15</v>
      </c>
      <c r="Q932" s="18">
        <v>549.16</v>
      </c>
      <c r="R932" s="45" t="str">
        <f t="shared" si="56"/>
        <v>OK</v>
      </c>
      <c r="S932" s="45">
        <f t="shared" si="57"/>
        <v>274.75</v>
      </c>
      <c r="T932" s="45">
        <f t="shared" si="58"/>
        <v>1</v>
      </c>
      <c r="U932" s="45">
        <f t="shared" si="59"/>
        <v>274.75</v>
      </c>
    </row>
    <row r="933" spans="1:21" x14ac:dyDescent="0.3">
      <c r="A933" s="16" t="s">
        <v>1212</v>
      </c>
      <c r="B933" s="31">
        <v>45573</v>
      </c>
      <c r="C933" s="31">
        <v>45577</v>
      </c>
      <c r="D933" s="2" t="s">
        <v>73</v>
      </c>
      <c r="E933" s="2" t="s">
        <v>232</v>
      </c>
      <c r="F933" s="4" t="s">
        <v>233</v>
      </c>
      <c r="G933" s="4" t="s">
        <v>21</v>
      </c>
      <c r="H933" s="4" t="s">
        <v>156</v>
      </c>
      <c r="I933" s="4" t="s">
        <v>157</v>
      </c>
      <c r="J933" s="4" t="s">
        <v>88</v>
      </c>
      <c r="K933" s="4" t="s">
        <v>25</v>
      </c>
      <c r="L933" s="4" t="s">
        <v>124</v>
      </c>
      <c r="M933" s="4" t="s">
        <v>1213</v>
      </c>
      <c r="N933" s="5">
        <v>8277.08</v>
      </c>
      <c r="O933" s="6">
        <v>5</v>
      </c>
      <c r="P933" s="7">
        <v>0.5</v>
      </c>
      <c r="Q933" s="18">
        <v>-4377.3599999999997</v>
      </c>
      <c r="R933" s="45" t="str">
        <f t="shared" si="56"/>
        <v>OK</v>
      </c>
      <c r="S933" s="45">
        <f t="shared" si="57"/>
        <v>274.75</v>
      </c>
      <c r="T933" s="45">
        <f t="shared" si="58"/>
        <v>1</v>
      </c>
      <c r="U933" s="45">
        <f t="shared" si="59"/>
        <v>274.75</v>
      </c>
    </row>
    <row r="934" spans="1:21" x14ac:dyDescent="0.3">
      <c r="A934" s="16" t="s">
        <v>1273</v>
      </c>
      <c r="B934" s="31">
        <v>45579</v>
      </c>
      <c r="C934" s="31">
        <v>45582</v>
      </c>
      <c r="D934" s="2" t="s">
        <v>39</v>
      </c>
      <c r="E934" s="2" t="s">
        <v>588</v>
      </c>
      <c r="F934" s="4" t="s">
        <v>589</v>
      </c>
      <c r="G934" s="4" t="s">
        <v>42</v>
      </c>
      <c r="H934" s="4" t="s">
        <v>397</v>
      </c>
      <c r="I934" s="4" t="s">
        <v>33</v>
      </c>
      <c r="J934" s="4" t="s">
        <v>34</v>
      </c>
      <c r="K934" s="4" t="s">
        <v>45</v>
      </c>
      <c r="L934" s="4" t="s">
        <v>46</v>
      </c>
      <c r="M934" s="4" t="s">
        <v>1274</v>
      </c>
      <c r="N934" s="5">
        <v>2901.61</v>
      </c>
      <c r="O934" s="6">
        <v>9</v>
      </c>
      <c r="P934" s="7">
        <v>0.05</v>
      </c>
      <c r="Q934" s="18">
        <v>997.54</v>
      </c>
      <c r="R934" s="45" t="str">
        <f t="shared" si="56"/>
        <v>OK</v>
      </c>
      <c r="S934" s="45">
        <f t="shared" si="57"/>
        <v>274.75</v>
      </c>
      <c r="T934" s="45">
        <f t="shared" si="58"/>
        <v>1</v>
      </c>
      <c r="U934" s="45">
        <f t="shared" si="59"/>
        <v>274.75</v>
      </c>
    </row>
    <row r="935" spans="1:21" x14ac:dyDescent="0.3">
      <c r="A935" s="17" t="s">
        <v>2361</v>
      </c>
      <c r="B935" s="32">
        <v>45579</v>
      </c>
      <c r="C935" s="32">
        <v>45582</v>
      </c>
      <c r="D935" s="8" t="s">
        <v>73</v>
      </c>
      <c r="E935" s="8" t="s">
        <v>946</v>
      </c>
      <c r="F935" s="10" t="s">
        <v>947</v>
      </c>
      <c r="G935" s="10" t="s">
        <v>21</v>
      </c>
      <c r="H935" s="10" t="s">
        <v>156</v>
      </c>
      <c r="I935" s="10" t="s">
        <v>157</v>
      </c>
      <c r="J935" s="10" t="s">
        <v>88</v>
      </c>
      <c r="K935" s="10" t="s">
        <v>25</v>
      </c>
      <c r="L935" s="10" t="s">
        <v>74</v>
      </c>
      <c r="M935" s="10" t="s">
        <v>1062</v>
      </c>
      <c r="N935" s="11">
        <v>2610.15</v>
      </c>
      <c r="O935" s="12">
        <v>5</v>
      </c>
      <c r="P935" s="13">
        <v>0</v>
      </c>
      <c r="Q935" s="19">
        <v>1129.08</v>
      </c>
      <c r="R935" s="45" t="str">
        <f t="shared" si="56"/>
        <v>OK</v>
      </c>
      <c r="S935" s="45">
        <f t="shared" si="57"/>
        <v>274.75</v>
      </c>
      <c r="T935" s="45">
        <f t="shared" si="58"/>
        <v>1</v>
      </c>
      <c r="U935" s="45">
        <f t="shared" si="59"/>
        <v>274.75</v>
      </c>
    </row>
    <row r="936" spans="1:21" x14ac:dyDescent="0.3">
      <c r="A936" s="16" t="s">
        <v>887</v>
      </c>
      <c r="B936" s="31">
        <v>45582</v>
      </c>
      <c r="C936" s="31">
        <v>45583</v>
      </c>
      <c r="D936" s="2" t="s">
        <v>18</v>
      </c>
      <c r="E936" s="2" t="s">
        <v>864</v>
      </c>
      <c r="F936" s="4" t="s">
        <v>865</v>
      </c>
      <c r="G936" s="4" t="s">
        <v>21</v>
      </c>
      <c r="H936" s="4" t="s">
        <v>177</v>
      </c>
      <c r="I936" s="4" t="s">
        <v>178</v>
      </c>
      <c r="J936" s="4" t="s">
        <v>24</v>
      </c>
      <c r="K936" s="4" t="s">
        <v>25</v>
      </c>
      <c r="L936" s="4" t="s">
        <v>68</v>
      </c>
      <c r="M936" s="4" t="s">
        <v>888</v>
      </c>
      <c r="N936" s="5">
        <v>258.27</v>
      </c>
      <c r="O936" s="6">
        <v>4</v>
      </c>
      <c r="P936" s="7">
        <v>0.3</v>
      </c>
      <c r="Q936" s="18">
        <v>46</v>
      </c>
      <c r="R936" s="45" t="str">
        <f t="shared" si="56"/>
        <v>OK</v>
      </c>
      <c r="S936" s="45">
        <f t="shared" si="57"/>
        <v>274.75</v>
      </c>
      <c r="T936" s="45">
        <f t="shared" si="58"/>
        <v>1</v>
      </c>
      <c r="U936" s="45">
        <f t="shared" si="59"/>
        <v>274.75</v>
      </c>
    </row>
    <row r="937" spans="1:21" x14ac:dyDescent="0.3">
      <c r="A937" s="17" t="s">
        <v>2134</v>
      </c>
      <c r="B937" s="32">
        <v>45582</v>
      </c>
      <c r="C937" s="32">
        <v>45587</v>
      </c>
      <c r="D937" s="8" t="s">
        <v>29</v>
      </c>
      <c r="E937" s="8" t="s">
        <v>472</v>
      </c>
      <c r="F937" s="10" t="s">
        <v>473</v>
      </c>
      <c r="G937" s="10" t="s">
        <v>51</v>
      </c>
      <c r="H937" s="10" t="s">
        <v>32</v>
      </c>
      <c r="I937" s="10" t="s">
        <v>33</v>
      </c>
      <c r="J937" s="10" t="s">
        <v>34</v>
      </c>
      <c r="K937" s="10" t="s">
        <v>45</v>
      </c>
      <c r="L937" s="10" t="s">
        <v>61</v>
      </c>
      <c r="M937" s="10" t="s">
        <v>2135</v>
      </c>
      <c r="N937" s="11">
        <v>3124.63</v>
      </c>
      <c r="O937" s="12">
        <v>7</v>
      </c>
      <c r="P937" s="13">
        <v>0.3</v>
      </c>
      <c r="Q937" s="19">
        <v>-908.94</v>
      </c>
      <c r="R937" s="45" t="str">
        <f t="shared" si="56"/>
        <v>OK</v>
      </c>
      <c r="S937" s="45">
        <f t="shared" si="57"/>
        <v>274.75</v>
      </c>
      <c r="T937" s="45">
        <f t="shared" si="58"/>
        <v>1</v>
      </c>
      <c r="U937" s="45">
        <f t="shared" si="59"/>
        <v>274.75</v>
      </c>
    </row>
    <row r="938" spans="1:21" x14ac:dyDescent="0.3">
      <c r="A938" s="16" t="s">
        <v>2328</v>
      </c>
      <c r="B938" s="31">
        <v>45582</v>
      </c>
      <c r="C938" s="31">
        <v>45584</v>
      </c>
      <c r="D938" s="2" t="s">
        <v>18</v>
      </c>
      <c r="E938" s="2" t="s">
        <v>1136</v>
      </c>
      <c r="F938" s="4" t="s">
        <v>1137</v>
      </c>
      <c r="G938" s="4" t="s">
        <v>51</v>
      </c>
      <c r="H938" s="4" t="s">
        <v>386</v>
      </c>
      <c r="I938" s="4" t="s">
        <v>347</v>
      </c>
      <c r="J938" s="4" t="s">
        <v>88</v>
      </c>
      <c r="K938" s="4" t="s">
        <v>35</v>
      </c>
      <c r="L938" s="4" t="s">
        <v>110</v>
      </c>
      <c r="M938" s="4" t="s">
        <v>2329</v>
      </c>
      <c r="N938" s="5">
        <v>104.85</v>
      </c>
      <c r="O938" s="6">
        <v>5</v>
      </c>
      <c r="P938" s="7">
        <v>0.1</v>
      </c>
      <c r="Q938" s="18">
        <v>47.82</v>
      </c>
      <c r="R938" s="45" t="str">
        <f t="shared" si="56"/>
        <v>OK</v>
      </c>
      <c r="S938" s="45">
        <f t="shared" si="57"/>
        <v>274.75</v>
      </c>
      <c r="T938" s="45">
        <f t="shared" si="58"/>
        <v>1</v>
      </c>
      <c r="U938" s="45">
        <f t="shared" si="59"/>
        <v>274.75</v>
      </c>
    </row>
    <row r="939" spans="1:21" x14ac:dyDescent="0.3">
      <c r="A939" s="17" t="s">
        <v>2290</v>
      </c>
      <c r="B939" s="32">
        <v>45583</v>
      </c>
      <c r="C939" s="32">
        <v>45589</v>
      </c>
      <c r="D939" s="8" t="s">
        <v>29</v>
      </c>
      <c r="E939" s="8" t="s">
        <v>1148</v>
      </c>
      <c r="F939" s="10" t="s">
        <v>1149</v>
      </c>
      <c r="G939" s="10" t="s">
        <v>51</v>
      </c>
      <c r="H939" s="10" t="s">
        <v>150</v>
      </c>
      <c r="I939" s="10" t="s">
        <v>151</v>
      </c>
      <c r="J939" s="10" t="s">
        <v>34</v>
      </c>
      <c r="K939" s="10" t="s">
        <v>25</v>
      </c>
      <c r="L939" s="10" t="s">
        <v>124</v>
      </c>
      <c r="M939" s="10" t="s">
        <v>2291</v>
      </c>
      <c r="N939" s="11">
        <v>3497.42</v>
      </c>
      <c r="O939" s="12">
        <v>2</v>
      </c>
      <c r="P939" s="13">
        <v>0.05</v>
      </c>
      <c r="Q939" s="19">
        <v>578.28</v>
      </c>
      <c r="R939" s="45" t="str">
        <f t="shared" si="56"/>
        <v>OK</v>
      </c>
      <c r="S939" s="45">
        <f t="shared" si="57"/>
        <v>274.75</v>
      </c>
      <c r="T939" s="45">
        <f t="shared" si="58"/>
        <v>1</v>
      </c>
      <c r="U939" s="45">
        <f t="shared" si="59"/>
        <v>274.75</v>
      </c>
    </row>
    <row r="940" spans="1:21" x14ac:dyDescent="0.3">
      <c r="A940" s="16" t="s">
        <v>2155</v>
      </c>
      <c r="B940" s="31">
        <v>45584</v>
      </c>
      <c r="C940" s="31">
        <v>45591</v>
      </c>
      <c r="D940" s="2" t="s">
        <v>29</v>
      </c>
      <c r="E940" s="2" t="s">
        <v>258</v>
      </c>
      <c r="F940" s="4" t="s">
        <v>259</v>
      </c>
      <c r="G940" s="4" t="s">
        <v>51</v>
      </c>
      <c r="H940" s="4" t="s">
        <v>260</v>
      </c>
      <c r="I940" s="4" t="s">
        <v>151</v>
      </c>
      <c r="J940" s="4" t="s">
        <v>34</v>
      </c>
      <c r="K940" s="4" t="s">
        <v>45</v>
      </c>
      <c r="L940" s="4" t="s">
        <v>61</v>
      </c>
      <c r="M940" s="4" t="s">
        <v>2156</v>
      </c>
      <c r="N940" s="5">
        <v>1150.6400000000001</v>
      </c>
      <c r="O940" s="6">
        <v>10</v>
      </c>
      <c r="P940" s="7">
        <v>0.2</v>
      </c>
      <c r="Q940" s="18">
        <v>-43.91</v>
      </c>
      <c r="R940" s="45" t="str">
        <f t="shared" si="56"/>
        <v>OK</v>
      </c>
      <c r="S940" s="45">
        <f t="shared" si="57"/>
        <v>274.75</v>
      </c>
      <c r="T940" s="45">
        <f t="shared" si="58"/>
        <v>1</v>
      </c>
      <c r="U940" s="45">
        <f t="shared" si="59"/>
        <v>274.75</v>
      </c>
    </row>
    <row r="941" spans="1:21" x14ac:dyDescent="0.3">
      <c r="A941" s="17" t="s">
        <v>855</v>
      </c>
      <c r="B941" s="32">
        <v>45585</v>
      </c>
      <c r="C941" s="32">
        <v>45587</v>
      </c>
      <c r="D941" s="8" t="s">
        <v>18</v>
      </c>
      <c r="E941" s="8" t="s">
        <v>293</v>
      </c>
      <c r="F941" s="10" t="s">
        <v>294</v>
      </c>
      <c r="G941" s="10" t="s">
        <v>21</v>
      </c>
      <c r="H941" s="10" t="s">
        <v>193</v>
      </c>
      <c r="I941" s="10" t="s">
        <v>194</v>
      </c>
      <c r="J941" s="10" t="s">
        <v>34</v>
      </c>
      <c r="K941" s="10" t="s">
        <v>45</v>
      </c>
      <c r="L941" s="10" t="s">
        <v>46</v>
      </c>
      <c r="M941" s="10" t="s">
        <v>856</v>
      </c>
      <c r="N941" s="11">
        <v>1420.58</v>
      </c>
      <c r="O941" s="12">
        <v>7</v>
      </c>
      <c r="P941" s="13">
        <v>0</v>
      </c>
      <c r="Q941" s="19">
        <v>532.39</v>
      </c>
      <c r="R941" s="45" t="str">
        <f t="shared" si="56"/>
        <v>OK</v>
      </c>
      <c r="S941" s="45">
        <f t="shared" si="57"/>
        <v>274.75</v>
      </c>
      <c r="T941" s="45">
        <f t="shared" si="58"/>
        <v>1</v>
      </c>
      <c r="U941" s="45">
        <f t="shared" si="59"/>
        <v>274.75</v>
      </c>
    </row>
    <row r="942" spans="1:21" x14ac:dyDescent="0.3">
      <c r="A942" s="16" t="s">
        <v>392</v>
      </c>
      <c r="B942" s="31">
        <v>45586</v>
      </c>
      <c r="C942" s="31">
        <v>45588</v>
      </c>
      <c r="D942" s="2" t="s">
        <v>18</v>
      </c>
      <c r="E942" s="2" t="s">
        <v>102</v>
      </c>
      <c r="F942" s="4" t="s">
        <v>103</v>
      </c>
      <c r="G942" s="4" t="s">
        <v>42</v>
      </c>
      <c r="H942" s="4" t="s">
        <v>104</v>
      </c>
      <c r="I942" s="4" t="s">
        <v>105</v>
      </c>
      <c r="J942" s="4" t="s">
        <v>88</v>
      </c>
      <c r="K942" s="4" t="s">
        <v>25</v>
      </c>
      <c r="L942" s="4" t="s">
        <v>124</v>
      </c>
      <c r="M942" s="4" t="s">
        <v>393</v>
      </c>
      <c r="N942" s="5">
        <v>1707.23</v>
      </c>
      <c r="O942" s="6">
        <v>4</v>
      </c>
      <c r="P942" s="7">
        <v>0.2</v>
      </c>
      <c r="Q942" s="18">
        <v>162.24</v>
      </c>
      <c r="R942" s="45" t="str">
        <f t="shared" si="56"/>
        <v>OK</v>
      </c>
      <c r="S942" s="45">
        <f t="shared" si="57"/>
        <v>274.75</v>
      </c>
      <c r="T942" s="45">
        <f t="shared" si="58"/>
        <v>1</v>
      </c>
      <c r="U942" s="45">
        <f t="shared" si="59"/>
        <v>274.75</v>
      </c>
    </row>
    <row r="943" spans="1:21" x14ac:dyDescent="0.3">
      <c r="A943" s="17" t="s">
        <v>2330</v>
      </c>
      <c r="B943" s="32">
        <v>45587</v>
      </c>
      <c r="C943" s="32">
        <v>45589</v>
      </c>
      <c r="D943" s="8" t="s">
        <v>18</v>
      </c>
      <c r="E943" s="8" t="s">
        <v>265</v>
      </c>
      <c r="F943" s="10" t="s">
        <v>266</v>
      </c>
      <c r="G943" s="10" t="s">
        <v>21</v>
      </c>
      <c r="H943" s="10" t="s">
        <v>171</v>
      </c>
      <c r="I943" s="10" t="s">
        <v>172</v>
      </c>
      <c r="J943" s="10" t="s">
        <v>24</v>
      </c>
      <c r="K943" s="10" t="s">
        <v>25</v>
      </c>
      <c r="L943" s="10" t="s">
        <v>26</v>
      </c>
      <c r="M943" s="10" t="s">
        <v>2331</v>
      </c>
      <c r="N943" s="11">
        <v>8199.7999999999993</v>
      </c>
      <c r="O943" s="12">
        <v>10</v>
      </c>
      <c r="P943" s="13">
        <v>0</v>
      </c>
      <c r="Q943" s="19">
        <v>1502.08</v>
      </c>
      <c r="R943" s="45" t="str">
        <f t="shared" si="56"/>
        <v>OK</v>
      </c>
      <c r="S943" s="45">
        <f t="shared" si="57"/>
        <v>274.75</v>
      </c>
      <c r="T943" s="45">
        <f t="shared" si="58"/>
        <v>1</v>
      </c>
      <c r="U943" s="45">
        <f t="shared" si="59"/>
        <v>274.75</v>
      </c>
    </row>
    <row r="944" spans="1:21" x14ac:dyDescent="0.3">
      <c r="A944" s="17" t="s">
        <v>1526</v>
      </c>
      <c r="B944" s="32">
        <v>45589</v>
      </c>
      <c r="C944" s="32">
        <v>45591</v>
      </c>
      <c r="D944" s="8" t="s">
        <v>18</v>
      </c>
      <c r="E944" s="8" t="s">
        <v>717</v>
      </c>
      <c r="F944" s="10" t="s">
        <v>718</v>
      </c>
      <c r="G944" s="10" t="s">
        <v>51</v>
      </c>
      <c r="H944" s="10" t="s">
        <v>86</v>
      </c>
      <c r="I944" s="10" t="s">
        <v>87</v>
      </c>
      <c r="J944" s="10" t="s">
        <v>88</v>
      </c>
      <c r="K944" s="10" t="s">
        <v>45</v>
      </c>
      <c r="L944" s="10" t="s">
        <v>46</v>
      </c>
      <c r="M944" s="10" t="s">
        <v>1527</v>
      </c>
      <c r="N944" s="11">
        <v>887.98</v>
      </c>
      <c r="O944" s="12">
        <v>8</v>
      </c>
      <c r="P944" s="13">
        <v>0.1</v>
      </c>
      <c r="Q944" s="19">
        <v>231.21</v>
      </c>
      <c r="R944" s="45" t="str">
        <f t="shared" si="56"/>
        <v>OK</v>
      </c>
      <c r="S944" s="45">
        <f t="shared" si="57"/>
        <v>274.75</v>
      </c>
      <c r="T944" s="45">
        <f t="shared" si="58"/>
        <v>1</v>
      </c>
      <c r="U944" s="45">
        <f t="shared" si="59"/>
        <v>274.75</v>
      </c>
    </row>
    <row r="945" spans="1:21" x14ac:dyDescent="0.3">
      <c r="A945" s="16" t="s">
        <v>2320</v>
      </c>
      <c r="B945" s="31">
        <v>45591</v>
      </c>
      <c r="C945" s="31">
        <v>45592</v>
      </c>
      <c r="D945" s="2" t="s">
        <v>18</v>
      </c>
      <c r="E945" s="2" t="s">
        <v>614</v>
      </c>
      <c r="F945" s="4" t="s">
        <v>615</v>
      </c>
      <c r="G945" s="4" t="s">
        <v>21</v>
      </c>
      <c r="H945" s="4" t="s">
        <v>139</v>
      </c>
      <c r="I945" s="4" t="s">
        <v>140</v>
      </c>
      <c r="J945" s="4" t="s">
        <v>833</v>
      </c>
      <c r="K945" s="4" t="s">
        <v>25</v>
      </c>
      <c r="L945" s="4" t="s">
        <v>68</v>
      </c>
      <c r="M945" s="4" t="s">
        <v>2321</v>
      </c>
      <c r="N945" s="5">
        <v>165.09</v>
      </c>
      <c r="O945" s="6">
        <v>6</v>
      </c>
      <c r="P945" s="7">
        <v>0.5</v>
      </c>
      <c r="Q945" s="18">
        <v>-26.22</v>
      </c>
      <c r="R945" s="45" t="str">
        <f t="shared" si="56"/>
        <v>OK</v>
      </c>
      <c r="S945" s="45">
        <f t="shared" si="57"/>
        <v>274.75</v>
      </c>
      <c r="T945" s="45">
        <f t="shared" si="58"/>
        <v>1</v>
      </c>
      <c r="U945" s="45">
        <f t="shared" si="59"/>
        <v>274.75</v>
      </c>
    </row>
    <row r="946" spans="1:21" x14ac:dyDescent="0.3">
      <c r="A946" s="17" t="s">
        <v>1411</v>
      </c>
      <c r="B946" s="32">
        <v>45592</v>
      </c>
      <c r="C946" s="32">
        <v>45595</v>
      </c>
      <c r="D946" s="8" t="s">
        <v>39</v>
      </c>
      <c r="E946" s="8" t="s">
        <v>49</v>
      </c>
      <c r="F946" s="10" t="s">
        <v>50</v>
      </c>
      <c r="G946" s="10" t="s">
        <v>51</v>
      </c>
      <c r="H946" s="10" t="s">
        <v>52</v>
      </c>
      <c r="I946" s="10" t="s">
        <v>53</v>
      </c>
      <c r="J946" s="10" t="s">
        <v>54</v>
      </c>
      <c r="K946" s="10" t="s">
        <v>25</v>
      </c>
      <c r="L946" s="10" t="s">
        <v>26</v>
      </c>
      <c r="M946" s="10" t="s">
        <v>1412</v>
      </c>
      <c r="N946" s="11">
        <v>6100.29</v>
      </c>
      <c r="O946" s="12">
        <v>10</v>
      </c>
      <c r="P946" s="13">
        <v>0.3</v>
      </c>
      <c r="Q946" s="19">
        <v>-447.12</v>
      </c>
      <c r="R946" s="45" t="str">
        <f t="shared" si="56"/>
        <v>OK</v>
      </c>
      <c r="S946" s="45">
        <f t="shared" si="57"/>
        <v>274.75</v>
      </c>
      <c r="T946" s="45">
        <f t="shared" si="58"/>
        <v>1</v>
      </c>
      <c r="U946" s="45">
        <f t="shared" si="59"/>
        <v>274.75</v>
      </c>
    </row>
    <row r="947" spans="1:21" x14ac:dyDescent="0.3">
      <c r="A947" s="17" t="s">
        <v>321</v>
      </c>
      <c r="B947" s="32">
        <v>45593</v>
      </c>
      <c r="C947" s="32">
        <v>45597</v>
      </c>
      <c r="D947" s="8" t="s">
        <v>73</v>
      </c>
      <c r="E947" s="8" t="s">
        <v>322</v>
      </c>
      <c r="F947" s="10" t="s">
        <v>323</v>
      </c>
      <c r="G947" s="10" t="s">
        <v>42</v>
      </c>
      <c r="H947" s="10" t="s">
        <v>324</v>
      </c>
      <c r="I947" s="10" t="s">
        <v>116</v>
      </c>
      <c r="J947" s="10" t="s">
        <v>54</v>
      </c>
      <c r="K947" s="10" t="s">
        <v>25</v>
      </c>
      <c r="L947" s="10" t="s">
        <v>26</v>
      </c>
      <c r="M947" s="10" t="s">
        <v>325</v>
      </c>
      <c r="N947" s="11">
        <v>1774.9</v>
      </c>
      <c r="O947" s="12">
        <v>8</v>
      </c>
      <c r="P947" s="13">
        <v>0.4</v>
      </c>
      <c r="Q947" s="19">
        <v>-589.53</v>
      </c>
      <c r="R947" s="45" t="str">
        <f t="shared" si="56"/>
        <v>OK</v>
      </c>
      <c r="S947" s="45">
        <f t="shared" si="57"/>
        <v>274.75</v>
      </c>
      <c r="T947" s="45">
        <f t="shared" si="58"/>
        <v>1</v>
      </c>
      <c r="U947" s="45">
        <f t="shared" si="59"/>
        <v>274.75</v>
      </c>
    </row>
    <row r="948" spans="1:21" x14ac:dyDescent="0.3">
      <c r="A948" s="16" t="s">
        <v>968</v>
      </c>
      <c r="B948" s="31">
        <v>45594</v>
      </c>
      <c r="C948" s="31">
        <v>45595</v>
      </c>
      <c r="D948" s="2" t="s">
        <v>18</v>
      </c>
      <c r="E948" s="2" t="s">
        <v>969</v>
      </c>
      <c r="F948" s="4" t="s">
        <v>970</v>
      </c>
      <c r="G948" s="4" t="s">
        <v>42</v>
      </c>
      <c r="H948" s="4" t="s">
        <v>79</v>
      </c>
      <c r="I948" s="4" t="s">
        <v>80</v>
      </c>
      <c r="J948" s="4" t="s">
        <v>54</v>
      </c>
      <c r="K948" s="4" t="s">
        <v>25</v>
      </c>
      <c r="L948" s="4" t="s">
        <v>74</v>
      </c>
      <c r="M948" s="4" t="s">
        <v>971</v>
      </c>
      <c r="N948" s="5">
        <v>357.53</v>
      </c>
      <c r="O948" s="6">
        <v>1</v>
      </c>
      <c r="P948" s="7">
        <v>0.1</v>
      </c>
      <c r="Q948" s="18">
        <v>132.77000000000001</v>
      </c>
      <c r="R948" s="45" t="str">
        <f t="shared" si="56"/>
        <v>OK</v>
      </c>
      <c r="S948" s="45">
        <f t="shared" si="57"/>
        <v>274.75</v>
      </c>
      <c r="T948" s="45">
        <f t="shared" si="58"/>
        <v>1</v>
      </c>
      <c r="U948" s="45">
        <f t="shared" si="59"/>
        <v>274.75</v>
      </c>
    </row>
    <row r="949" spans="1:21" x14ac:dyDescent="0.3">
      <c r="A949" s="16" t="s">
        <v>2169</v>
      </c>
      <c r="B949" s="31">
        <v>45594</v>
      </c>
      <c r="C949" s="31">
        <v>45600</v>
      </c>
      <c r="D949" s="2" t="s">
        <v>29</v>
      </c>
      <c r="E949" s="2" t="s">
        <v>214</v>
      </c>
      <c r="F949" s="4" t="s">
        <v>215</v>
      </c>
      <c r="G949" s="4" t="s">
        <v>21</v>
      </c>
      <c r="H949" s="4" t="s">
        <v>52</v>
      </c>
      <c r="I949" s="4" t="s">
        <v>53</v>
      </c>
      <c r="J949" s="4" t="s">
        <v>54</v>
      </c>
      <c r="K949" s="4" t="s">
        <v>25</v>
      </c>
      <c r="L949" s="4" t="s">
        <v>124</v>
      </c>
      <c r="M949" s="4" t="s">
        <v>2170</v>
      </c>
      <c r="N949" s="5">
        <v>11229.88</v>
      </c>
      <c r="O949" s="6">
        <v>5</v>
      </c>
      <c r="P949" s="7">
        <v>0.2</v>
      </c>
      <c r="Q949" s="18">
        <v>672.04</v>
      </c>
      <c r="R949" s="45" t="str">
        <f t="shared" si="56"/>
        <v>OK</v>
      </c>
      <c r="S949" s="45">
        <f t="shared" si="57"/>
        <v>274.75</v>
      </c>
      <c r="T949" s="45">
        <f t="shared" si="58"/>
        <v>1</v>
      </c>
      <c r="U949" s="45">
        <f t="shared" si="59"/>
        <v>274.75</v>
      </c>
    </row>
    <row r="950" spans="1:21" x14ac:dyDescent="0.3">
      <c r="A950" s="17" t="s">
        <v>1504</v>
      </c>
      <c r="B950" s="32">
        <v>45595</v>
      </c>
      <c r="C950" s="32">
        <v>45596</v>
      </c>
      <c r="D950" s="8" t="s">
        <v>18</v>
      </c>
      <c r="E950" s="8" t="s">
        <v>329</v>
      </c>
      <c r="F950" s="10" t="s">
        <v>330</v>
      </c>
      <c r="G950" s="10" t="s">
        <v>42</v>
      </c>
      <c r="H950" s="10" t="s">
        <v>66</v>
      </c>
      <c r="I950" s="10" t="s">
        <v>67</v>
      </c>
      <c r="J950" s="10" t="s">
        <v>34</v>
      </c>
      <c r="K950" s="10" t="s">
        <v>35</v>
      </c>
      <c r="L950" s="10" t="s">
        <v>110</v>
      </c>
      <c r="M950" s="10" t="s">
        <v>1505</v>
      </c>
      <c r="N950" s="11">
        <v>179.83</v>
      </c>
      <c r="O950" s="12">
        <v>7</v>
      </c>
      <c r="P950" s="13">
        <v>0</v>
      </c>
      <c r="Q950" s="19">
        <v>69.680000000000007</v>
      </c>
      <c r="R950" s="45" t="str">
        <f t="shared" si="56"/>
        <v>OK</v>
      </c>
      <c r="S950" s="45">
        <f t="shared" si="57"/>
        <v>274.75</v>
      </c>
      <c r="T950" s="45">
        <f t="shared" si="58"/>
        <v>1</v>
      </c>
      <c r="U950" s="45">
        <f t="shared" si="59"/>
        <v>274.75</v>
      </c>
    </row>
    <row r="951" spans="1:21" x14ac:dyDescent="0.3">
      <c r="A951" s="17" t="s">
        <v>1686</v>
      </c>
      <c r="B951" s="32">
        <v>45595</v>
      </c>
      <c r="C951" s="32">
        <v>45600</v>
      </c>
      <c r="D951" s="8" t="s">
        <v>29</v>
      </c>
      <c r="E951" s="8" t="s">
        <v>1352</v>
      </c>
      <c r="F951" s="10" t="s">
        <v>1353</v>
      </c>
      <c r="G951" s="10" t="s">
        <v>42</v>
      </c>
      <c r="H951" s="10" t="s">
        <v>207</v>
      </c>
      <c r="I951" s="10" t="s">
        <v>60</v>
      </c>
      <c r="J951" s="10" t="s">
        <v>54</v>
      </c>
      <c r="K951" s="10" t="s">
        <v>25</v>
      </c>
      <c r="L951" s="10" t="s">
        <v>124</v>
      </c>
      <c r="M951" s="10" t="s">
        <v>1687</v>
      </c>
      <c r="N951" s="11">
        <v>11418.26</v>
      </c>
      <c r="O951" s="12">
        <v>4</v>
      </c>
      <c r="P951" s="13">
        <v>0.1</v>
      </c>
      <c r="Q951" s="19">
        <v>2006.94</v>
      </c>
      <c r="R951" s="45" t="str">
        <f t="shared" si="56"/>
        <v>OK</v>
      </c>
      <c r="S951" s="45">
        <f t="shared" si="57"/>
        <v>274.75</v>
      </c>
      <c r="T951" s="45">
        <f t="shared" si="58"/>
        <v>1</v>
      </c>
      <c r="U951" s="45">
        <f t="shared" si="59"/>
        <v>274.75</v>
      </c>
    </row>
    <row r="952" spans="1:21" x14ac:dyDescent="0.3">
      <c r="A952" s="17" t="s">
        <v>2082</v>
      </c>
      <c r="B952" s="32">
        <v>45595</v>
      </c>
      <c r="C952" s="32">
        <v>45599</v>
      </c>
      <c r="D952" s="8" t="s">
        <v>73</v>
      </c>
      <c r="E952" s="8" t="s">
        <v>495</v>
      </c>
      <c r="F952" s="10" t="s">
        <v>496</v>
      </c>
      <c r="G952" s="10" t="s">
        <v>51</v>
      </c>
      <c r="H952" s="10" t="s">
        <v>497</v>
      </c>
      <c r="I952" s="10" t="s">
        <v>423</v>
      </c>
      <c r="J952" s="10" t="s">
        <v>88</v>
      </c>
      <c r="K952" s="10" t="s">
        <v>35</v>
      </c>
      <c r="L952" s="10" t="s">
        <v>110</v>
      </c>
      <c r="M952" s="10" t="s">
        <v>2083</v>
      </c>
      <c r="N952" s="11">
        <v>29.4</v>
      </c>
      <c r="O952" s="12">
        <v>2</v>
      </c>
      <c r="P952" s="13">
        <v>0</v>
      </c>
      <c r="Q952" s="19">
        <v>12.44</v>
      </c>
      <c r="R952" s="45" t="str">
        <f t="shared" si="56"/>
        <v>OK</v>
      </c>
      <c r="S952" s="45">
        <f t="shared" si="57"/>
        <v>274.75</v>
      </c>
      <c r="T952" s="45">
        <f t="shared" si="58"/>
        <v>1</v>
      </c>
      <c r="U952" s="45">
        <f t="shared" si="59"/>
        <v>274.75</v>
      </c>
    </row>
    <row r="953" spans="1:21" x14ac:dyDescent="0.3">
      <c r="A953" s="17" t="s">
        <v>1255</v>
      </c>
      <c r="B953" s="32">
        <v>45596</v>
      </c>
      <c r="C953" s="32">
        <v>45597</v>
      </c>
      <c r="D953" s="8" t="s">
        <v>18</v>
      </c>
      <c r="E953" s="8" t="s">
        <v>1097</v>
      </c>
      <c r="F953" s="10" t="s">
        <v>1098</v>
      </c>
      <c r="G953" s="10" t="s">
        <v>42</v>
      </c>
      <c r="H953" s="10" t="s">
        <v>417</v>
      </c>
      <c r="I953" s="10" t="s">
        <v>123</v>
      </c>
      <c r="J953" s="10" t="s">
        <v>24</v>
      </c>
      <c r="K953" s="10" t="s">
        <v>45</v>
      </c>
      <c r="L953" s="10" t="s">
        <v>117</v>
      </c>
      <c r="M953" s="10" t="s">
        <v>1256</v>
      </c>
      <c r="N953" s="11">
        <v>1483.95</v>
      </c>
      <c r="O953" s="12">
        <v>3</v>
      </c>
      <c r="P953" s="13">
        <v>0</v>
      </c>
      <c r="Q953" s="19">
        <v>433.7</v>
      </c>
      <c r="R953" s="45" t="str">
        <f t="shared" si="56"/>
        <v>OK</v>
      </c>
      <c r="S953" s="45">
        <f t="shared" si="57"/>
        <v>274.75</v>
      </c>
      <c r="T953" s="45">
        <f t="shared" si="58"/>
        <v>1</v>
      </c>
      <c r="U953" s="45">
        <f t="shared" si="59"/>
        <v>274.75</v>
      </c>
    </row>
    <row r="954" spans="1:21" x14ac:dyDescent="0.3">
      <c r="A954" s="17" t="s">
        <v>1876</v>
      </c>
      <c r="B954" s="32">
        <v>45596</v>
      </c>
      <c r="C954" s="32">
        <v>45600</v>
      </c>
      <c r="D954" s="8" t="s">
        <v>73</v>
      </c>
      <c r="E954" s="8" t="s">
        <v>504</v>
      </c>
      <c r="F954" s="10" t="s">
        <v>505</v>
      </c>
      <c r="G954" s="10" t="s">
        <v>42</v>
      </c>
      <c r="H954" s="10" t="s">
        <v>150</v>
      </c>
      <c r="I954" s="10" t="s">
        <v>151</v>
      </c>
      <c r="J954" s="10" t="s">
        <v>34</v>
      </c>
      <c r="K954" s="10" t="s">
        <v>35</v>
      </c>
      <c r="L954" s="10" t="s">
        <v>110</v>
      </c>
      <c r="M954" s="10" t="s">
        <v>1877</v>
      </c>
      <c r="N954" s="11">
        <v>92.79</v>
      </c>
      <c r="O954" s="12">
        <v>10</v>
      </c>
      <c r="P954" s="13">
        <v>0.1</v>
      </c>
      <c r="Q954" s="19">
        <v>41.32</v>
      </c>
      <c r="R954" s="45" t="str">
        <f t="shared" si="56"/>
        <v>OK</v>
      </c>
      <c r="S954" s="45">
        <f t="shared" si="57"/>
        <v>274.75</v>
      </c>
      <c r="T954" s="45">
        <f t="shared" si="58"/>
        <v>1</v>
      </c>
      <c r="U954" s="45">
        <f t="shared" si="59"/>
        <v>274.75</v>
      </c>
    </row>
    <row r="955" spans="1:21" x14ac:dyDescent="0.3">
      <c r="A955" s="17" t="s">
        <v>1083</v>
      </c>
      <c r="B955" s="32">
        <v>45599</v>
      </c>
      <c r="C955" s="32">
        <v>45602</v>
      </c>
      <c r="D955" s="8" t="s">
        <v>39</v>
      </c>
      <c r="E955" s="8" t="s">
        <v>946</v>
      </c>
      <c r="F955" s="10" t="s">
        <v>947</v>
      </c>
      <c r="G955" s="10" t="s">
        <v>21</v>
      </c>
      <c r="H955" s="10" t="s">
        <v>156</v>
      </c>
      <c r="I955" s="10" t="s">
        <v>157</v>
      </c>
      <c r="J955" s="10" t="s">
        <v>88</v>
      </c>
      <c r="K955" s="10" t="s">
        <v>45</v>
      </c>
      <c r="L955" s="10" t="s">
        <v>61</v>
      </c>
      <c r="M955" s="10" t="s">
        <v>1062</v>
      </c>
      <c r="N955" s="11">
        <v>1556.32</v>
      </c>
      <c r="O955" s="12">
        <v>4</v>
      </c>
      <c r="P955" s="13">
        <v>0.3</v>
      </c>
      <c r="Q955" s="19">
        <v>-462.68</v>
      </c>
      <c r="R955" s="45" t="str">
        <f t="shared" si="56"/>
        <v>OK</v>
      </c>
      <c r="S955" s="45">
        <f t="shared" si="57"/>
        <v>274.75</v>
      </c>
      <c r="T955" s="45">
        <f t="shared" si="58"/>
        <v>1</v>
      </c>
      <c r="U955" s="45">
        <f t="shared" si="59"/>
        <v>274.75</v>
      </c>
    </row>
    <row r="956" spans="1:21" x14ac:dyDescent="0.3">
      <c r="A956" s="17" t="s">
        <v>1923</v>
      </c>
      <c r="B956" s="32">
        <v>45599</v>
      </c>
      <c r="C956" s="32">
        <v>45602</v>
      </c>
      <c r="D956" s="8" t="s">
        <v>39</v>
      </c>
      <c r="E956" s="8" t="s">
        <v>580</v>
      </c>
      <c r="F956" s="10" t="s">
        <v>581</v>
      </c>
      <c r="G956" s="10" t="s">
        <v>51</v>
      </c>
      <c r="H956" s="10" t="s">
        <v>156</v>
      </c>
      <c r="I956" s="10" t="s">
        <v>157</v>
      </c>
      <c r="J956" s="10" t="s">
        <v>88</v>
      </c>
      <c r="K956" s="10" t="s">
        <v>45</v>
      </c>
      <c r="L956" s="10" t="s">
        <v>61</v>
      </c>
      <c r="M956" s="10" t="s">
        <v>1924</v>
      </c>
      <c r="N956" s="11">
        <v>2701.17</v>
      </c>
      <c r="O956" s="12">
        <v>9</v>
      </c>
      <c r="P956" s="13">
        <v>0.5</v>
      </c>
      <c r="Q956" s="19">
        <v>-2426.8000000000002</v>
      </c>
      <c r="R956" s="45" t="str">
        <f t="shared" si="56"/>
        <v>OK</v>
      </c>
      <c r="S956" s="45">
        <f t="shared" si="57"/>
        <v>274.75</v>
      </c>
      <c r="T956" s="45">
        <f t="shared" si="58"/>
        <v>1</v>
      </c>
      <c r="U956" s="45">
        <f t="shared" si="59"/>
        <v>274.75</v>
      </c>
    </row>
    <row r="957" spans="1:21" x14ac:dyDescent="0.3">
      <c r="A957" s="17" t="s">
        <v>1573</v>
      </c>
      <c r="B957" s="32">
        <v>45601</v>
      </c>
      <c r="C957" s="32">
        <v>45604</v>
      </c>
      <c r="D957" s="8" t="s">
        <v>73</v>
      </c>
      <c r="E957" s="8" t="s">
        <v>662</v>
      </c>
      <c r="F957" s="10" t="s">
        <v>663</v>
      </c>
      <c r="G957" s="10" t="s">
        <v>21</v>
      </c>
      <c r="H957" s="10" t="s">
        <v>104</v>
      </c>
      <c r="I957" s="10" t="s">
        <v>105</v>
      </c>
      <c r="J957" s="10" t="s">
        <v>88</v>
      </c>
      <c r="K957" s="10" t="s">
        <v>35</v>
      </c>
      <c r="L957" s="10" t="s">
        <v>229</v>
      </c>
      <c r="M957" s="10" t="s">
        <v>1358</v>
      </c>
      <c r="N957" s="11">
        <v>95.6</v>
      </c>
      <c r="O957" s="12">
        <v>10</v>
      </c>
      <c r="P957" s="13">
        <v>0</v>
      </c>
      <c r="Q957" s="19">
        <v>38.56</v>
      </c>
      <c r="R957" s="45" t="str">
        <f t="shared" si="56"/>
        <v>OK</v>
      </c>
      <c r="S957" s="45">
        <f t="shared" si="57"/>
        <v>274.75</v>
      </c>
      <c r="T957" s="45">
        <f t="shared" si="58"/>
        <v>1</v>
      </c>
      <c r="U957" s="45">
        <f t="shared" si="59"/>
        <v>274.75</v>
      </c>
    </row>
    <row r="958" spans="1:21" x14ac:dyDescent="0.3">
      <c r="A958" s="17" t="s">
        <v>1674</v>
      </c>
      <c r="B958" s="32">
        <v>45602</v>
      </c>
      <c r="C958" s="32">
        <v>45606</v>
      </c>
      <c r="D958" s="8" t="s">
        <v>39</v>
      </c>
      <c r="E958" s="8" t="s">
        <v>1578</v>
      </c>
      <c r="F958" s="10" t="s">
        <v>1579</v>
      </c>
      <c r="G958" s="10" t="s">
        <v>51</v>
      </c>
      <c r="H958" s="10" t="s">
        <v>207</v>
      </c>
      <c r="I958" s="10" t="s">
        <v>60</v>
      </c>
      <c r="J958" s="10" t="s">
        <v>54</v>
      </c>
      <c r="K958" s="10" t="s">
        <v>45</v>
      </c>
      <c r="L958" s="10" t="s">
        <v>46</v>
      </c>
      <c r="M958" s="10" t="s">
        <v>1675</v>
      </c>
      <c r="N958" s="11">
        <v>4037.83</v>
      </c>
      <c r="O958" s="12">
        <v>8</v>
      </c>
      <c r="P958" s="13">
        <v>0.1</v>
      </c>
      <c r="Q958" s="19">
        <v>1365.89</v>
      </c>
      <c r="R958" s="45" t="str">
        <f t="shared" si="56"/>
        <v>OK</v>
      </c>
      <c r="S958" s="45">
        <f t="shared" si="57"/>
        <v>274.75</v>
      </c>
      <c r="T958" s="45">
        <f t="shared" si="58"/>
        <v>1</v>
      </c>
      <c r="U958" s="45">
        <f t="shared" si="59"/>
        <v>274.75</v>
      </c>
    </row>
    <row r="959" spans="1:21" x14ac:dyDescent="0.3">
      <c r="A959" s="17" t="s">
        <v>1141</v>
      </c>
      <c r="B959" s="32">
        <v>45603</v>
      </c>
      <c r="C959" s="32">
        <v>45604</v>
      </c>
      <c r="D959" s="8" t="s">
        <v>18</v>
      </c>
      <c r="E959" s="8" t="s">
        <v>858</v>
      </c>
      <c r="F959" s="10" t="s">
        <v>859</v>
      </c>
      <c r="G959" s="10" t="s">
        <v>51</v>
      </c>
      <c r="H959" s="10" t="s">
        <v>145</v>
      </c>
      <c r="I959" s="10" t="s">
        <v>140</v>
      </c>
      <c r="J959" s="10" t="s">
        <v>24</v>
      </c>
      <c r="K959" s="10" t="s">
        <v>35</v>
      </c>
      <c r="L959" s="10" t="s">
        <v>295</v>
      </c>
      <c r="M959" s="10" t="s">
        <v>1142</v>
      </c>
      <c r="N959" s="11">
        <v>120.87</v>
      </c>
      <c r="O959" s="12">
        <v>5</v>
      </c>
      <c r="P959" s="13">
        <v>0.15</v>
      </c>
      <c r="Q959" s="19">
        <v>39.450000000000003</v>
      </c>
      <c r="R959" s="45" t="str">
        <f t="shared" si="56"/>
        <v>OK</v>
      </c>
      <c r="S959" s="45">
        <f t="shared" si="57"/>
        <v>274.75</v>
      </c>
      <c r="T959" s="45">
        <f t="shared" si="58"/>
        <v>1</v>
      </c>
      <c r="U959" s="45">
        <f t="shared" si="59"/>
        <v>274.75</v>
      </c>
    </row>
    <row r="960" spans="1:21" x14ac:dyDescent="0.3">
      <c r="A960" s="17" t="s">
        <v>2101</v>
      </c>
      <c r="B960" s="32">
        <v>45605</v>
      </c>
      <c r="C960" s="32">
        <v>45609</v>
      </c>
      <c r="D960" s="8" t="s">
        <v>39</v>
      </c>
      <c r="E960" s="8" t="s">
        <v>697</v>
      </c>
      <c r="F960" s="10" t="s">
        <v>698</v>
      </c>
      <c r="G960" s="10" t="s">
        <v>21</v>
      </c>
      <c r="H960" s="10" t="s">
        <v>319</v>
      </c>
      <c r="I960" s="10" t="s">
        <v>194</v>
      </c>
      <c r="J960" s="10" t="s">
        <v>34</v>
      </c>
      <c r="K960" s="10" t="s">
        <v>35</v>
      </c>
      <c r="L960" s="10" t="s">
        <v>295</v>
      </c>
      <c r="M960" s="10" t="s">
        <v>1035</v>
      </c>
      <c r="N960" s="11">
        <v>142.38999999999999</v>
      </c>
      <c r="O960" s="12">
        <v>3</v>
      </c>
      <c r="P960" s="13">
        <v>0.15</v>
      </c>
      <c r="Q960" s="19">
        <v>67.33</v>
      </c>
      <c r="R960" s="45" t="str">
        <f t="shared" si="56"/>
        <v>OK</v>
      </c>
      <c r="S960" s="45">
        <f t="shared" si="57"/>
        <v>274.75</v>
      </c>
      <c r="T960" s="45">
        <f t="shared" si="58"/>
        <v>1</v>
      </c>
      <c r="U960" s="45">
        <f t="shared" si="59"/>
        <v>274.75</v>
      </c>
    </row>
    <row r="961" spans="1:21" x14ac:dyDescent="0.3">
      <c r="A961" s="16" t="s">
        <v>367</v>
      </c>
      <c r="B961" s="31">
        <v>45606</v>
      </c>
      <c r="C961" s="31">
        <v>45608</v>
      </c>
      <c r="D961" s="2" t="s">
        <v>39</v>
      </c>
      <c r="E961" s="2" t="s">
        <v>210</v>
      </c>
      <c r="F961" s="4" t="s">
        <v>211</v>
      </c>
      <c r="G961" s="4" t="s">
        <v>42</v>
      </c>
      <c r="H961" s="4" t="s">
        <v>86</v>
      </c>
      <c r="I961" s="4" t="s">
        <v>87</v>
      </c>
      <c r="J961" s="4" t="s">
        <v>88</v>
      </c>
      <c r="K961" s="4" t="s">
        <v>35</v>
      </c>
      <c r="L961" s="4" t="s">
        <v>110</v>
      </c>
      <c r="M961" s="4" t="s">
        <v>368</v>
      </c>
      <c r="N961" s="5">
        <v>150.38999999999999</v>
      </c>
      <c r="O961" s="6">
        <v>5</v>
      </c>
      <c r="P961" s="7">
        <v>0.1</v>
      </c>
      <c r="Q961" s="18">
        <v>53.53</v>
      </c>
      <c r="R961" s="45" t="str">
        <f t="shared" si="56"/>
        <v>OK</v>
      </c>
      <c r="S961" s="45">
        <f t="shared" si="57"/>
        <v>274.75</v>
      </c>
      <c r="T961" s="45">
        <f t="shared" si="58"/>
        <v>1</v>
      </c>
      <c r="U961" s="45">
        <f t="shared" si="59"/>
        <v>274.75</v>
      </c>
    </row>
    <row r="962" spans="1:21" x14ac:dyDescent="0.3">
      <c r="A962" s="16" t="s">
        <v>653</v>
      </c>
      <c r="B962" s="31">
        <v>45606</v>
      </c>
      <c r="C962" s="31">
        <v>45612</v>
      </c>
      <c r="D962" s="2" t="s">
        <v>29</v>
      </c>
      <c r="E962" s="2" t="s">
        <v>654</v>
      </c>
      <c r="F962" s="4" t="s">
        <v>655</v>
      </c>
      <c r="G962" s="4" t="s">
        <v>21</v>
      </c>
      <c r="H962" s="4" t="s">
        <v>66</v>
      </c>
      <c r="I962" s="4" t="s">
        <v>67</v>
      </c>
      <c r="J962" s="4" t="s">
        <v>34</v>
      </c>
      <c r="K962" s="4" t="s">
        <v>25</v>
      </c>
      <c r="L962" s="4" t="s">
        <v>124</v>
      </c>
      <c r="M962" s="4" t="s">
        <v>656</v>
      </c>
      <c r="N962" s="5">
        <v>3040.43</v>
      </c>
      <c r="O962" s="6">
        <v>5</v>
      </c>
      <c r="P962" s="7">
        <v>0.5</v>
      </c>
      <c r="Q962" s="18">
        <v>-1116.3800000000001</v>
      </c>
      <c r="R962" s="45" t="str">
        <f t="shared" ref="R962:R1006" si="60">IF(C962&lt;B962,"Error","OK")</f>
        <v>OK</v>
      </c>
      <c r="S962" s="45">
        <f t="shared" ref="S962:S1006" si="61">AVERAGEIF(E962:E1960,"CU-1057",N962:N1960)</f>
        <v>274.75</v>
      </c>
      <c r="T962" s="45">
        <f t="shared" ref="T962:T1006" si="62">COUNTIF(E962:E1960,"CU-1057")</f>
        <v>1</v>
      </c>
      <c r="U962" s="45">
        <f t="shared" ref="U962:U1006" si="63">SUMIF(E962:E1960,"CU-1057",N962:N1960)</f>
        <v>274.75</v>
      </c>
    </row>
    <row r="963" spans="1:21" x14ac:dyDescent="0.3">
      <c r="A963" s="17" t="s">
        <v>1347</v>
      </c>
      <c r="B963" s="32">
        <v>45606</v>
      </c>
      <c r="C963" s="32">
        <v>45613</v>
      </c>
      <c r="D963" s="8" t="s">
        <v>29</v>
      </c>
      <c r="E963" s="8" t="s">
        <v>504</v>
      </c>
      <c r="F963" s="10" t="s">
        <v>505</v>
      </c>
      <c r="G963" s="10" t="s">
        <v>42</v>
      </c>
      <c r="H963" s="10" t="s">
        <v>150</v>
      </c>
      <c r="I963" s="10" t="s">
        <v>151</v>
      </c>
      <c r="J963" s="10" t="s">
        <v>34</v>
      </c>
      <c r="K963" s="10" t="s">
        <v>45</v>
      </c>
      <c r="L963" s="10" t="s">
        <v>99</v>
      </c>
      <c r="M963" s="10" t="s">
        <v>1348</v>
      </c>
      <c r="N963" s="11">
        <v>116.7</v>
      </c>
      <c r="O963" s="12">
        <v>2</v>
      </c>
      <c r="P963" s="13">
        <v>0.2</v>
      </c>
      <c r="Q963" s="19">
        <v>15.55</v>
      </c>
      <c r="R963" s="45" t="str">
        <f t="shared" si="60"/>
        <v>OK</v>
      </c>
      <c r="S963" s="45">
        <f t="shared" si="61"/>
        <v>274.75</v>
      </c>
      <c r="T963" s="45">
        <f t="shared" si="62"/>
        <v>1</v>
      </c>
      <c r="U963" s="45">
        <f t="shared" si="63"/>
        <v>274.75</v>
      </c>
    </row>
    <row r="964" spans="1:21" x14ac:dyDescent="0.3">
      <c r="A964" s="16" t="s">
        <v>2276</v>
      </c>
      <c r="B964" s="31">
        <v>45606</v>
      </c>
      <c r="C964" s="31">
        <v>45613</v>
      </c>
      <c r="D964" s="2" t="s">
        <v>29</v>
      </c>
      <c r="E964" s="2" t="s">
        <v>277</v>
      </c>
      <c r="F964" s="4" t="s">
        <v>278</v>
      </c>
      <c r="G964" s="4" t="s">
        <v>21</v>
      </c>
      <c r="H964" s="4" t="s">
        <v>104</v>
      </c>
      <c r="I964" s="4" t="s">
        <v>105</v>
      </c>
      <c r="J964" s="4" t="s">
        <v>88</v>
      </c>
      <c r="K964" s="4" t="s">
        <v>45</v>
      </c>
      <c r="L964" s="4" t="s">
        <v>99</v>
      </c>
      <c r="M964" s="4" t="s">
        <v>2277</v>
      </c>
      <c r="N964" s="5">
        <v>484.02</v>
      </c>
      <c r="O964" s="6">
        <v>6</v>
      </c>
      <c r="P964" s="7">
        <v>0</v>
      </c>
      <c r="Q964" s="18">
        <v>192.86</v>
      </c>
      <c r="R964" s="45" t="str">
        <f t="shared" si="60"/>
        <v>OK</v>
      </c>
      <c r="S964" s="45">
        <f t="shared" si="61"/>
        <v>274.75</v>
      </c>
      <c r="T964" s="45">
        <f t="shared" si="62"/>
        <v>1</v>
      </c>
      <c r="U964" s="45">
        <f t="shared" si="63"/>
        <v>274.75</v>
      </c>
    </row>
    <row r="965" spans="1:21" x14ac:dyDescent="0.3">
      <c r="A965" s="17" t="s">
        <v>1459</v>
      </c>
      <c r="B965" s="32">
        <v>45607</v>
      </c>
      <c r="C965" s="32">
        <v>45612</v>
      </c>
      <c r="D965" s="8" t="s">
        <v>29</v>
      </c>
      <c r="E965" s="8" t="s">
        <v>480</v>
      </c>
      <c r="F965" s="10" t="s">
        <v>481</v>
      </c>
      <c r="G965" s="10" t="s">
        <v>42</v>
      </c>
      <c r="H965" s="10" t="s">
        <v>352</v>
      </c>
      <c r="I965" s="10" t="s">
        <v>306</v>
      </c>
      <c r="J965" s="10" t="s">
        <v>34</v>
      </c>
      <c r="K965" s="10" t="s">
        <v>25</v>
      </c>
      <c r="L965" s="10" t="s">
        <v>26</v>
      </c>
      <c r="M965" s="10" t="s">
        <v>1460</v>
      </c>
      <c r="N965" s="11">
        <v>6573.74</v>
      </c>
      <c r="O965" s="12">
        <v>7</v>
      </c>
      <c r="P965" s="13">
        <v>0.1</v>
      </c>
      <c r="Q965" s="19">
        <v>784.71</v>
      </c>
      <c r="R965" s="45" t="str">
        <f t="shared" si="60"/>
        <v>OK</v>
      </c>
      <c r="S965" s="45">
        <f t="shared" si="61"/>
        <v>274.75</v>
      </c>
      <c r="T965" s="45">
        <f t="shared" si="62"/>
        <v>1</v>
      </c>
      <c r="U965" s="45">
        <f t="shared" si="63"/>
        <v>274.75</v>
      </c>
    </row>
    <row r="966" spans="1:21" x14ac:dyDescent="0.3">
      <c r="A966" s="17" t="s">
        <v>1473</v>
      </c>
      <c r="B966" s="32">
        <v>45609</v>
      </c>
      <c r="C966" s="32">
        <v>45613</v>
      </c>
      <c r="D966" s="8" t="s">
        <v>39</v>
      </c>
      <c r="E966" s="8" t="s">
        <v>650</v>
      </c>
      <c r="F966" s="10" t="s">
        <v>651</v>
      </c>
      <c r="G966" s="10" t="s">
        <v>42</v>
      </c>
      <c r="H966" s="10" t="s">
        <v>438</v>
      </c>
      <c r="I966" s="10" t="s">
        <v>157</v>
      </c>
      <c r="J966" s="10" t="s">
        <v>88</v>
      </c>
      <c r="K966" s="10" t="s">
        <v>45</v>
      </c>
      <c r="L966" s="10" t="s">
        <v>99</v>
      </c>
      <c r="M966" s="10" t="s">
        <v>1474</v>
      </c>
      <c r="N966" s="11">
        <v>669.9</v>
      </c>
      <c r="O966" s="12">
        <v>4</v>
      </c>
      <c r="P966" s="13">
        <v>0.15</v>
      </c>
      <c r="Q966" s="19">
        <v>194.29</v>
      </c>
      <c r="R966" s="45" t="str">
        <f t="shared" si="60"/>
        <v>OK</v>
      </c>
      <c r="S966" s="45">
        <f t="shared" si="61"/>
        <v>274.75</v>
      </c>
      <c r="T966" s="45">
        <f t="shared" si="62"/>
        <v>1</v>
      </c>
      <c r="U966" s="45">
        <f t="shared" si="63"/>
        <v>274.75</v>
      </c>
    </row>
    <row r="967" spans="1:21" x14ac:dyDescent="0.3">
      <c r="A967" s="16" t="s">
        <v>1731</v>
      </c>
      <c r="B967" s="31">
        <v>45611</v>
      </c>
      <c r="C967" s="31">
        <v>45618</v>
      </c>
      <c r="D967" s="2" t="s">
        <v>29</v>
      </c>
      <c r="E967" s="2" t="s">
        <v>30</v>
      </c>
      <c r="F967" s="4" t="s">
        <v>31</v>
      </c>
      <c r="G967" s="4" t="s">
        <v>21</v>
      </c>
      <c r="H967" s="4" t="s">
        <v>32</v>
      </c>
      <c r="I967" s="4" t="s">
        <v>33</v>
      </c>
      <c r="J967" s="4" t="s">
        <v>34</v>
      </c>
      <c r="K967" s="4" t="s">
        <v>45</v>
      </c>
      <c r="L967" s="4" t="s">
        <v>117</v>
      </c>
      <c r="M967" s="4" t="s">
        <v>1732</v>
      </c>
      <c r="N967" s="5">
        <v>1771.85</v>
      </c>
      <c r="O967" s="6">
        <v>10</v>
      </c>
      <c r="P967" s="7">
        <v>0.5</v>
      </c>
      <c r="Q967" s="18">
        <v>-657.67</v>
      </c>
      <c r="R967" s="45" t="str">
        <f t="shared" si="60"/>
        <v>OK</v>
      </c>
      <c r="S967" s="45">
        <f t="shared" si="61"/>
        <v>274.75</v>
      </c>
      <c r="T967" s="45">
        <f t="shared" si="62"/>
        <v>1</v>
      </c>
      <c r="U967" s="45">
        <f t="shared" si="63"/>
        <v>274.75</v>
      </c>
    </row>
    <row r="968" spans="1:21" x14ac:dyDescent="0.3">
      <c r="A968" s="16" t="s">
        <v>515</v>
      </c>
      <c r="B968" s="31">
        <v>45615</v>
      </c>
      <c r="C968" s="31">
        <v>45617</v>
      </c>
      <c r="D968" s="2" t="s">
        <v>18</v>
      </c>
      <c r="E968" s="2" t="s">
        <v>214</v>
      </c>
      <c r="F968" s="4" t="s">
        <v>215</v>
      </c>
      <c r="G968" s="4" t="s">
        <v>21</v>
      </c>
      <c r="H968" s="4" t="s">
        <v>52</v>
      </c>
      <c r="I968" s="4" t="s">
        <v>53</v>
      </c>
      <c r="J968" s="4" t="s">
        <v>54</v>
      </c>
      <c r="K968" s="4" t="s">
        <v>35</v>
      </c>
      <c r="L968" s="4" t="s">
        <v>158</v>
      </c>
      <c r="M968" s="4" t="s">
        <v>516</v>
      </c>
      <c r="N968" s="5">
        <v>556.78</v>
      </c>
      <c r="O968" s="6">
        <v>9</v>
      </c>
      <c r="P968" s="7">
        <v>0.5</v>
      </c>
      <c r="Q968" s="18">
        <v>-194.52</v>
      </c>
      <c r="R968" s="45" t="str">
        <f t="shared" si="60"/>
        <v>OK</v>
      </c>
      <c r="S968" s="45">
        <f t="shared" si="61"/>
        <v>274.75</v>
      </c>
      <c r="T968" s="45">
        <f t="shared" si="62"/>
        <v>1</v>
      </c>
      <c r="U968" s="45">
        <f t="shared" si="63"/>
        <v>274.75</v>
      </c>
    </row>
    <row r="969" spans="1:21" x14ac:dyDescent="0.3">
      <c r="A969" s="16" t="s">
        <v>2124</v>
      </c>
      <c r="B969" s="31">
        <v>45615</v>
      </c>
      <c r="C969" s="31">
        <v>45620</v>
      </c>
      <c r="D969" s="2" t="s">
        <v>73</v>
      </c>
      <c r="E969" s="2" t="s">
        <v>457</v>
      </c>
      <c r="F969" s="4" t="s">
        <v>458</v>
      </c>
      <c r="G969" s="4" t="s">
        <v>51</v>
      </c>
      <c r="H969" s="4" t="s">
        <v>459</v>
      </c>
      <c r="I969" s="4" t="s">
        <v>460</v>
      </c>
      <c r="J969" s="4" t="s">
        <v>54</v>
      </c>
      <c r="K969" s="4" t="s">
        <v>25</v>
      </c>
      <c r="L969" s="4" t="s">
        <v>124</v>
      </c>
      <c r="M969" s="4" t="s">
        <v>2125</v>
      </c>
      <c r="N969" s="5">
        <v>7529.43</v>
      </c>
      <c r="O969" s="6">
        <v>3</v>
      </c>
      <c r="P969" s="7">
        <v>0</v>
      </c>
      <c r="Q969" s="18">
        <v>2266.85</v>
      </c>
      <c r="R969" s="45" t="str">
        <f t="shared" si="60"/>
        <v>OK</v>
      </c>
      <c r="S969" s="45">
        <f t="shared" si="61"/>
        <v>274.75</v>
      </c>
      <c r="T969" s="45">
        <f t="shared" si="62"/>
        <v>1</v>
      </c>
      <c r="U969" s="45">
        <f t="shared" si="63"/>
        <v>274.75</v>
      </c>
    </row>
    <row r="970" spans="1:21" x14ac:dyDescent="0.3">
      <c r="A970" s="16" t="s">
        <v>91</v>
      </c>
      <c r="B970" s="31">
        <v>45618</v>
      </c>
      <c r="C970" s="31">
        <v>45622</v>
      </c>
      <c r="D970" s="2" t="s">
        <v>39</v>
      </c>
      <c r="E970" s="2" t="s">
        <v>92</v>
      </c>
      <c r="F970" s="4" t="s">
        <v>93</v>
      </c>
      <c r="G970" s="4" t="s">
        <v>42</v>
      </c>
      <c r="H970" s="4" t="s">
        <v>43</v>
      </c>
      <c r="I970" s="4" t="s">
        <v>44</v>
      </c>
      <c r="J970" s="4" t="s">
        <v>24</v>
      </c>
      <c r="K970" s="4" t="s">
        <v>25</v>
      </c>
      <c r="L970" s="4" t="s">
        <v>26</v>
      </c>
      <c r="M970" s="4" t="s">
        <v>94</v>
      </c>
      <c r="N970" s="5">
        <v>4260.6899999999996</v>
      </c>
      <c r="O970" s="6">
        <v>3</v>
      </c>
      <c r="P970" s="7">
        <v>0</v>
      </c>
      <c r="Q970" s="18">
        <v>849.48</v>
      </c>
      <c r="R970" s="45" t="str">
        <f t="shared" si="60"/>
        <v>OK</v>
      </c>
      <c r="S970" s="45">
        <f t="shared" si="61"/>
        <v>274.75</v>
      </c>
      <c r="T970" s="45">
        <f t="shared" si="62"/>
        <v>1</v>
      </c>
      <c r="U970" s="45">
        <f t="shared" si="63"/>
        <v>274.75</v>
      </c>
    </row>
    <row r="971" spans="1:21" x14ac:dyDescent="0.3">
      <c r="A971" s="16" t="s">
        <v>1028</v>
      </c>
      <c r="B971" s="31">
        <v>45618</v>
      </c>
      <c r="C971" s="31">
        <v>45623</v>
      </c>
      <c r="D971" s="2" t="s">
        <v>73</v>
      </c>
      <c r="E971" s="2" t="s">
        <v>1029</v>
      </c>
      <c r="F971" s="4" t="s">
        <v>1030</v>
      </c>
      <c r="G971" s="4" t="s">
        <v>21</v>
      </c>
      <c r="H971" s="4" t="s">
        <v>438</v>
      </c>
      <c r="I971" s="4" t="s">
        <v>157</v>
      </c>
      <c r="J971" s="4" t="s">
        <v>88</v>
      </c>
      <c r="K971" s="4" t="s">
        <v>35</v>
      </c>
      <c r="L971" s="4" t="s">
        <v>158</v>
      </c>
      <c r="M971" s="4" t="s">
        <v>1031</v>
      </c>
      <c r="N971" s="5">
        <v>107.06</v>
      </c>
      <c r="O971" s="6">
        <v>1</v>
      </c>
      <c r="P971" s="7">
        <v>0</v>
      </c>
      <c r="Q971" s="18">
        <v>45.44</v>
      </c>
      <c r="R971" s="45" t="str">
        <f t="shared" si="60"/>
        <v>OK</v>
      </c>
      <c r="S971" s="45">
        <f t="shared" si="61"/>
        <v>274.75</v>
      </c>
      <c r="T971" s="45">
        <f t="shared" si="62"/>
        <v>1</v>
      </c>
      <c r="U971" s="45">
        <f t="shared" si="63"/>
        <v>274.75</v>
      </c>
    </row>
    <row r="972" spans="1:21" x14ac:dyDescent="0.3">
      <c r="A972" s="16" t="s">
        <v>919</v>
      </c>
      <c r="B972" s="31">
        <v>45621</v>
      </c>
      <c r="C972" s="31">
        <v>45625</v>
      </c>
      <c r="D972" s="2" t="s">
        <v>73</v>
      </c>
      <c r="E972" s="2" t="s">
        <v>293</v>
      </c>
      <c r="F972" s="4" t="s">
        <v>294</v>
      </c>
      <c r="G972" s="4" t="s">
        <v>21</v>
      </c>
      <c r="H972" s="4" t="s">
        <v>193</v>
      </c>
      <c r="I972" s="4" t="s">
        <v>194</v>
      </c>
      <c r="J972" s="4" t="s">
        <v>34</v>
      </c>
      <c r="K972" s="4" t="s">
        <v>35</v>
      </c>
      <c r="L972" s="4" t="s">
        <v>36</v>
      </c>
      <c r="M972" s="4" t="s">
        <v>920</v>
      </c>
      <c r="N972" s="5">
        <v>121.24</v>
      </c>
      <c r="O972" s="6">
        <v>1</v>
      </c>
      <c r="P972" s="7">
        <v>0.2</v>
      </c>
      <c r="Q972" s="18">
        <v>26.9</v>
      </c>
      <c r="R972" s="45" t="str">
        <f t="shared" si="60"/>
        <v>OK</v>
      </c>
      <c r="S972" s="45">
        <f t="shared" si="61"/>
        <v>274.75</v>
      </c>
      <c r="T972" s="45">
        <f t="shared" si="62"/>
        <v>1</v>
      </c>
      <c r="U972" s="45">
        <f t="shared" si="63"/>
        <v>274.75</v>
      </c>
    </row>
    <row r="973" spans="1:21" x14ac:dyDescent="0.3">
      <c r="A973" s="17" t="s">
        <v>649</v>
      </c>
      <c r="B973" s="32">
        <v>45622</v>
      </c>
      <c r="C973" s="32">
        <v>45625</v>
      </c>
      <c r="D973" s="8" t="s">
        <v>73</v>
      </c>
      <c r="E973" s="8" t="s">
        <v>650</v>
      </c>
      <c r="F973" s="10" t="s">
        <v>651</v>
      </c>
      <c r="G973" s="10" t="s">
        <v>42</v>
      </c>
      <c r="H973" s="10" t="s">
        <v>438</v>
      </c>
      <c r="I973" s="10" t="s">
        <v>157</v>
      </c>
      <c r="J973" s="10" t="s">
        <v>88</v>
      </c>
      <c r="K973" s="10" t="s">
        <v>45</v>
      </c>
      <c r="L973" s="10" t="s">
        <v>117</v>
      </c>
      <c r="M973" s="10" t="s">
        <v>652</v>
      </c>
      <c r="N973" s="11">
        <v>497.24</v>
      </c>
      <c r="O973" s="12">
        <v>4</v>
      </c>
      <c r="P973" s="13">
        <v>0</v>
      </c>
      <c r="Q973" s="19">
        <v>114.09</v>
      </c>
      <c r="R973" s="45" t="str">
        <f t="shared" si="60"/>
        <v>OK</v>
      </c>
      <c r="S973" s="45">
        <f t="shared" si="61"/>
        <v>274.75</v>
      </c>
      <c r="T973" s="45">
        <f t="shared" si="62"/>
        <v>1</v>
      </c>
      <c r="U973" s="45">
        <f t="shared" si="63"/>
        <v>274.75</v>
      </c>
    </row>
    <row r="974" spans="1:21" x14ac:dyDescent="0.3">
      <c r="A974" s="17" t="s">
        <v>1566</v>
      </c>
      <c r="B974" s="32">
        <v>45622</v>
      </c>
      <c r="C974" s="32">
        <v>45624</v>
      </c>
      <c r="D974" s="8" t="s">
        <v>18</v>
      </c>
      <c r="E974" s="8" t="s">
        <v>175</v>
      </c>
      <c r="F974" s="10" t="s">
        <v>176</v>
      </c>
      <c r="G974" s="10" t="s">
        <v>51</v>
      </c>
      <c r="H974" s="10" t="s">
        <v>177</v>
      </c>
      <c r="I974" s="10" t="s">
        <v>178</v>
      </c>
      <c r="J974" s="10" t="s">
        <v>24</v>
      </c>
      <c r="K974" s="10" t="s">
        <v>45</v>
      </c>
      <c r="L974" s="10" t="s">
        <v>117</v>
      </c>
      <c r="M974" s="10" t="s">
        <v>1567</v>
      </c>
      <c r="N974" s="11">
        <v>274.75</v>
      </c>
      <c r="O974" s="12">
        <v>3</v>
      </c>
      <c r="P974" s="13">
        <v>0.2</v>
      </c>
      <c r="Q974" s="19">
        <v>14.67</v>
      </c>
      <c r="R974" s="45" t="str">
        <f t="shared" si="60"/>
        <v>OK</v>
      </c>
      <c r="S974" s="45">
        <f t="shared" si="61"/>
        <v>274.75</v>
      </c>
      <c r="T974" s="45">
        <f t="shared" si="62"/>
        <v>1</v>
      </c>
      <c r="U974" s="45">
        <f t="shared" si="63"/>
        <v>274.75</v>
      </c>
    </row>
    <row r="975" spans="1:21" x14ac:dyDescent="0.3">
      <c r="A975" s="17" t="s">
        <v>1649</v>
      </c>
      <c r="B975" s="32">
        <v>45623</v>
      </c>
      <c r="C975" s="32">
        <v>45625</v>
      </c>
      <c r="D975" s="8" t="s">
        <v>18</v>
      </c>
      <c r="E975" s="8" t="s">
        <v>30</v>
      </c>
      <c r="F975" s="10" t="s">
        <v>31</v>
      </c>
      <c r="G975" s="10" t="s">
        <v>21</v>
      </c>
      <c r="H975" s="10" t="s">
        <v>32</v>
      </c>
      <c r="I975" s="10" t="s">
        <v>33</v>
      </c>
      <c r="J975" s="10"/>
      <c r="K975" s="10" t="s">
        <v>45</v>
      </c>
      <c r="L975" s="10" t="s">
        <v>61</v>
      </c>
      <c r="M975" s="10" t="s">
        <v>1650</v>
      </c>
      <c r="N975" s="11">
        <v>103.42</v>
      </c>
      <c r="O975" s="12">
        <v>1</v>
      </c>
      <c r="P975" s="13">
        <v>0</v>
      </c>
      <c r="Q975" s="19">
        <v>11.78</v>
      </c>
      <c r="R975" s="45" t="str">
        <f t="shared" si="60"/>
        <v>OK</v>
      </c>
      <c r="S975" s="45" t="e">
        <f t="shared" si="61"/>
        <v>#DIV/0!</v>
      </c>
      <c r="T975" s="45">
        <f t="shared" si="62"/>
        <v>0</v>
      </c>
      <c r="U975" s="45">
        <f t="shared" si="63"/>
        <v>0</v>
      </c>
    </row>
    <row r="976" spans="1:21" x14ac:dyDescent="0.3">
      <c r="A976" s="17" t="s">
        <v>2052</v>
      </c>
      <c r="B976" s="32">
        <v>45623</v>
      </c>
      <c r="C976" s="32">
        <v>45626</v>
      </c>
      <c r="D976" s="8" t="s">
        <v>18</v>
      </c>
      <c r="E976" s="8" t="s">
        <v>678</v>
      </c>
      <c r="F976" s="10" t="s">
        <v>679</v>
      </c>
      <c r="G976" s="10" t="s">
        <v>51</v>
      </c>
      <c r="H976" s="10" t="s">
        <v>122</v>
      </c>
      <c r="I976" s="10" t="s">
        <v>123</v>
      </c>
      <c r="J976" s="10" t="s">
        <v>24</v>
      </c>
      <c r="K976" s="10" t="s">
        <v>35</v>
      </c>
      <c r="L976" s="10" t="s">
        <v>36</v>
      </c>
      <c r="M976" s="10" t="s">
        <v>2053</v>
      </c>
      <c r="N976" s="11">
        <v>1977.2</v>
      </c>
      <c r="O976" s="12">
        <v>8</v>
      </c>
      <c r="P976" s="13">
        <v>0</v>
      </c>
      <c r="Q976" s="19">
        <v>957.95</v>
      </c>
      <c r="R976" s="45" t="str">
        <f t="shared" si="60"/>
        <v>OK</v>
      </c>
      <c r="S976" s="45" t="e">
        <f t="shared" si="61"/>
        <v>#DIV/0!</v>
      </c>
      <c r="T976" s="45">
        <f t="shared" si="62"/>
        <v>0</v>
      </c>
      <c r="U976" s="45">
        <f t="shared" si="63"/>
        <v>0</v>
      </c>
    </row>
    <row r="977" spans="1:21" x14ac:dyDescent="0.3">
      <c r="A977" s="16" t="s">
        <v>1670</v>
      </c>
      <c r="B977" s="31">
        <v>45624</v>
      </c>
      <c r="C977" s="31">
        <v>45626</v>
      </c>
      <c r="D977" s="2" t="s">
        <v>18</v>
      </c>
      <c r="E977" s="2" t="s">
        <v>1152</v>
      </c>
      <c r="F977" s="4" t="s">
        <v>1153</v>
      </c>
      <c r="G977" s="4" t="s">
        <v>42</v>
      </c>
      <c r="H977" s="4" t="s">
        <v>1091</v>
      </c>
      <c r="I977" s="4" t="s">
        <v>23</v>
      </c>
      <c r="J977" s="4" t="s">
        <v>24</v>
      </c>
      <c r="K977" s="4" t="s">
        <v>25</v>
      </c>
      <c r="L977" s="4" t="s">
        <v>26</v>
      </c>
      <c r="M977" s="4" t="s">
        <v>1671</v>
      </c>
      <c r="N977" s="5">
        <v>5725.27</v>
      </c>
      <c r="O977" s="6">
        <v>6</v>
      </c>
      <c r="P977" s="7">
        <v>0.3</v>
      </c>
      <c r="Q977" s="18">
        <v>-940.07</v>
      </c>
      <c r="R977" s="45" t="str">
        <f t="shared" si="60"/>
        <v>OK</v>
      </c>
      <c r="S977" s="45" t="e">
        <f t="shared" si="61"/>
        <v>#DIV/0!</v>
      </c>
      <c r="T977" s="45">
        <f t="shared" si="62"/>
        <v>0</v>
      </c>
      <c r="U977" s="45">
        <f t="shared" si="63"/>
        <v>0</v>
      </c>
    </row>
    <row r="978" spans="1:21" x14ac:dyDescent="0.3">
      <c r="A978" s="16" t="s">
        <v>569</v>
      </c>
      <c r="B978" s="31">
        <v>45625</v>
      </c>
      <c r="C978" s="31">
        <v>45629</v>
      </c>
      <c r="D978" s="2" t="s">
        <v>39</v>
      </c>
      <c r="E978" s="2" t="s">
        <v>570</v>
      </c>
      <c r="F978" s="4" t="s">
        <v>571</v>
      </c>
      <c r="G978" s="4" t="s">
        <v>21</v>
      </c>
      <c r="H978" s="4" t="s">
        <v>66</v>
      </c>
      <c r="I978" s="4" t="s">
        <v>67</v>
      </c>
      <c r="J978" s="4" t="s">
        <v>34</v>
      </c>
      <c r="K978" s="4" t="s">
        <v>25</v>
      </c>
      <c r="L978" s="4" t="s">
        <v>124</v>
      </c>
      <c r="M978" s="4" t="s">
        <v>572</v>
      </c>
      <c r="N978" s="5">
        <v>17920.25</v>
      </c>
      <c r="O978" s="6">
        <v>10</v>
      </c>
      <c r="P978" s="7">
        <v>0.5</v>
      </c>
      <c r="Q978" s="18">
        <v>-9831.98</v>
      </c>
      <c r="R978" s="45" t="str">
        <f t="shared" si="60"/>
        <v>OK</v>
      </c>
      <c r="S978" s="45" t="e">
        <f t="shared" si="61"/>
        <v>#DIV/0!</v>
      </c>
      <c r="T978" s="45">
        <f t="shared" si="62"/>
        <v>0</v>
      </c>
      <c r="U978" s="45">
        <f t="shared" si="63"/>
        <v>0</v>
      </c>
    </row>
    <row r="979" spans="1:21" x14ac:dyDescent="0.3">
      <c r="A979" s="17" t="s">
        <v>435</v>
      </c>
      <c r="B979" s="32">
        <v>45627</v>
      </c>
      <c r="C979" s="32">
        <v>45632</v>
      </c>
      <c r="D979" s="8" t="s">
        <v>29</v>
      </c>
      <c r="E979" s="8" t="s">
        <v>436</v>
      </c>
      <c r="F979" s="10" t="s">
        <v>437</v>
      </c>
      <c r="G979" s="10" t="s">
        <v>51</v>
      </c>
      <c r="H979" s="10" t="s">
        <v>438</v>
      </c>
      <c r="I979" s="10" t="s">
        <v>157</v>
      </c>
      <c r="J979" s="10" t="s">
        <v>88</v>
      </c>
      <c r="K979" s="10" t="s">
        <v>25</v>
      </c>
      <c r="L979" s="10" t="s">
        <v>74</v>
      </c>
      <c r="M979" s="10" t="s">
        <v>439</v>
      </c>
      <c r="N979" s="11">
        <v>573.79</v>
      </c>
      <c r="O979" s="12">
        <v>3</v>
      </c>
      <c r="P979" s="13">
        <v>0.5</v>
      </c>
      <c r="Q979" s="19">
        <v>-63.45</v>
      </c>
      <c r="R979" s="45" t="str">
        <f t="shared" si="60"/>
        <v>OK</v>
      </c>
      <c r="S979" s="45" t="e">
        <f t="shared" si="61"/>
        <v>#DIV/0!</v>
      </c>
      <c r="T979" s="45">
        <f t="shared" si="62"/>
        <v>0</v>
      </c>
      <c r="U979" s="45">
        <f t="shared" si="63"/>
        <v>0</v>
      </c>
    </row>
    <row r="980" spans="1:21" x14ac:dyDescent="0.3">
      <c r="A980" s="17" t="s">
        <v>1777</v>
      </c>
      <c r="B980" s="32">
        <v>45627</v>
      </c>
      <c r="C980" s="32">
        <v>45629</v>
      </c>
      <c r="D980" s="8" t="s">
        <v>18</v>
      </c>
      <c r="E980" s="8" t="s">
        <v>132</v>
      </c>
      <c r="F980" s="10" t="s">
        <v>133</v>
      </c>
      <c r="G980" s="10" t="s">
        <v>21</v>
      </c>
      <c r="H980" s="10" t="s">
        <v>134</v>
      </c>
      <c r="I980" s="10" t="s">
        <v>87</v>
      </c>
      <c r="J980" s="10" t="s">
        <v>88</v>
      </c>
      <c r="K980" s="10" t="s">
        <v>35</v>
      </c>
      <c r="L980" s="10" t="s">
        <v>295</v>
      </c>
      <c r="M980" s="10" t="s">
        <v>1778</v>
      </c>
      <c r="N980" s="11">
        <v>146.01</v>
      </c>
      <c r="O980" s="12">
        <v>3</v>
      </c>
      <c r="P980" s="13">
        <v>0.3</v>
      </c>
      <c r="Q980" s="19">
        <v>25.81</v>
      </c>
      <c r="R980" s="45" t="str">
        <f t="shared" si="60"/>
        <v>OK</v>
      </c>
      <c r="S980" s="45" t="e">
        <f t="shared" si="61"/>
        <v>#DIV/0!</v>
      </c>
      <c r="T980" s="45">
        <f t="shared" si="62"/>
        <v>0</v>
      </c>
      <c r="U980" s="45">
        <f t="shared" si="63"/>
        <v>0</v>
      </c>
    </row>
    <row r="981" spans="1:21" x14ac:dyDescent="0.3">
      <c r="A981" s="17" t="s">
        <v>1325</v>
      </c>
      <c r="B981" s="32">
        <v>45631</v>
      </c>
      <c r="C981" s="32">
        <v>45635</v>
      </c>
      <c r="D981" s="8" t="s">
        <v>39</v>
      </c>
      <c r="E981" s="8" t="s">
        <v>395</v>
      </c>
      <c r="F981" s="10" t="s">
        <v>396</v>
      </c>
      <c r="G981" s="10" t="s">
        <v>21</v>
      </c>
      <c r="H981" s="10" t="s">
        <v>397</v>
      </c>
      <c r="I981" s="10" t="s">
        <v>33</v>
      </c>
      <c r="J981" s="10" t="s">
        <v>34</v>
      </c>
      <c r="K981" s="10" t="s">
        <v>45</v>
      </c>
      <c r="L981" s="10" t="s">
        <v>99</v>
      </c>
      <c r="M981" s="10" t="s">
        <v>1326</v>
      </c>
      <c r="N981" s="11">
        <v>975.04</v>
      </c>
      <c r="O981" s="12">
        <v>8</v>
      </c>
      <c r="P981" s="13">
        <v>0</v>
      </c>
      <c r="Q981" s="19">
        <v>307.49</v>
      </c>
      <c r="R981" s="45" t="str">
        <f t="shared" si="60"/>
        <v>OK</v>
      </c>
      <c r="S981" s="45" t="e">
        <f t="shared" si="61"/>
        <v>#DIV/0!</v>
      </c>
      <c r="T981" s="45">
        <f t="shared" si="62"/>
        <v>0</v>
      </c>
      <c r="U981" s="45">
        <f t="shared" si="63"/>
        <v>0</v>
      </c>
    </row>
    <row r="982" spans="1:21" x14ac:dyDescent="0.3">
      <c r="A982" s="16" t="s">
        <v>1655</v>
      </c>
      <c r="B982" s="31">
        <v>45631</v>
      </c>
      <c r="C982" s="31">
        <v>45635</v>
      </c>
      <c r="D982" s="2" t="s">
        <v>39</v>
      </c>
      <c r="E982" s="2" t="s">
        <v>265</v>
      </c>
      <c r="F982" s="4" t="s">
        <v>266</v>
      </c>
      <c r="G982" s="4" t="s">
        <v>21</v>
      </c>
      <c r="H982" s="4" t="s">
        <v>171</v>
      </c>
      <c r="I982" s="4" t="s">
        <v>172</v>
      </c>
      <c r="J982" s="4" t="s">
        <v>24</v>
      </c>
      <c r="K982" s="4" t="s">
        <v>25</v>
      </c>
      <c r="L982" s="4" t="s">
        <v>26</v>
      </c>
      <c r="M982" s="4" t="s">
        <v>1656</v>
      </c>
      <c r="N982" s="5">
        <v>4924.47</v>
      </c>
      <c r="O982" s="6">
        <v>6</v>
      </c>
      <c r="P982" s="7">
        <v>0.5</v>
      </c>
      <c r="Q982" s="18">
        <v>-2211.2199999999998</v>
      </c>
      <c r="R982" s="45" t="str">
        <f t="shared" si="60"/>
        <v>OK</v>
      </c>
      <c r="S982" s="45" t="e">
        <f t="shared" si="61"/>
        <v>#DIV/0!</v>
      </c>
      <c r="T982" s="45">
        <f t="shared" si="62"/>
        <v>0</v>
      </c>
      <c r="U982" s="45">
        <f t="shared" si="63"/>
        <v>0</v>
      </c>
    </row>
    <row r="983" spans="1:21" x14ac:dyDescent="0.3">
      <c r="A983" s="16" t="s">
        <v>2413</v>
      </c>
      <c r="B983" s="31">
        <v>45632</v>
      </c>
      <c r="C983" s="31">
        <v>45638</v>
      </c>
      <c r="D983" s="2" t="s">
        <v>29</v>
      </c>
      <c r="E983" s="2" t="s">
        <v>588</v>
      </c>
      <c r="F983" s="4" t="s">
        <v>589</v>
      </c>
      <c r="G983" s="4" t="s">
        <v>42</v>
      </c>
      <c r="H983" s="4" t="s">
        <v>397</v>
      </c>
      <c r="I983" s="4" t="s">
        <v>33</v>
      </c>
      <c r="J983" s="4" t="s">
        <v>34</v>
      </c>
      <c r="K983" s="4" t="s">
        <v>35</v>
      </c>
      <c r="L983" s="4" t="s">
        <v>216</v>
      </c>
      <c r="M983" s="4" t="s">
        <v>2414</v>
      </c>
      <c r="N983" s="5">
        <v>393.12</v>
      </c>
      <c r="O983" s="6">
        <v>9</v>
      </c>
      <c r="P983" s="7">
        <v>0</v>
      </c>
      <c r="Q983" s="18">
        <v>182.86</v>
      </c>
      <c r="R983" s="45" t="str">
        <f t="shared" si="60"/>
        <v>OK</v>
      </c>
      <c r="S983" s="45" t="e">
        <f t="shared" si="61"/>
        <v>#DIV/0!</v>
      </c>
      <c r="T983" s="45">
        <f t="shared" si="62"/>
        <v>0</v>
      </c>
      <c r="U983" s="45">
        <f t="shared" si="63"/>
        <v>0</v>
      </c>
    </row>
    <row r="984" spans="1:21" x14ac:dyDescent="0.3">
      <c r="A984" s="16" t="s">
        <v>1204</v>
      </c>
      <c r="B984" s="31">
        <v>45635</v>
      </c>
      <c r="C984" s="31">
        <v>45636</v>
      </c>
      <c r="D984" s="2" t="s">
        <v>18</v>
      </c>
      <c r="E984" s="2" t="s">
        <v>500</v>
      </c>
      <c r="F984" s="4" t="s">
        <v>501</v>
      </c>
      <c r="G984" s="4" t="s">
        <v>21</v>
      </c>
      <c r="H984" s="4" t="s">
        <v>104</v>
      </c>
      <c r="I984" s="4" t="s">
        <v>105</v>
      </c>
      <c r="J984" s="4" t="s">
        <v>88</v>
      </c>
      <c r="K984" s="4" t="s">
        <v>25</v>
      </c>
      <c r="L984" s="4" t="s">
        <v>74</v>
      </c>
      <c r="M984" s="4" t="s">
        <v>1205</v>
      </c>
      <c r="N984" s="5">
        <v>5138.25</v>
      </c>
      <c r="O984" s="6">
        <v>10</v>
      </c>
      <c r="P984" s="7">
        <v>0.15</v>
      </c>
      <c r="Q984" s="18">
        <v>1221.58</v>
      </c>
      <c r="R984" s="45" t="str">
        <f t="shared" si="60"/>
        <v>OK</v>
      </c>
      <c r="S984" s="45" t="e">
        <f t="shared" si="61"/>
        <v>#DIV/0!</v>
      </c>
      <c r="T984" s="45">
        <f t="shared" si="62"/>
        <v>0</v>
      </c>
      <c r="U984" s="45">
        <f t="shared" si="63"/>
        <v>0</v>
      </c>
    </row>
    <row r="985" spans="1:21" x14ac:dyDescent="0.3">
      <c r="A985" s="17" t="s">
        <v>687</v>
      </c>
      <c r="B985" s="32">
        <v>45636</v>
      </c>
      <c r="C985" s="32">
        <v>45641</v>
      </c>
      <c r="D985" s="8" t="s">
        <v>73</v>
      </c>
      <c r="E985" s="8" t="s">
        <v>688</v>
      </c>
      <c r="F985" s="10" t="s">
        <v>689</v>
      </c>
      <c r="G985" s="10" t="s">
        <v>42</v>
      </c>
      <c r="H985" s="10" t="s">
        <v>438</v>
      </c>
      <c r="I985" s="10" t="s">
        <v>157</v>
      </c>
      <c r="J985" s="10" t="s">
        <v>88</v>
      </c>
      <c r="K985" s="10" t="s">
        <v>35</v>
      </c>
      <c r="L985" s="10" t="s">
        <v>81</v>
      </c>
      <c r="M985" s="10" t="s">
        <v>690</v>
      </c>
      <c r="N985" s="11">
        <v>68.44</v>
      </c>
      <c r="O985" s="12">
        <v>8</v>
      </c>
      <c r="P985" s="13">
        <v>0.5</v>
      </c>
      <c r="Q985" s="19">
        <v>-8.1300000000000008</v>
      </c>
      <c r="R985" s="45" t="str">
        <f t="shared" si="60"/>
        <v>OK</v>
      </c>
      <c r="S985" s="45" t="e">
        <f t="shared" si="61"/>
        <v>#DIV/0!</v>
      </c>
      <c r="T985" s="45">
        <f t="shared" si="62"/>
        <v>0</v>
      </c>
      <c r="U985" s="45">
        <f t="shared" si="63"/>
        <v>0</v>
      </c>
    </row>
    <row r="986" spans="1:21" x14ac:dyDescent="0.3">
      <c r="A986" s="17" t="s">
        <v>1422</v>
      </c>
      <c r="B986" s="32">
        <v>45636</v>
      </c>
      <c r="C986" s="32">
        <v>45639</v>
      </c>
      <c r="D986" s="8" t="s">
        <v>39</v>
      </c>
      <c r="E986" s="8" t="s">
        <v>360</v>
      </c>
      <c r="F986" s="10" t="s">
        <v>361</v>
      </c>
      <c r="G986" s="10" t="s">
        <v>42</v>
      </c>
      <c r="H986" s="10" t="s">
        <v>346</v>
      </c>
      <c r="I986" s="10" t="s">
        <v>347</v>
      </c>
      <c r="J986" s="10" t="s">
        <v>88</v>
      </c>
      <c r="K986" s="10" t="s">
        <v>25</v>
      </c>
      <c r="L986" s="10" t="s">
        <v>68</v>
      </c>
      <c r="M986" s="10" t="s">
        <v>1423</v>
      </c>
      <c r="N986" s="11">
        <v>628.54999999999995</v>
      </c>
      <c r="O986" s="12">
        <v>5</v>
      </c>
      <c r="P986" s="13">
        <v>0</v>
      </c>
      <c r="Q986" s="19">
        <v>283.56</v>
      </c>
      <c r="R986" s="45" t="str">
        <f t="shared" si="60"/>
        <v>OK</v>
      </c>
      <c r="S986" s="45" t="e">
        <f t="shared" si="61"/>
        <v>#DIV/0!</v>
      </c>
      <c r="T986" s="45">
        <f t="shared" si="62"/>
        <v>0</v>
      </c>
      <c r="U986" s="45">
        <f t="shared" si="63"/>
        <v>0</v>
      </c>
    </row>
    <row r="987" spans="1:21" x14ac:dyDescent="0.3">
      <c r="A987" s="16" t="s">
        <v>1306</v>
      </c>
      <c r="B987" s="31">
        <v>45638</v>
      </c>
      <c r="C987" s="31">
        <v>45639</v>
      </c>
      <c r="D987" s="2" t="s">
        <v>18</v>
      </c>
      <c r="E987" s="2" t="s">
        <v>102</v>
      </c>
      <c r="F987" s="4" t="s">
        <v>103</v>
      </c>
      <c r="G987" s="4" t="s">
        <v>42</v>
      </c>
      <c r="H987" s="4" t="s">
        <v>104</v>
      </c>
      <c r="I987" s="4" t="s">
        <v>105</v>
      </c>
      <c r="J987" s="4" t="s">
        <v>88</v>
      </c>
      <c r="K987" s="4" t="s">
        <v>25</v>
      </c>
      <c r="L987" s="4" t="s">
        <v>74</v>
      </c>
      <c r="M987" s="4" t="s">
        <v>1307</v>
      </c>
      <c r="N987" s="5">
        <v>1320.17</v>
      </c>
      <c r="O987" s="6">
        <v>2</v>
      </c>
      <c r="P987" s="7">
        <v>0.1</v>
      </c>
      <c r="Q987" s="18">
        <v>346.18</v>
      </c>
      <c r="R987" s="45" t="str">
        <f t="shared" si="60"/>
        <v>OK</v>
      </c>
      <c r="S987" s="45" t="e">
        <f t="shared" si="61"/>
        <v>#DIV/0!</v>
      </c>
      <c r="T987" s="45">
        <f t="shared" si="62"/>
        <v>0</v>
      </c>
      <c r="U987" s="45">
        <f t="shared" si="63"/>
        <v>0</v>
      </c>
    </row>
    <row r="988" spans="1:21" x14ac:dyDescent="0.3">
      <c r="A988" s="17" t="s">
        <v>2384</v>
      </c>
      <c r="B988" s="32">
        <v>45640</v>
      </c>
      <c r="C988" s="32">
        <v>45645</v>
      </c>
      <c r="D988" s="8" t="s">
        <v>73</v>
      </c>
      <c r="E988" s="8" t="s">
        <v>682</v>
      </c>
      <c r="F988" s="10" t="s">
        <v>683</v>
      </c>
      <c r="G988" s="10" t="s">
        <v>21</v>
      </c>
      <c r="H988" s="10" t="s">
        <v>66</v>
      </c>
      <c r="I988" s="10" t="s">
        <v>67</v>
      </c>
      <c r="J988" s="10" t="s">
        <v>34</v>
      </c>
      <c r="K988" s="10" t="s">
        <v>45</v>
      </c>
      <c r="L988" s="10" t="s">
        <v>99</v>
      </c>
      <c r="M988" s="10" t="s">
        <v>2385</v>
      </c>
      <c r="N988" s="11">
        <v>417.74</v>
      </c>
      <c r="O988" s="12">
        <v>4</v>
      </c>
      <c r="P988" s="13">
        <v>0.1</v>
      </c>
      <c r="Q988" s="19">
        <v>81.97</v>
      </c>
      <c r="R988" s="45" t="str">
        <f t="shared" si="60"/>
        <v>OK</v>
      </c>
      <c r="S988" s="45" t="e">
        <f t="shared" si="61"/>
        <v>#DIV/0!</v>
      </c>
      <c r="T988" s="45">
        <f t="shared" si="62"/>
        <v>0</v>
      </c>
      <c r="U988" s="45">
        <f t="shared" si="63"/>
        <v>0</v>
      </c>
    </row>
    <row r="989" spans="1:21" x14ac:dyDescent="0.3">
      <c r="A989" s="17" t="s">
        <v>2286</v>
      </c>
      <c r="B989" s="32">
        <v>45641</v>
      </c>
      <c r="C989" s="32">
        <v>45644</v>
      </c>
      <c r="D989" s="8" t="s">
        <v>39</v>
      </c>
      <c r="E989" s="8" t="s">
        <v>232</v>
      </c>
      <c r="F989" s="10" t="s">
        <v>233</v>
      </c>
      <c r="G989" s="10" t="s">
        <v>21</v>
      </c>
      <c r="H989" s="10" t="s">
        <v>156</v>
      </c>
      <c r="I989" s="10" t="s">
        <v>157</v>
      </c>
      <c r="J989" s="10" t="s">
        <v>88</v>
      </c>
      <c r="K989" s="10" t="s">
        <v>35</v>
      </c>
      <c r="L989" s="10" t="s">
        <v>158</v>
      </c>
      <c r="M989" s="10" t="s">
        <v>2287</v>
      </c>
      <c r="N989" s="11">
        <v>14.26</v>
      </c>
      <c r="O989" s="12">
        <v>9</v>
      </c>
      <c r="P989" s="13">
        <v>0.4</v>
      </c>
      <c r="Q989" s="19">
        <v>0.17</v>
      </c>
      <c r="R989" s="45" t="str">
        <f t="shared" si="60"/>
        <v>OK</v>
      </c>
      <c r="S989" s="45" t="e">
        <f t="shared" si="61"/>
        <v>#DIV/0!</v>
      </c>
      <c r="T989" s="45">
        <f t="shared" si="62"/>
        <v>0</v>
      </c>
      <c r="U989" s="45">
        <f t="shared" si="63"/>
        <v>0</v>
      </c>
    </row>
    <row r="990" spans="1:21" x14ac:dyDescent="0.3">
      <c r="A990" s="16" t="s">
        <v>2460</v>
      </c>
      <c r="B990" s="31">
        <v>45641</v>
      </c>
      <c r="C990" s="31">
        <v>45644</v>
      </c>
      <c r="D990" s="2" t="s">
        <v>18</v>
      </c>
      <c r="E990" s="2" t="s">
        <v>169</v>
      </c>
      <c r="F990" s="4" t="s">
        <v>170</v>
      </c>
      <c r="G990" s="4" t="s">
        <v>21</v>
      </c>
      <c r="H990" s="4" t="s">
        <v>171</v>
      </c>
      <c r="I990" s="4" t="s">
        <v>172</v>
      </c>
      <c r="J990" s="4" t="s">
        <v>24</v>
      </c>
      <c r="K990" s="4" t="s">
        <v>25</v>
      </c>
      <c r="L990" s="4" t="s">
        <v>74</v>
      </c>
      <c r="M990" s="4" t="s">
        <v>2461</v>
      </c>
      <c r="N990" s="5">
        <v>563.52</v>
      </c>
      <c r="O990" s="6">
        <v>5</v>
      </c>
      <c r="P990" s="7">
        <v>0.5</v>
      </c>
      <c r="Q990" s="18">
        <v>-107.18</v>
      </c>
      <c r="R990" s="45" t="str">
        <f t="shared" si="60"/>
        <v>OK</v>
      </c>
      <c r="S990" s="45" t="e">
        <f t="shared" si="61"/>
        <v>#DIV/0!</v>
      </c>
      <c r="T990" s="45">
        <f t="shared" si="62"/>
        <v>0</v>
      </c>
      <c r="U990" s="45">
        <f t="shared" si="63"/>
        <v>0</v>
      </c>
    </row>
    <row r="991" spans="1:21" x14ac:dyDescent="0.3">
      <c r="A991" s="17" t="s">
        <v>1067</v>
      </c>
      <c r="B991" s="32">
        <v>45642</v>
      </c>
      <c r="C991" s="32">
        <v>45643</v>
      </c>
      <c r="D991" s="8" t="s">
        <v>18</v>
      </c>
      <c r="E991" s="8" t="s">
        <v>219</v>
      </c>
      <c r="F991" s="10" t="s">
        <v>220</v>
      </c>
      <c r="G991" s="10" t="s">
        <v>51</v>
      </c>
      <c r="H991" s="10" t="s">
        <v>171</v>
      </c>
      <c r="I991" s="10" t="s">
        <v>172</v>
      </c>
      <c r="J991" s="10" t="s">
        <v>24</v>
      </c>
      <c r="K991" s="10" t="s">
        <v>45</v>
      </c>
      <c r="L991" s="10" t="s">
        <v>117</v>
      </c>
      <c r="M991" s="10" t="s">
        <v>1068</v>
      </c>
      <c r="N991" s="11">
        <v>2751.72</v>
      </c>
      <c r="O991" s="12">
        <v>5</v>
      </c>
      <c r="P991" s="13">
        <v>0.05</v>
      </c>
      <c r="Q991" s="19">
        <v>784.25</v>
      </c>
      <c r="R991" s="45" t="str">
        <f t="shared" si="60"/>
        <v>OK</v>
      </c>
      <c r="S991" s="45" t="e">
        <f t="shared" si="61"/>
        <v>#DIV/0!</v>
      </c>
      <c r="T991" s="45">
        <f t="shared" si="62"/>
        <v>0</v>
      </c>
      <c r="U991" s="45">
        <f t="shared" si="63"/>
        <v>0</v>
      </c>
    </row>
    <row r="992" spans="1:21" x14ac:dyDescent="0.3">
      <c r="A992" s="16" t="s">
        <v>902</v>
      </c>
      <c r="B992" s="31">
        <v>45643</v>
      </c>
      <c r="C992" s="31">
        <v>45646</v>
      </c>
      <c r="D992" s="2" t="s">
        <v>18</v>
      </c>
      <c r="E992" s="2" t="s">
        <v>512</v>
      </c>
      <c r="F992" s="4" t="s">
        <v>513</v>
      </c>
      <c r="G992" s="4" t="s">
        <v>21</v>
      </c>
      <c r="H992" s="4" t="s">
        <v>104</v>
      </c>
      <c r="I992" s="4" t="s">
        <v>105</v>
      </c>
      <c r="J992" s="4" t="s">
        <v>88</v>
      </c>
      <c r="K992" s="4" t="s">
        <v>45</v>
      </c>
      <c r="L992" s="4" t="s">
        <v>117</v>
      </c>
      <c r="M992" s="4" t="s">
        <v>903</v>
      </c>
      <c r="N992" s="5">
        <v>2109.8000000000002</v>
      </c>
      <c r="O992" s="6">
        <v>9</v>
      </c>
      <c r="P992" s="7">
        <v>0.05</v>
      </c>
      <c r="Q992" s="18">
        <v>564.51</v>
      </c>
      <c r="R992" s="45" t="str">
        <f t="shared" si="60"/>
        <v>OK</v>
      </c>
      <c r="S992" s="45" t="e">
        <f t="shared" si="61"/>
        <v>#DIV/0!</v>
      </c>
      <c r="T992" s="45">
        <f t="shared" si="62"/>
        <v>0</v>
      </c>
      <c r="U992" s="45">
        <f t="shared" si="63"/>
        <v>0</v>
      </c>
    </row>
    <row r="993" spans="1:21" x14ac:dyDescent="0.3">
      <c r="A993" s="17" t="s">
        <v>2143</v>
      </c>
      <c r="B993" s="32">
        <v>45643</v>
      </c>
      <c r="C993" s="32">
        <v>45646</v>
      </c>
      <c r="D993" s="8" t="s">
        <v>18</v>
      </c>
      <c r="E993" s="8" t="s">
        <v>697</v>
      </c>
      <c r="F993" s="10" t="s">
        <v>698</v>
      </c>
      <c r="G993" s="10" t="s">
        <v>21</v>
      </c>
      <c r="H993" s="10" t="s">
        <v>319</v>
      </c>
      <c r="I993" s="10" t="s">
        <v>194</v>
      </c>
      <c r="J993" s="10" t="s">
        <v>34</v>
      </c>
      <c r="K993" s="10" t="s">
        <v>35</v>
      </c>
      <c r="L993" s="10" t="s">
        <v>229</v>
      </c>
      <c r="M993" s="10" t="s">
        <v>2144</v>
      </c>
      <c r="N993" s="11">
        <v>18.989999999999998</v>
      </c>
      <c r="O993" s="12">
        <v>2</v>
      </c>
      <c r="P993" s="13">
        <v>0.1</v>
      </c>
      <c r="Q993" s="19">
        <v>6.34</v>
      </c>
      <c r="R993" s="45" t="str">
        <f t="shared" si="60"/>
        <v>OK</v>
      </c>
      <c r="S993" s="45" t="e">
        <f t="shared" si="61"/>
        <v>#DIV/0!</v>
      </c>
      <c r="T993" s="45">
        <f t="shared" si="62"/>
        <v>0</v>
      </c>
      <c r="U993" s="45">
        <f t="shared" si="63"/>
        <v>0</v>
      </c>
    </row>
    <row r="994" spans="1:21" x14ac:dyDescent="0.3">
      <c r="A994" s="17" t="s">
        <v>2191</v>
      </c>
      <c r="B994" s="32">
        <v>45643</v>
      </c>
      <c r="C994" s="32">
        <v>45649</v>
      </c>
      <c r="D994" s="8" t="s">
        <v>29</v>
      </c>
      <c r="E994" s="8" t="s">
        <v>457</v>
      </c>
      <c r="F994" s="10" t="s">
        <v>458</v>
      </c>
      <c r="G994" s="10" t="s">
        <v>51</v>
      </c>
      <c r="H994" s="10" t="s">
        <v>459</v>
      </c>
      <c r="I994" s="10" t="s">
        <v>460</v>
      </c>
      <c r="J994" s="10" t="s">
        <v>54</v>
      </c>
      <c r="K994" s="10" t="s">
        <v>45</v>
      </c>
      <c r="L994" s="10" t="s">
        <v>99</v>
      </c>
      <c r="M994" s="10" t="s">
        <v>2192</v>
      </c>
      <c r="N994" s="11">
        <v>811.35</v>
      </c>
      <c r="O994" s="12">
        <v>9</v>
      </c>
      <c r="P994" s="13">
        <v>0.5</v>
      </c>
      <c r="Q994" s="19">
        <v>-336.09</v>
      </c>
      <c r="R994" s="45" t="str">
        <f t="shared" si="60"/>
        <v>OK</v>
      </c>
      <c r="S994" s="45" t="e">
        <f t="shared" si="61"/>
        <v>#DIV/0!</v>
      </c>
      <c r="T994" s="45">
        <f t="shared" si="62"/>
        <v>0</v>
      </c>
      <c r="U994" s="45">
        <f t="shared" si="63"/>
        <v>0</v>
      </c>
    </row>
    <row r="995" spans="1:21" x14ac:dyDescent="0.3">
      <c r="A995" s="16" t="s">
        <v>284</v>
      </c>
      <c r="B995" s="31">
        <v>45649</v>
      </c>
      <c r="C995" s="31">
        <v>45653</v>
      </c>
      <c r="D995" s="2" t="s">
        <v>73</v>
      </c>
      <c r="E995" s="2" t="s">
        <v>132</v>
      </c>
      <c r="F995" s="4" t="s">
        <v>133</v>
      </c>
      <c r="G995" s="4" t="s">
        <v>21</v>
      </c>
      <c r="H995" s="4" t="s">
        <v>134</v>
      </c>
      <c r="I995" s="4" t="s">
        <v>87</v>
      </c>
      <c r="J995" s="4" t="s">
        <v>88</v>
      </c>
      <c r="K995" s="4" t="s">
        <v>45</v>
      </c>
      <c r="L995" s="4" t="s">
        <v>46</v>
      </c>
      <c r="M995" s="4" t="s">
        <v>285</v>
      </c>
      <c r="N995" s="5">
        <v>2265.15</v>
      </c>
      <c r="O995" s="6">
        <v>5</v>
      </c>
      <c r="P995" s="7">
        <v>0</v>
      </c>
      <c r="Q995" s="18">
        <v>915.31</v>
      </c>
      <c r="R995" s="45" t="str">
        <f t="shared" si="60"/>
        <v>OK</v>
      </c>
      <c r="S995" s="45" t="e">
        <f t="shared" si="61"/>
        <v>#DIV/0!</v>
      </c>
      <c r="T995" s="45">
        <f t="shared" si="62"/>
        <v>0</v>
      </c>
      <c r="U995" s="45">
        <f t="shared" si="63"/>
        <v>0</v>
      </c>
    </row>
    <row r="996" spans="1:21" x14ac:dyDescent="0.3">
      <c r="A996" s="17" t="s">
        <v>881</v>
      </c>
      <c r="B996" s="32">
        <v>45649</v>
      </c>
      <c r="C996" s="32">
        <v>45652</v>
      </c>
      <c r="D996" s="8" t="s">
        <v>39</v>
      </c>
      <c r="E996" s="8" t="s">
        <v>30</v>
      </c>
      <c r="F996" s="10" t="s">
        <v>31</v>
      </c>
      <c r="G996" s="10" t="s">
        <v>21</v>
      </c>
      <c r="H996" s="10" t="s">
        <v>32</v>
      </c>
      <c r="I996" s="10" t="s">
        <v>33</v>
      </c>
      <c r="J996" s="10" t="s">
        <v>34</v>
      </c>
      <c r="K996" s="10" t="s">
        <v>45</v>
      </c>
      <c r="L996" s="10" t="s">
        <v>46</v>
      </c>
      <c r="M996" s="10" t="s">
        <v>882</v>
      </c>
      <c r="N996" s="11">
        <v>2169.9899999999998</v>
      </c>
      <c r="O996" s="12">
        <v>10</v>
      </c>
      <c r="P996" s="13">
        <v>0.1</v>
      </c>
      <c r="Q996" s="19">
        <v>520.70000000000005</v>
      </c>
      <c r="R996" s="45" t="str">
        <f t="shared" si="60"/>
        <v>OK</v>
      </c>
      <c r="S996" s="45" t="e">
        <f t="shared" si="61"/>
        <v>#DIV/0!</v>
      </c>
      <c r="T996" s="45">
        <f t="shared" si="62"/>
        <v>0</v>
      </c>
      <c r="U996" s="45">
        <f t="shared" si="63"/>
        <v>0</v>
      </c>
    </row>
    <row r="997" spans="1:21" x14ac:dyDescent="0.3">
      <c r="A997" s="16" t="s">
        <v>1806</v>
      </c>
      <c r="B997" s="31">
        <v>45651</v>
      </c>
      <c r="C997" s="31">
        <v>45655</v>
      </c>
      <c r="D997" s="2" t="s">
        <v>39</v>
      </c>
      <c r="E997" s="2" t="s">
        <v>277</v>
      </c>
      <c r="F997" s="4" t="s">
        <v>278</v>
      </c>
      <c r="G997" s="4" t="s">
        <v>21</v>
      </c>
      <c r="H997" s="4" t="s">
        <v>104</v>
      </c>
      <c r="I997" s="4" t="s">
        <v>105</v>
      </c>
      <c r="J997" s="4" t="s">
        <v>88</v>
      </c>
      <c r="K997" s="4" t="s">
        <v>45</v>
      </c>
      <c r="L997" s="4" t="s">
        <v>117</v>
      </c>
      <c r="M997" s="4" t="s">
        <v>1807</v>
      </c>
      <c r="N997" s="5">
        <v>1218.8499999999999</v>
      </c>
      <c r="O997" s="6">
        <v>6</v>
      </c>
      <c r="P997" s="7">
        <v>0.15</v>
      </c>
      <c r="Q997" s="18">
        <v>151.31</v>
      </c>
      <c r="R997" s="45" t="str">
        <f t="shared" si="60"/>
        <v>OK</v>
      </c>
      <c r="S997" s="45" t="e">
        <f t="shared" si="61"/>
        <v>#DIV/0!</v>
      </c>
      <c r="T997" s="45">
        <f t="shared" si="62"/>
        <v>0</v>
      </c>
      <c r="U997" s="45">
        <f t="shared" si="63"/>
        <v>0</v>
      </c>
    </row>
    <row r="998" spans="1:21" x14ac:dyDescent="0.3">
      <c r="A998" s="16" t="s">
        <v>1931</v>
      </c>
      <c r="B998" s="31">
        <v>45651</v>
      </c>
      <c r="C998" s="31">
        <v>45652</v>
      </c>
      <c r="D998" s="2" t="s">
        <v>18</v>
      </c>
      <c r="E998" s="2" t="s">
        <v>813</v>
      </c>
      <c r="F998" s="4" t="s">
        <v>814</v>
      </c>
      <c r="G998" s="4" t="s">
        <v>51</v>
      </c>
      <c r="H998" s="4" t="s">
        <v>134</v>
      </c>
      <c r="I998" s="4" t="s">
        <v>87</v>
      </c>
      <c r="J998" s="4" t="s">
        <v>88</v>
      </c>
      <c r="K998" s="4" t="s">
        <v>45</v>
      </c>
      <c r="L998" s="4" t="s">
        <v>61</v>
      </c>
      <c r="M998" s="4" t="s">
        <v>1932</v>
      </c>
      <c r="N998" s="5">
        <v>6754.08</v>
      </c>
      <c r="O998" s="6">
        <v>8</v>
      </c>
      <c r="P998" s="7">
        <v>0</v>
      </c>
      <c r="Q998" s="18">
        <v>1118.8599999999999</v>
      </c>
      <c r="R998" s="45" t="str">
        <f t="shared" si="60"/>
        <v>OK</v>
      </c>
      <c r="S998" s="45" t="e">
        <f t="shared" si="61"/>
        <v>#DIV/0!</v>
      </c>
      <c r="T998" s="45">
        <f t="shared" si="62"/>
        <v>0</v>
      </c>
      <c r="U998" s="45">
        <f t="shared" si="63"/>
        <v>0</v>
      </c>
    </row>
    <row r="999" spans="1:21" x14ac:dyDescent="0.3">
      <c r="A999" s="17" t="s">
        <v>1753</v>
      </c>
      <c r="B999" s="32">
        <v>45654</v>
      </c>
      <c r="C999" s="32">
        <v>45658</v>
      </c>
      <c r="D999" s="8" t="s">
        <v>73</v>
      </c>
      <c r="E999" s="8" t="s">
        <v>236</v>
      </c>
      <c r="F999" s="10" t="s">
        <v>237</v>
      </c>
      <c r="G999" s="10" t="s">
        <v>51</v>
      </c>
      <c r="H999" s="10" t="s">
        <v>22</v>
      </c>
      <c r="I999" s="10" t="s">
        <v>23</v>
      </c>
      <c r="J999" s="10" t="s">
        <v>24</v>
      </c>
      <c r="K999" s="10" t="s">
        <v>35</v>
      </c>
      <c r="L999" s="10" t="s">
        <v>216</v>
      </c>
      <c r="M999" s="10" t="s">
        <v>1754</v>
      </c>
      <c r="N999" s="11">
        <v>154.58000000000001</v>
      </c>
      <c r="O999" s="12">
        <v>5</v>
      </c>
      <c r="P999" s="13">
        <v>0.1</v>
      </c>
      <c r="Q999" s="19">
        <v>50.46</v>
      </c>
      <c r="R999" s="45" t="str">
        <f t="shared" si="60"/>
        <v>OK</v>
      </c>
      <c r="S999" s="45" t="e">
        <f t="shared" si="61"/>
        <v>#DIV/0!</v>
      </c>
      <c r="T999" s="45">
        <f t="shared" si="62"/>
        <v>0</v>
      </c>
      <c r="U999" s="45">
        <f t="shared" si="63"/>
        <v>0</v>
      </c>
    </row>
    <row r="1000" spans="1:21" x14ac:dyDescent="0.3">
      <c r="A1000" s="16" t="s">
        <v>2132</v>
      </c>
      <c r="B1000" s="31">
        <v>45654</v>
      </c>
      <c r="C1000" s="31">
        <v>45655</v>
      </c>
      <c r="D1000" s="2" t="s">
        <v>18</v>
      </c>
      <c r="E1000" s="2" t="s">
        <v>350</v>
      </c>
      <c r="F1000" s="4" t="s">
        <v>351</v>
      </c>
      <c r="G1000" s="4" t="s">
        <v>42</v>
      </c>
      <c r="H1000" s="4" t="s">
        <v>352</v>
      </c>
      <c r="I1000" s="4" t="s">
        <v>306</v>
      </c>
      <c r="J1000" s="4" t="s">
        <v>34</v>
      </c>
      <c r="K1000" s="4" t="s">
        <v>45</v>
      </c>
      <c r="L1000" s="4" t="s">
        <v>99</v>
      </c>
      <c r="M1000" s="4" t="s">
        <v>2133</v>
      </c>
      <c r="N1000" s="5">
        <v>166.91</v>
      </c>
      <c r="O1000" s="6">
        <v>-6</v>
      </c>
      <c r="P1000" s="7">
        <v>0.1</v>
      </c>
      <c r="Q1000" s="18">
        <v>27.65</v>
      </c>
      <c r="R1000" s="45" t="str">
        <f t="shared" si="60"/>
        <v>OK</v>
      </c>
      <c r="S1000" s="45" t="e">
        <f t="shared" si="61"/>
        <v>#DIV/0!</v>
      </c>
      <c r="T1000" s="45">
        <f t="shared" si="62"/>
        <v>0</v>
      </c>
      <c r="U1000" s="45">
        <f t="shared" si="63"/>
        <v>0</v>
      </c>
    </row>
    <row r="1001" spans="1:21" x14ac:dyDescent="0.3">
      <c r="A1001" s="17" t="s">
        <v>1868</v>
      </c>
      <c r="B1001" s="32">
        <v>45656</v>
      </c>
      <c r="C1001" s="32">
        <v>45657</v>
      </c>
      <c r="D1001" s="8" t="s">
        <v>18</v>
      </c>
      <c r="E1001" s="8" t="s">
        <v>472</v>
      </c>
      <c r="F1001" s="10" t="s">
        <v>473</v>
      </c>
      <c r="G1001" s="10" t="s">
        <v>51</v>
      </c>
      <c r="H1001" s="10" t="s">
        <v>32</v>
      </c>
      <c r="I1001" s="10" t="s">
        <v>33</v>
      </c>
      <c r="J1001" s="10" t="s">
        <v>34</v>
      </c>
      <c r="K1001" s="10" t="s">
        <v>35</v>
      </c>
      <c r="L1001" s="10" t="s">
        <v>36</v>
      </c>
      <c r="M1001" s="10" t="s">
        <v>1869</v>
      </c>
      <c r="N1001" s="11">
        <v>2415.1999999999998</v>
      </c>
      <c r="O1001" s="12">
        <v>-10</v>
      </c>
      <c r="P1001" s="13">
        <v>0</v>
      </c>
      <c r="Q1001" s="19">
        <v>916.9</v>
      </c>
      <c r="R1001" s="45" t="str">
        <f t="shared" si="60"/>
        <v>OK</v>
      </c>
      <c r="S1001" s="45" t="e">
        <f t="shared" si="61"/>
        <v>#DIV/0!</v>
      </c>
      <c r="T1001" s="45">
        <f t="shared" si="62"/>
        <v>0</v>
      </c>
      <c r="U1001" s="45">
        <f t="shared" si="63"/>
        <v>0</v>
      </c>
    </row>
    <row r="1002" spans="1:21" x14ac:dyDescent="0.3">
      <c r="A1002" s="16" t="s">
        <v>1222</v>
      </c>
      <c r="B1002" s="31">
        <v>45657</v>
      </c>
      <c r="C1002" s="31">
        <v>45660</v>
      </c>
      <c r="D1002" s="2" t="s">
        <v>18</v>
      </c>
      <c r="E1002" s="2" t="s">
        <v>924</v>
      </c>
      <c r="F1002" s="4" t="s">
        <v>925</v>
      </c>
      <c r="G1002" s="4" t="s">
        <v>42</v>
      </c>
      <c r="H1002" s="4" t="s">
        <v>79</v>
      </c>
      <c r="I1002" s="4" t="s">
        <v>80</v>
      </c>
      <c r="J1002" s="4" t="s">
        <v>54</v>
      </c>
      <c r="K1002" s="4" t="s">
        <v>45</v>
      </c>
      <c r="L1002" s="4" t="s">
        <v>61</v>
      </c>
      <c r="M1002" s="4" t="s">
        <v>1223</v>
      </c>
      <c r="N1002" s="5">
        <v>991.49</v>
      </c>
      <c r="O1002" s="6">
        <v>6</v>
      </c>
      <c r="P1002" s="7">
        <v>0.2</v>
      </c>
      <c r="Q1002" s="18">
        <v>-160.99</v>
      </c>
      <c r="R1002" s="45" t="str">
        <f t="shared" si="60"/>
        <v>OK</v>
      </c>
      <c r="S1002" s="45" t="e">
        <f t="shared" si="61"/>
        <v>#DIV/0!</v>
      </c>
      <c r="T1002" s="45">
        <f t="shared" si="62"/>
        <v>0</v>
      </c>
      <c r="U1002" s="45">
        <f t="shared" si="63"/>
        <v>0</v>
      </c>
    </row>
    <row r="1003" spans="1:21" x14ac:dyDescent="0.3">
      <c r="A1003" s="16" t="s">
        <v>1281</v>
      </c>
      <c r="B1003" s="31">
        <v>45657</v>
      </c>
      <c r="C1003" s="31">
        <v>45659</v>
      </c>
      <c r="D1003" s="2" t="s">
        <v>18</v>
      </c>
      <c r="E1003" s="2" t="s">
        <v>1070</v>
      </c>
      <c r="F1003" s="4" t="s">
        <v>1071</v>
      </c>
      <c r="G1003" s="4" t="s">
        <v>51</v>
      </c>
      <c r="H1003" s="4" t="s">
        <v>177</v>
      </c>
      <c r="I1003" s="4" t="s">
        <v>178</v>
      </c>
      <c r="J1003" s="4" t="s">
        <v>24</v>
      </c>
      <c r="K1003" s="4" t="s">
        <v>35</v>
      </c>
      <c r="L1003" s="4" t="s">
        <v>295</v>
      </c>
      <c r="M1003" s="4" t="s">
        <v>1282</v>
      </c>
      <c r="N1003" s="5">
        <v>8.82</v>
      </c>
      <c r="O1003" s="6">
        <v>1</v>
      </c>
      <c r="P1003" s="7">
        <v>0</v>
      </c>
      <c r="Q1003" s="18">
        <v>4.2300000000000004</v>
      </c>
      <c r="R1003" s="45" t="str">
        <f t="shared" si="60"/>
        <v>OK</v>
      </c>
      <c r="S1003" s="45" t="e">
        <f t="shared" si="61"/>
        <v>#DIV/0!</v>
      </c>
      <c r="T1003" s="45">
        <f t="shared" si="62"/>
        <v>0</v>
      </c>
      <c r="U1003" s="45">
        <f t="shared" si="63"/>
        <v>0</v>
      </c>
    </row>
    <row r="1004" spans="1:21" x14ac:dyDescent="0.3">
      <c r="A1004" s="16" t="s">
        <v>2028</v>
      </c>
      <c r="B1004" s="31">
        <v>45657</v>
      </c>
      <c r="C1004" s="31">
        <v>45660</v>
      </c>
      <c r="D1004" s="2" t="s">
        <v>39</v>
      </c>
      <c r="E1004" s="2" t="s">
        <v>1070</v>
      </c>
      <c r="F1004" s="4" t="s">
        <v>1071</v>
      </c>
      <c r="G1004" s="4" t="s">
        <v>51</v>
      </c>
      <c r="H1004" s="4" t="s">
        <v>177</v>
      </c>
      <c r="I1004" s="4" t="s">
        <v>178</v>
      </c>
      <c r="J1004" s="4" t="s">
        <v>24</v>
      </c>
      <c r="K1004" s="4" t="s">
        <v>25</v>
      </c>
      <c r="L1004" s="4" t="s">
        <v>124</v>
      </c>
      <c r="M1004" s="4" t="s">
        <v>2029</v>
      </c>
      <c r="N1004" s="5">
        <v>23704.11</v>
      </c>
      <c r="O1004" s="6">
        <v>9</v>
      </c>
      <c r="P1004" s="7">
        <v>0</v>
      </c>
      <c r="Q1004" s="18">
        <v>4069.89</v>
      </c>
      <c r="R1004" s="45" t="str">
        <f t="shared" si="60"/>
        <v>OK</v>
      </c>
      <c r="S1004" s="45" t="e">
        <f t="shared" si="61"/>
        <v>#DIV/0!</v>
      </c>
      <c r="T1004" s="45">
        <f t="shared" si="62"/>
        <v>0</v>
      </c>
      <c r="U1004" s="45">
        <f t="shared" si="63"/>
        <v>0</v>
      </c>
    </row>
    <row r="1005" spans="1:21" x14ac:dyDescent="0.3">
      <c r="A1005" s="17" t="s">
        <v>2239</v>
      </c>
      <c r="B1005" s="32">
        <v>45657</v>
      </c>
      <c r="C1005" s="32">
        <v>45658</v>
      </c>
      <c r="D1005" s="8" t="s">
        <v>18</v>
      </c>
      <c r="E1005" s="8" t="s">
        <v>1578</v>
      </c>
      <c r="F1005" s="10" t="s">
        <v>1579</v>
      </c>
      <c r="G1005" s="10" t="s">
        <v>51</v>
      </c>
      <c r="H1005" s="10" t="s">
        <v>207</v>
      </c>
      <c r="I1005" s="10" t="s">
        <v>60</v>
      </c>
      <c r="J1005" s="10" t="s">
        <v>54</v>
      </c>
      <c r="K1005" s="10" t="s">
        <v>35</v>
      </c>
      <c r="L1005" s="10" t="s">
        <v>81</v>
      </c>
      <c r="M1005" s="10" t="s">
        <v>2240</v>
      </c>
      <c r="N1005" s="11">
        <v>7.6</v>
      </c>
      <c r="O1005" s="12">
        <v>2</v>
      </c>
      <c r="P1005" s="13">
        <v>0.3</v>
      </c>
      <c r="Q1005" s="19">
        <v>2.74</v>
      </c>
      <c r="R1005" s="45" t="str">
        <f t="shared" si="60"/>
        <v>OK</v>
      </c>
      <c r="S1005" s="45" t="e">
        <f t="shared" si="61"/>
        <v>#DIV/0!</v>
      </c>
      <c r="T1005" s="45">
        <f t="shared" si="62"/>
        <v>0</v>
      </c>
      <c r="U1005" s="45">
        <f t="shared" si="63"/>
        <v>0</v>
      </c>
    </row>
    <row r="1006" spans="1:21" x14ac:dyDescent="0.3">
      <c r="A1006" s="23" t="s">
        <v>2391</v>
      </c>
      <c r="B1006" s="33">
        <v>45657</v>
      </c>
      <c r="C1006" s="33">
        <v>45663</v>
      </c>
      <c r="D1006" s="24" t="s">
        <v>29</v>
      </c>
      <c r="E1006" s="24" t="s">
        <v>472</v>
      </c>
      <c r="F1006" s="25" t="s">
        <v>473</v>
      </c>
      <c r="G1006" s="25" t="s">
        <v>51</v>
      </c>
      <c r="H1006" s="25" t="s">
        <v>32</v>
      </c>
      <c r="I1006" s="25" t="s">
        <v>33</v>
      </c>
      <c r="J1006" s="25" t="s">
        <v>34</v>
      </c>
      <c r="K1006" s="25" t="s">
        <v>25</v>
      </c>
      <c r="L1006" s="25" t="s">
        <v>74</v>
      </c>
      <c r="M1006" s="25" t="s">
        <v>2392</v>
      </c>
      <c r="N1006" s="26">
        <v>2144.38</v>
      </c>
      <c r="O1006" s="27">
        <v>5</v>
      </c>
      <c r="P1006" s="28">
        <v>0.15</v>
      </c>
      <c r="Q1006" s="29">
        <v>452.11</v>
      </c>
      <c r="R1006" s="45" t="str">
        <f t="shared" si="60"/>
        <v>OK</v>
      </c>
      <c r="S1006" s="45" t="e">
        <f t="shared" si="61"/>
        <v>#DIV/0!</v>
      </c>
      <c r="T1006" s="45">
        <f t="shared" si="62"/>
        <v>0</v>
      </c>
      <c r="U1006" s="45">
        <f t="shared" si="63"/>
        <v>0</v>
      </c>
    </row>
    <row r="1007" spans="1:21" s="43" customFormat="1" x14ac:dyDescent="0.3">
      <c r="A1007" s="35" t="s">
        <v>2530</v>
      </c>
      <c r="B1007" s="36"/>
      <c r="C1007" s="36"/>
      <c r="D1007" s="37" t="str">
        <f>PROPER(D2)</f>
        <v>Standard Class</v>
      </c>
      <c r="E1007" s="37"/>
      <c r="F1007" s="38"/>
      <c r="G1007" s="38"/>
      <c r="H1007" s="38"/>
      <c r="I1007" s="38"/>
      <c r="J1007" s="38">
        <f>COUNTIF(J2:J1006,"East")+COUNTIF(J2:J1006,"West")+COUNTIF(J2:J1006,"Central")+COUNTIF(J2:J1006,"South")</f>
        <v>1000</v>
      </c>
      <c r="K1007" s="38"/>
      <c r="L1007" s="38"/>
      <c r="M1007" s="38"/>
      <c r="N1007" s="39">
        <f ca="1">COUNTIF(N:N,"&lt;0")</f>
        <v>0</v>
      </c>
      <c r="O1007" s="40" t="str">
        <f>IF(AND(O2&gt;=0,O2&lt;=1),"Valid","Invalid")</f>
        <v>Invalid</v>
      </c>
      <c r="P1007" s="41"/>
      <c r="Q1007" s="42"/>
      <c r="R1007" s="46"/>
      <c r="S1007" s="46"/>
      <c r="T1007" s="46"/>
      <c r="U1007" s="46"/>
    </row>
    <row r="1008" spans="1:21" x14ac:dyDescent="0.3">
      <c r="O1008" s="44">
        <f>COUNTIF(O2:O1006,"&lt;0") + COUNTIF(O2:O1006,"&gt;1")</f>
        <v>904</v>
      </c>
    </row>
  </sheetData>
  <conditionalFormatting sqref="D1:D1048576">
    <cfRule type="expression" dxfId="11" priority="1">
      <formula>D2="second class"</formula>
    </cfRule>
    <cfRule type="expression" dxfId="10" priority="2">
      <formula>D2="standard class"</formula>
    </cfRule>
  </conditionalFormatting>
  <conditionalFormatting sqref="J2:J177">
    <cfRule type="expression" dxfId="9" priority="9">
      <formula>J2="west"</formula>
    </cfRule>
    <cfRule type="expression" dxfId="8" priority="10">
      <formula>J2="central"</formula>
    </cfRule>
    <cfRule type="expression" dxfId="7" priority="11">
      <formula>J2="east"</formula>
    </cfRule>
    <cfRule type="expression" dxfId="6" priority="12">
      <formula>J2="south"</formula>
    </cfRule>
  </conditionalFormatting>
  <conditionalFormatting sqref="K2:K1006">
    <cfRule type="expression" dxfId="5" priority="7">
      <formula>K2="furniture"</formula>
    </cfRule>
  </conditionalFormatting>
  <conditionalFormatting sqref="O2:O1006">
    <cfRule type="expression" dxfId="4" priority="4">
      <formula>O2&gt;5</formula>
    </cfRule>
    <cfRule type="expression" dxfId="3" priority="5">
      <formula>O2=5</formula>
    </cfRule>
    <cfRule type="expression" dxfId="2" priority="6">
      <formula>O2&lt;4</formula>
    </cfRule>
  </conditionalFormatting>
  <conditionalFormatting sqref="P2:P1006">
    <cfRule type="expression" dxfId="1" priority="3">
      <formula>P2=0</formula>
    </cfRule>
  </conditionalFormatting>
  <conditionalFormatting sqref="R1:R1048576">
    <cfRule type="colorScale" priority="14">
      <colorScale>
        <cfvo type="min"/>
        <cfvo type="max"/>
        <color rgb="FFFCFCFF"/>
        <color rgb="FF63BE7B"/>
      </colorScale>
    </cfRule>
  </conditionalFormatting>
  <conditionalFormatting sqref="R2:R1006">
    <cfRule type="expression" dxfId="0" priority="8">
      <formula>R2="error"</formula>
    </cfRule>
    <cfRule type="colorScale" priority="13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39D0-E1E3-4E37-950F-6B26ADD1A0B2}">
  <dimension ref="A1:E19"/>
  <sheetViews>
    <sheetView workbookViewId="0">
      <selection activeCell="E26" sqref="E26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2.109375" bestFit="1" customWidth="1"/>
    <col min="4" max="4" width="14.88671875" bestFit="1" customWidth="1"/>
    <col min="5" max="5" width="11.44140625" customWidth="1"/>
  </cols>
  <sheetData>
    <row r="1" spans="1:5" x14ac:dyDescent="0.3">
      <c r="A1" s="48" t="s">
        <v>13</v>
      </c>
      <c r="B1" t="s">
        <v>2539</v>
      </c>
    </row>
    <row r="3" spans="1:5" x14ac:dyDescent="0.3">
      <c r="A3" s="48" t="s">
        <v>2532</v>
      </c>
      <c r="B3" t="s">
        <v>2535</v>
      </c>
      <c r="C3" t="s">
        <v>2536</v>
      </c>
      <c r="D3" t="s">
        <v>2537</v>
      </c>
      <c r="E3" s="52" t="s">
        <v>2538</v>
      </c>
    </row>
    <row r="4" spans="1:5" x14ac:dyDescent="0.3">
      <c r="A4" s="49" t="s">
        <v>24</v>
      </c>
      <c r="B4" s="50">
        <v>540895.70000000019</v>
      </c>
      <c r="C4">
        <v>67233.959999999992</v>
      </c>
      <c r="D4" s="44">
        <v>1468</v>
      </c>
      <c r="E4">
        <f>GETPIVOTDATA("Sum of Profit",$A$3,"Region","Central")/GETPIVOTDATA("Sum of Sales",$A$3,"Region","Central")</f>
        <v>0.12430115454791001</v>
      </c>
    </row>
    <row r="5" spans="1:5" x14ac:dyDescent="0.3">
      <c r="A5" s="49" t="s">
        <v>54</v>
      </c>
      <c r="B5" s="50">
        <v>526654.71000000008</v>
      </c>
      <c r="C5">
        <v>29987.730000000007</v>
      </c>
      <c r="D5" s="44">
        <v>1298</v>
      </c>
      <c r="E5">
        <f t="shared" ref="E5:E8" si="0">GETPIVOTDATA("Sum of Profit",$A$3,"Region","Central")/GETPIVOTDATA("Sum of Sales",$A$3,"Region","Central")</f>
        <v>0.12430115454791001</v>
      </c>
    </row>
    <row r="6" spans="1:5" x14ac:dyDescent="0.3">
      <c r="A6" s="49" t="s">
        <v>88</v>
      </c>
      <c r="B6" s="50">
        <v>578328.12999999989</v>
      </c>
      <c r="C6">
        <v>60621.19000000001</v>
      </c>
      <c r="D6" s="44">
        <v>1510</v>
      </c>
      <c r="E6">
        <f t="shared" si="0"/>
        <v>0.12430115454791001</v>
      </c>
    </row>
    <row r="7" spans="1:5" x14ac:dyDescent="0.3">
      <c r="A7" s="49" t="s">
        <v>34</v>
      </c>
      <c r="B7" s="50">
        <v>448074.94999999984</v>
      </c>
      <c r="C7">
        <v>19719.370000000017</v>
      </c>
      <c r="D7" s="44">
        <v>1126</v>
      </c>
      <c r="E7">
        <f t="shared" si="0"/>
        <v>0.12430115454791001</v>
      </c>
    </row>
    <row r="8" spans="1:5" x14ac:dyDescent="0.3">
      <c r="A8" s="49" t="s">
        <v>2533</v>
      </c>
      <c r="B8" s="50">
        <v>2611.0399999999995</v>
      </c>
      <c r="C8">
        <v>887.93999999999994</v>
      </c>
      <c r="D8" s="44">
        <v>30</v>
      </c>
      <c r="E8">
        <f t="shared" si="0"/>
        <v>0.12430115454791001</v>
      </c>
    </row>
    <row r="9" spans="1:5" x14ac:dyDescent="0.3">
      <c r="A9" s="49" t="s">
        <v>2534</v>
      </c>
      <c r="B9" s="50">
        <v>2096564.5299999998</v>
      </c>
      <c r="C9">
        <v>178450.19000000003</v>
      </c>
      <c r="D9" s="44">
        <v>5432</v>
      </c>
      <c r="E9" s="51">
        <f>SUM(E4:E8)</f>
        <v>0.62150577273954999</v>
      </c>
    </row>
    <row r="10" spans="1:5" x14ac:dyDescent="0.3">
      <c r="E10" s="51"/>
    </row>
    <row r="13" spans="1:5" x14ac:dyDescent="0.3">
      <c r="A13" t="s">
        <v>2532</v>
      </c>
      <c r="B13" t="s">
        <v>2535</v>
      </c>
      <c r="C13" t="s">
        <v>2536</v>
      </c>
      <c r="D13" t="s">
        <v>2537</v>
      </c>
      <c r="E13" s="52" t="s">
        <v>2538</v>
      </c>
    </row>
    <row r="14" spans="1:5" x14ac:dyDescent="0.3">
      <c r="A14" s="49" t="s">
        <v>24</v>
      </c>
      <c r="B14" s="50">
        <v>540895.70000000019</v>
      </c>
      <c r="C14">
        <v>67233.959999999992</v>
      </c>
      <c r="D14" s="44">
        <v>1468</v>
      </c>
      <c r="E14">
        <f>GETPIVOTDATA("Sum of Profit",$A$3,"Region","Central")/GETPIVOTDATA("Sum of Sales",$A$3,"Region","Central")</f>
        <v>0.12430115454791001</v>
      </c>
    </row>
    <row r="15" spans="1:5" x14ac:dyDescent="0.3">
      <c r="A15" s="49" t="s">
        <v>54</v>
      </c>
      <c r="B15" s="50">
        <v>526654.71000000008</v>
      </c>
      <c r="C15">
        <v>29987.730000000007</v>
      </c>
      <c r="D15" s="44">
        <v>1298</v>
      </c>
      <c r="E15">
        <f t="shared" ref="E15:E18" si="1">GETPIVOTDATA("Sum of Profit",$A$3,"Region","Central")/GETPIVOTDATA("Sum of Sales",$A$3,"Region","Central")</f>
        <v>0.12430115454791001</v>
      </c>
    </row>
    <row r="16" spans="1:5" x14ac:dyDescent="0.3">
      <c r="A16" s="49" t="s">
        <v>88</v>
      </c>
      <c r="B16" s="50">
        <v>578328.12999999989</v>
      </c>
      <c r="C16">
        <v>60621.19000000001</v>
      </c>
      <c r="D16" s="44">
        <v>1510</v>
      </c>
      <c r="E16">
        <f t="shared" si="1"/>
        <v>0.12430115454791001</v>
      </c>
    </row>
    <row r="17" spans="1:5" x14ac:dyDescent="0.3">
      <c r="A17" s="49" t="s">
        <v>34</v>
      </c>
      <c r="B17" s="50">
        <v>448074.94999999984</v>
      </c>
      <c r="C17">
        <v>19719.370000000017</v>
      </c>
      <c r="D17" s="44">
        <v>1126</v>
      </c>
      <c r="E17">
        <f t="shared" si="1"/>
        <v>0.12430115454791001</v>
      </c>
    </row>
    <row r="18" spans="1:5" x14ac:dyDescent="0.3">
      <c r="A18" s="49" t="s">
        <v>2533</v>
      </c>
      <c r="B18" s="50">
        <v>2611.0399999999995</v>
      </c>
      <c r="C18">
        <v>887.93999999999994</v>
      </c>
      <c r="D18" s="44">
        <v>30</v>
      </c>
      <c r="E18">
        <f t="shared" si="1"/>
        <v>0.12430115454791001</v>
      </c>
    </row>
    <row r="19" spans="1:5" x14ac:dyDescent="0.3">
      <c r="A19" s="49" t="s">
        <v>2534</v>
      </c>
      <c r="B19" s="50">
        <v>2096564.5299999998</v>
      </c>
      <c r="C19">
        <v>178450.19000000003</v>
      </c>
      <c r="D19" s="44">
        <v>5432</v>
      </c>
      <c r="E19" s="51">
        <f>SUM(E14:E18)</f>
        <v>0.62150577273954999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AB2-2817-4CFF-9231-3C86B86198BD}">
  <dimension ref="A3:D48"/>
  <sheetViews>
    <sheetView zoomScale="66" workbookViewId="0">
      <selection activeCell="U14" sqref="U14"/>
    </sheetView>
  </sheetViews>
  <sheetFormatPr defaultRowHeight="14.4" x14ac:dyDescent="0.3"/>
  <cols>
    <col min="1" max="1" width="15.5546875" bestFit="1" customWidth="1"/>
    <col min="2" max="2" width="12.6640625" bestFit="1" customWidth="1"/>
    <col min="3" max="3" width="12.109375" bestFit="1" customWidth="1"/>
    <col min="4" max="4" width="15.88671875" bestFit="1" customWidth="1"/>
  </cols>
  <sheetData>
    <row r="3" spans="1:4" x14ac:dyDescent="0.3">
      <c r="A3" s="48" t="s">
        <v>2532</v>
      </c>
      <c r="B3" t="s">
        <v>2535</v>
      </c>
      <c r="C3" t="s">
        <v>2536</v>
      </c>
      <c r="D3" t="s">
        <v>2540</v>
      </c>
    </row>
    <row r="4" spans="1:4" x14ac:dyDescent="0.3">
      <c r="A4" s="49" t="s">
        <v>45</v>
      </c>
      <c r="B4" s="53">
        <v>486515.56999999995</v>
      </c>
      <c r="C4">
        <v>29493.219999999979</v>
      </c>
      <c r="D4">
        <v>327</v>
      </c>
    </row>
    <row r="5" spans="1:4" x14ac:dyDescent="0.3">
      <c r="A5" s="55" t="s">
        <v>46</v>
      </c>
      <c r="B5" s="53">
        <v>166018.63999999998</v>
      </c>
      <c r="C5">
        <v>38111.550000000003</v>
      </c>
      <c r="D5">
        <v>79</v>
      </c>
    </row>
    <row r="6" spans="1:4" x14ac:dyDescent="0.3">
      <c r="A6" s="55" t="s">
        <v>117</v>
      </c>
      <c r="B6" s="53">
        <v>107112.60999999999</v>
      </c>
      <c r="C6">
        <v>13231.900000000001</v>
      </c>
      <c r="D6">
        <v>80</v>
      </c>
    </row>
    <row r="7" spans="1:4" x14ac:dyDescent="0.3">
      <c r="A7" s="55" t="s">
        <v>99</v>
      </c>
      <c r="B7" s="53">
        <v>36670.910000000003</v>
      </c>
      <c r="C7">
        <v>6951.8500000000013</v>
      </c>
      <c r="D7">
        <v>84</v>
      </c>
    </row>
    <row r="8" spans="1:4" x14ac:dyDescent="0.3">
      <c r="A8" s="55" t="s">
        <v>61</v>
      </c>
      <c r="B8" s="53">
        <v>176713.40999999995</v>
      </c>
      <c r="C8">
        <v>-28802.079999999998</v>
      </c>
      <c r="D8">
        <v>84</v>
      </c>
    </row>
    <row r="9" spans="1:4" x14ac:dyDescent="0.3">
      <c r="A9" s="49" t="s">
        <v>35</v>
      </c>
      <c r="B9" s="53">
        <v>98740.61000000003</v>
      </c>
      <c r="C9">
        <v>26399.910000000014</v>
      </c>
      <c r="D9">
        <v>307</v>
      </c>
    </row>
    <row r="10" spans="1:4" x14ac:dyDescent="0.3">
      <c r="A10" s="55" t="s">
        <v>36</v>
      </c>
      <c r="B10" s="53">
        <v>28695.88</v>
      </c>
      <c r="C10">
        <v>7832.3199999999979</v>
      </c>
      <c r="D10">
        <v>39</v>
      </c>
    </row>
    <row r="11" spans="1:4" x14ac:dyDescent="0.3">
      <c r="A11" s="55" t="s">
        <v>216</v>
      </c>
      <c r="B11" s="53">
        <v>4077.6499999999996</v>
      </c>
      <c r="C11">
        <v>1491.87</v>
      </c>
      <c r="D11">
        <v>32</v>
      </c>
    </row>
    <row r="12" spans="1:4" x14ac:dyDescent="0.3">
      <c r="A12" s="55" t="s">
        <v>158</v>
      </c>
      <c r="B12" s="53">
        <v>9877.27</v>
      </c>
      <c r="C12">
        <v>2180.9499999999998</v>
      </c>
      <c r="D12">
        <v>29</v>
      </c>
    </row>
    <row r="13" spans="1:4" x14ac:dyDescent="0.3">
      <c r="A13" s="55" t="s">
        <v>81</v>
      </c>
      <c r="B13" s="53">
        <v>2072.35</v>
      </c>
      <c r="C13">
        <v>850.95999999999992</v>
      </c>
      <c r="D13">
        <v>32</v>
      </c>
    </row>
    <row r="14" spans="1:4" x14ac:dyDescent="0.3">
      <c r="A14" s="55" t="s">
        <v>229</v>
      </c>
      <c r="B14" s="53">
        <v>1182.7200000000003</v>
      </c>
      <c r="C14">
        <v>487.08</v>
      </c>
      <c r="D14">
        <v>23</v>
      </c>
    </row>
    <row r="15" spans="1:4" x14ac:dyDescent="0.3">
      <c r="A15" s="55" t="s">
        <v>110</v>
      </c>
      <c r="B15" s="53">
        <v>4696.4700000000012</v>
      </c>
      <c r="C15">
        <v>1601.98</v>
      </c>
      <c r="D15">
        <v>40</v>
      </c>
    </row>
    <row r="16" spans="1:4" x14ac:dyDescent="0.3">
      <c r="A16" s="55" t="s">
        <v>295</v>
      </c>
      <c r="B16" s="53">
        <v>5928.04</v>
      </c>
      <c r="C16">
        <v>2396.3299999999995</v>
      </c>
      <c r="D16">
        <v>34</v>
      </c>
    </row>
    <row r="17" spans="1:4" x14ac:dyDescent="0.3">
      <c r="A17" s="55" t="s">
        <v>89</v>
      </c>
      <c r="B17" s="53">
        <v>31965.82</v>
      </c>
      <c r="C17">
        <v>7915.1</v>
      </c>
      <c r="D17">
        <v>38</v>
      </c>
    </row>
    <row r="18" spans="1:4" x14ac:dyDescent="0.3">
      <c r="A18" s="55" t="s">
        <v>166</v>
      </c>
      <c r="B18" s="53">
        <v>10244.41</v>
      </c>
      <c r="C18">
        <v>1643.32</v>
      </c>
      <c r="D18">
        <v>40</v>
      </c>
    </row>
    <row r="19" spans="1:4" x14ac:dyDescent="0.3">
      <c r="A19" s="49" t="s">
        <v>25</v>
      </c>
      <c r="B19" s="53">
        <v>1511308.3500000013</v>
      </c>
      <c r="C19">
        <v>122557.05999999991</v>
      </c>
      <c r="D19">
        <v>371</v>
      </c>
    </row>
    <row r="20" spans="1:4" x14ac:dyDescent="0.3">
      <c r="A20" s="55" t="s">
        <v>68</v>
      </c>
      <c r="B20" s="53">
        <v>44766.960000000021</v>
      </c>
      <c r="C20">
        <v>11237.150000000001</v>
      </c>
      <c r="D20">
        <v>85</v>
      </c>
    </row>
    <row r="21" spans="1:4" x14ac:dyDescent="0.3">
      <c r="A21" s="55" t="s">
        <v>124</v>
      </c>
      <c r="B21" s="53">
        <v>950384.67000000016</v>
      </c>
      <c r="C21">
        <v>66391.349999999991</v>
      </c>
      <c r="D21">
        <v>104</v>
      </c>
    </row>
    <row r="22" spans="1:4" x14ac:dyDescent="0.3">
      <c r="A22" s="55" t="s">
        <v>26</v>
      </c>
      <c r="B22" s="53">
        <v>345270.41000000003</v>
      </c>
      <c r="C22">
        <v>506.900000000001</v>
      </c>
      <c r="D22">
        <v>82</v>
      </c>
    </row>
    <row r="23" spans="1:4" x14ac:dyDescent="0.3">
      <c r="A23" s="55" t="s">
        <v>74</v>
      </c>
      <c r="B23" s="53">
        <v>170886.31</v>
      </c>
      <c r="C23">
        <v>44421.66000000004</v>
      </c>
      <c r="D23">
        <v>100</v>
      </c>
    </row>
    <row r="24" spans="1:4" x14ac:dyDescent="0.3">
      <c r="A24" s="49" t="s">
        <v>2534</v>
      </c>
      <c r="B24" s="53">
        <v>2096564.5300000012</v>
      </c>
      <c r="C24">
        <v>178450.19000000003</v>
      </c>
      <c r="D24">
        <v>1005</v>
      </c>
    </row>
    <row r="27" spans="1:4" x14ac:dyDescent="0.3">
      <c r="A27" s="48" t="s">
        <v>2532</v>
      </c>
      <c r="B27" s="48" t="s">
        <v>2535</v>
      </c>
      <c r="C27" t="s">
        <v>2536</v>
      </c>
      <c r="D27" t="s">
        <v>2540</v>
      </c>
    </row>
    <row r="28" spans="1:4" x14ac:dyDescent="0.3">
      <c r="A28" s="49" t="s">
        <v>45</v>
      </c>
      <c r="B28" s="53">
        <v>486515.56999999995</v>
      </c>
      <c r="C28">
        <v>29493.219999999979</v>
      </c>
      <c r="D28">
        <v>327</v>
      </c>
    </row>
    <row r="29" spans="1:4" x14ac:dyDescent="0.3">
      <c r="A29" s="55" t="s">
        <v>46</v>
      </c>
      <c r="B29" s="53">
        <v>166018.63999999998</v>
      </c>
      <c r="C29">
        <v>38111.550000000003</v>
      </c>
      <c r="D29">
        <v>79</v>
      </c>
    </row>
    <row r="30" spans="1:4" x14ac:dyDescent="0.3">
      <c r="A30" s="55" t="s">
        <v>117</v>
      </c>
      <c r="B30" s="53">
        <v>107112.60999999999</v>
      </c>
      <c r="C30">
        <v>13231.900000000001</v>
      </c>
      <c r="D30">
        <v>80</v>
      </c>
    </row>
    <row r="31" spans="1:4" x14ac:dyDescent="0.3">
      <c r="A31" s="55" t="s">
        <v>99</v>
      </c>
      <c r="B31" s="53">
        <v>36670.910000000003</v>
      </c>
      <c r="C31">
        <v>6951.8500000000013</v>
      </c>
      <c r="D31">
        <v>84</v>
      </c>
    </row>
    <row r="32" spans="1:4" x14ac:dyDescent="0.3">
      <c r="A32" s="55" t="s">
        <v>61</v>
      </c>
      <c r="B32" s="53">
        <v>176713.40999999995</v>
      </c>
      <c r="C32">
        <v>-28802.079999999998</v>
      </c>
      <c r="D32">
        <v>84</v>
      </c>
    </row>
    <row r="33" spans="1:4" x14ac:dyDescent="0.3">
      <c r="A33" s="49" t="s">
        <v>35</v>
      </c>
      <c r="B33" s="53">
        <v>98740.61000000003</v>
      </c>
      <c r="C33">
        <v>26399.910000000014</v>
      </c>
      <c r="D33">
        <v>307</v>
      </c>
    </row>
    <row r="34" spans="1:4" x14ac:dyDescent="0.3">
      <c r="A34" s="55" t="s">
        <v>36</v>
      </c>
      <c r="B34" s="53">
        <v>28695.88</v>
      </c>
      <c r="C34">
        <v>7832.3199999999979</v>
      </c>
      <c r="D34">
        <v>39</v>
      </c>
    </row>
    <row r="35" spans="1:4" x14ac:dyDescent="0.3">
      <c r="A35" s="55" t="s">
        <v>216</v>
      </c>
      <c r="B35" s="53">
        <v>4077.6499999999996</v>
      </c>
      <c r="C35">
        <v>1491.87</v>
      </c>
      <c r="D35">
        <v>32</v>
      </c>
    </row>
    <row r="36" spans="1:4" x14ac:dyDescent="0.3">
      <c r="A36" s="55" t="s">
        <v>158</v>
      </c>
      <c r="B36" s="53">
        <v>9877.27</v>
      </c>
      <c r="C36">
        <v>2180.9499999999998</v>
      </c>
      <c r="D36">
        <v>29</v>
      </c>
    </row>
    <row r="37" spans="1:4" x14ac:dyDescent="0.3">
      <c r="A37" s="55" t="s">
        <v>81</v>
      </c>
      <c r="B37" s="53">
        <v>2072.35</v>
      </c>
      <c r="C37">
        <v>850.95999999999992</v>
      </c>
      <c r="D37">
        <v>32</v>
      </c>
    </row>
    <row r="38" spans="1:4" x14ac:dyDescent="0.3">
      <c r="A38" s="55" t="s">
        <v>229</v>
      </c>
      <c r="B38" s="53">
        <v>1182.7200000000003</v>
      </c>
      <c r="C38">
        <v>487.08</v>
      </c>
      <c r="D38">
        <v>23</v>
      </c>
    </row>
    <row r="39" spans="1:4" x14ac:dyDescent="0.3">
      <c r="A39" s="55" t="s">
        <v>110</v>
      </c>
      <c r="B39" s="53">
        <v>4696.4700000000012</v>
      </c>
      <c r="C39">
        <v>1601.98</v>
      </c>
      <c r="D39">
        <v>40</v>
      </c>
    </row>
    <row r="40" spans="1:4" x14ac:dyDescent="0.3">
      <c r="A40" s="55" t="s">
        <v>295</v>
      </c>
      <c r="B40" s="53">
        <v>5928.04</v>
      </c>
      <c r="C40">
        <v>2396.3299999999995</v>
      </c>
      <c r="D40">
        <v>34</v>
      </c>
    </row>
    <row r="41" spans="1:4" x14ac:dyDescent="0.3">
      <c r="A41" s="55" t="s">
        <v>89</v>
      </c>
      <c r="B41" s="53">
        <v>31965.82</v>
      </c>
      <c r="C41">
        <v>7915.1</v>
      </c>
      <c r="D41">
        <v>38</v>
      </c>
    </row>
    <row r="42" spans="1:4" x14ac:dyDescent="0.3">
      <c r="A42" s="55" t="s">
        <v>166</v>
      </c>
      <c r="B42" s="53">
        <v>10244.41</v>
      </c>
      <c r="C42">
        <v>1643.32</v>
      </c>
      <c r="D42">
        <v>40</v>
      </c>
    </row>
    <row r="43" spans="1:4" x14ac:dyDescent="0.3">
      <c r="A43" s="49" t="s">
        <v>25</v>
      </c>
      <c r="B43" s="53">
        <v>1511308.3500000013</v>
      </c>
      <c r="C43">
        <v>122557.05999999991</v>
      </c>
      <c r="D43">
        <v>371</v>
      </c>
    </row>
    <row r="44" spans="1:4" x14ac:dyDescent="0.3">
      <c r="A44" s="55" t="s">
        <v>68</v>
      </c>
      <c r="B44" s="53">
        <v>44766.960000000021</v>
      </c>
      <c r="C44">
        <v>11237.150000000001</v>
      </c>
      <c r="D44">
        <v>85</v>
      </c>
    </row>
    <row r="45" spans="1:4" x14ac:dyDescent="0.3">
      <c r="A45" s="55" t="s">
        <v>124</v>
      </c>
      <c r="B45" s="53">
        <v>950384.67000000016</v>
      </c>
      <c r="C45">
        <v>66391.349999999991</v>
      </c>
      <c r="D45">
        <v>104</v>
      </c>
    </row>
    <row r="46" spans="1:4" x14ac:dyDescent="0.3">
      <c r="A46" s="55" t="s">
        <v>26</v>
      </c>
      <c r="B46" s="53">
        <v>345270.41000000003</v>
      </c>
      <c r="C46">
        <v>506.900000000001</v>
      </c>
      <c r="D46">
        <v>82</v>
      </c>
    </row>
    <row r="47" spans="1:4" x14ac:dyDescent="0.3">
      <c r="A47" s="55" t="s">
        <v>74</v>
      </c>
      <c r="B47" s="53">
        <v>170886.31</v>
      </c>
      <c r="C47">
        <v>44421.66000000004</v>
      </c>
      <c r="D47">
        <v>100</v>
      </c>
    </row>
    <row r="48" spans="1:4" x14ac:dyDescent="0.3">
      <c r="A48" s="49" t="s">
        <v>2534</v>
      </c>
      <c r="B48" s="53">
        <v>2096564.5300000012</v>
      </c>
      <c r="C48">
        <v>178450.19000000003</v>
      </c>
      <c r="D48">
        <v>1005</v>
      </c>
    </row>
  </sheetData>
  <conditionalFormatting pivot="1" sqref="B4">
    <cfRule type="expression" dxfId="63" priority="2">
      <formula>$B$4:$B$7&lt;400000</formula>
    </cfRule>
  </conditionalFormatting>
  <conditionalFormatting pivot="1" sqref="B28">
    <cfRule type="expression" dxfId="62" priority="1">
      <formula>$B$4:$B$7&lt;400000</formula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CD92-B15F-4E60-959B-7A06DF7A54DE}">
  <dimension ref="A3:D20"/>
  <sheetViews>
    <sheetView topLeftCell="B1" zoomScale="86" workbookViewId="0">
      <selection activeCell="C3" activeCellId="1" sqref="A3:A20 C3:D20"/>
    </sheetView>
  </sheetViews>
  <sheetFormatPr defaultRowHeight="14.4" x14ac:dyDescent="0.3"/>
  <cols>
    <col min="1" max="1" width="13.33203125" bestFit="1" customWidth="1"/>
    <col min="2" max="2" width="12.77734375" bestFit="1" customWidth="1"/>
    <col min="3" max="3" width="12.6640625" bestFit="1" customWidth="1"/>
    <col min="4" max="4" width="16.6640625" bestFit="1" customWidth="1"/>
  </cols>
  <sheetData>
    <row r="3" spans="1:4" x14ac:dyDescent="0.3">
      <c r="A3" s="48" t="s">
        <v>2532</v>
      </c>
      <c r="B3" t="s">
        <v>2535</v>
      </c>
      <c r="C3" t="s">
        <v>2536</v>
      </c>
      <c r="D3" t="s">
        <v>2540</v>
      </c>
    </row>
    <row r="4" spans="1:4" x14ac:dyDescent="0.3">
      <c r="A4" s="49" t="s">
        <v>2541</v>
      </c>
      <c r="B4" s="50">
        <v>508796.82000000007</v>
      </c>
      <c r="C4">
        <v>65896.029999999926</v>
      </c>
      <c r="D4">
        <v>253</v>
      </c>
    </row>
    <row r="5" spans="1:4" x14ac:dyDescent="0.3">
      <c r="A5" s="55" t="s">
        <v>2545</v>
      </c>
      <c r="B5" s="50">
        <v>46729.689999999995</v>
      </c>
      <c r="C5">
        <v>7149.63</v>
      </c>
      <c r="D5">
        <v>24</v>
      </c>
    </row>
    <row r="6" spans="1:4" x14ac:dyDescent="0.3">
      <c r="A6" s="55" t="s">
        <v>2546</v>
      </c>
      <c r="B6" s="50">
        <v>34939.9</v>
      </c>
      <c r="C6">
        <v>3923.8100000000004</v>
      </c>
      <c r="D6">
        <v>20</v>
      </c>
    </row>
    <row r="7" spans="1:4" x14ac:dyDescent="0.3">
      <c r="A7" s="55" t="s">
        <v>2547</v>
      </c>
      <c r="B7" s="50">
        <v>38978.030000000006</v>
      </c>
      <c r="C7">
        <v>5084.76</v>
      </c>
      <c r="D7">
        <v>18</v>
      </c>
    </row>
    <row r="8" spans="1:4" x14ac:dyDescent="0.3">
      <c r="A8" s="55" t="s">
        <v>2548</v>
      </c>
      <c r="B8" s="50">
        <v>20383.730000000003</v>
      </c>
      <c r="C8">
        <v>3902.4600000000005</v>
      </c>
      <c r="D8">
        <v>19</v>
      </c>
    </row>
    <row r="9" spans="1:4" x14ac:dyDescent="0.3">
      <c r="A9" s="55" t="s">
        <v>2549</v>
      </c>
      <c r="B9" s="50">
        <v>36932.69</v>
      </c>
      <c r="C9">
        <v>2897.09</v>
      </c>
      <c r="D9">
        <v>22</v>
      </c>
    </row>
    <row r="10" spans="1:4" x14ac:dyDescent="0.3">
      <c r="A10" s="55" t="s">
        <v>2550</v>
      </c>
      <c r="B10" s="50">
        <v>49366.96</v>
      </c>
      <c r="C10">
        <v>5282.130000000001</v>
      </c>
      <c r="D10">
        <v>16</v>
      </c>
    </row>
    <row r="11" spans="1:4" x14ac:dyDescent="0.3">
      <c r="A11" s="55" t="s">
        <v>2551</v>
      </c>
      <c r="B11" s="50">
        <v>33114.26</v>
      </c>
      <c r="C11">
        <v>3608.55</v>
      </c>
      <c r="D11">
        <v>21</v>
      </c>
    </row>
    <row r="12" spans="1:4" x14ac:dyDescent="0.3">
      <c r="A12" s="55" t="s">
        <v>2552</v>
      </c>
      <c r="B12" s="50">
        <v>53619.82</v>
      </c>
      <c r="C12">
        <v>9376.9100000000017</v>
      </c>
      <c r="D12">
        <v>25</v>
      </c>
    </row>
    <row r="13" spans="1:4" x14ac:dyDescent="0.3">
      <c r="A13" s="55" t="s">
        <v>2553</v>
      </c>
      <c r="B13" s="50">
        <v>22653.98</v>
      </c>
      <c r="C13">
        <v>6356.91</v>
      </c>
      <c r="D13">
        <v>24</v>
      </c>
    </row>
    <row r="14" spans="1:4" x14ac:dyDescent="0.3">
      <c r="A14" s="55" t="s">
        <v>2554</v>
      </c>
      <c r="B14" s="50">
        <v>49688.139999999992</v>
      </c>
      <c r="C14">
        <v>2334.96</v>
      </c>
      <c r="D14">
        <v>20</v>
      </c>
    </row>
    <row r="15" spans="1:4" x14ac:dyDescent="0.3">
      <c r="A15" s="55" t="s">
        <v>2555</v>
      </c>
      <c r="B15" s="50">
        <v>44590.560000000012</v>
      </c>
      <c r="C15">
        <v>5036.630000000001</v>
      </c>
      <c r="D15">
        <v>24</v>
      </c>
    </row>
    <row r="16" spans="1:4" x14ac:dyDescent="0.3">
      <c r="A16" s="55" t="s">
        <v>2556</v>
      </c>
      <c r="B16" s="50">
        <v>77799.060000000012</v>
      </c>
      <c r="C16">
        <v>10942.189999999997</v>
      </c>
      <c r="D16">
        <v>20</v>
      </c>
    </row>
    <row r="17" spans="1:4" x14ac:dyDescent="0.3">
      <c r="A17" s="49" t="s">
        <v>2542</v>
      </c>
      <c r="B17" s="50">
        <v>402582.08999999979</v>
      </c>
      <c r="C17">
        <v>39601.390000000014</v>
      </c>
      <c r="D17">
        <v>235</v>
      </c>
    </row>
    <row r="18" spans="1:4" x14ac:dyDescent="0.3">
      <c r="A18" s="49" t="s">
        <v>2543</v>
      </c>
      <c r="B18" s="50">
        <v>596505.6100000001</v>
      </c>
      <c r="C18">
        <v>47028.590000000004</v>
      </c>
      <c r="D18">
        <v>248</v>
      </c>
    </row>
    <row r="19" spans="1:4" x14ac:dyDescent="0.3">
      <c r="A19" s="49" t="s">
        <v>2544</v>
      </c>
      <c r="B19" s="50">
        <v>588680.01</v>
      </c>
      <c r="C19">
        <v>25924.18</v>
      </c>
      <c r="D19">
        <v>269</v>
      </c>
    </row>
    <row r="20" spans="1:4" x14ac:dyDescent="0.3">
      <c r="A20" s="49" t="s">
        <v>2534</v>
      </c>
      <c r="B20" s="50">
        <v>2096564.5299999996</v>
      </c>
      <c r="C20">
        <v>178450.18999999989</v>
      </c>
      <c r="D20">
        <v>1005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ECE9-BD44-4507-8502-ACE491AB4070}">
  <dimension ref="A1:D16"/>
  <sheetViews>
    <sheetView topLeftCell="A7"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2.109375" bestFit="1" customWidth="1"/>
    <col min="4" max="4" width="15.88671875" bestFit="1" customWidth="1"/>
  </cols>
  <sheetData>
    <row r="1" spans="1:4" x14ac:dyDescent="0.3">
      <c r="A1" s="48" t="s">
        <v>4</v>
      </c>
      <c r="B1" t="s">
        <v>2539</v>
      </c>
    </row>
    <row r="3" spans="1:4" x14ac:dyDescent="0.3">
      <c r="A3" s="48" t="s">
        <v>2532</v>
      </c>
      <c r="B3" t="s">
        <v>2535</v>
      </c>
      <c r="C3" t="s">
        <v>2536</v>
      </c>
      <c r="D3" t="s">
        <v>2540</v>
      </c>
    </row>
    <row r="4" spans="1:4" x14ac:dyDescent="0.3">
      <c r="A4" s="49" t="s">
        <v>2541</v>
      </c>
      <c r="B4" s="50">
        <v>508796.82000000007</v>
      </c>
      <c r="C4">
        <v>65896.029999999926</v>
      </c>
      <c r="D4">
        <v>253</v>
      </c>
    </row>
    <row r="5" spans="1:4" x14ac:dyDescent="0.3">
      <c r="A5" s="49" t="s">
        <v>2542</v>
      </c>
      <c r="B5" s="50">
        <v>402582.08999999979</v>
      </c>
      <c r="C5">
        <v>39601.390000000014</v>
      </c>
      <c r="D5">
        <v>235</v>
      </c>
    </row>
    <row r="6" spans="1:4" x14ac:dyDescent="0.3">
      <c r="A6" s="49" t="s">
        <v>2543</v>
      </c>
      <c r="B6" s="50">
        <v>596505.6100000001</v>
      </c>
      <c r="C6">
        <v>47028.590000000004</v>
      </c>
      <c r="D6">
        <v>248</v>
      </c>
    </row>
    <row r="7" spans="1:4" x14ac:dyDescent="0.3">
      <c r="A7" s="49" t="s">
        <v>2544</v>
      </c>
      <c r="B7" s="50">
        <v>588680.01</v>
      </c>
      <c r="C7">
        <v>25924.18</v>
      </c>
      <c r="D7">
        <v>269</v>
      </c>
    </row>
    <row r="8" spans="1:4" x14ac:dyDescent="0.3">
      <c r="A8" s="49" t="s">
        <v>2534</v>
      </c>
      <c r="B8" s="50">
        <v>2096564.5299999996</v>
      </c>
      <c r="C8">
        <v>178450.18999999989</v>
      </c>
      <c r="D8">
        <v>1005</v>
      </c>
    </row>
    <row r="11" spans="1:4" x14ac:dyDescent="0.3">
      <c r="A11" s="54" t="s">
        <v>2532</v>
      </c>
      <c r="B11" s="54" t="s">
        <v>2535</v>
      </c>
      <c r="C11" s="54" t="s">
        <v>2536</v>
      </c>
      <c r="D11" s="54" t="s">
        <v>2540</v>
      </c>
    </row>
    <row r="12" spans="1:4" x14ac:dyDescent="0.3">
      <c r="A12" s="56" t="s">
        <v>2541</v>
      </c>
      <c r="B12" s="57">
        <v>508796.82000000007</v>
      </c>
      <c r="C12" s="58">
        <v>65896.029999999926</v>
      </c>
      <c r="D12" s="58">
        <v>253</v>
      </c>
    </row>
    <row r="13" spans="1:4" x14ac:dyDescent="0.3">
      <c r="A13" s="56" t="s">
        <v>2542</v>
      </c>
      <c r="B13" s="57">
        <v>402582.08999999979</v>
      </c>
      <c r="C13" s="58">
        <v>39601.390000000014</v>
      </c>
      <c r="D13" s="58">
        <v>235</v>
      </c>
    </row>
    <row r="14" spans="1:4" x14ac:dyDescent="0.3">
      <c r="A14" s="56" t="s">
        <v>2543</v>
      </c>
      <c r="B14" s="57">
        <v>596505.6100000001</v>
      </c>
      <c r="C14" s="58">
        <v>47028.590000000004</v>
      </c>
      <c r="D14" s="58">
        <v>248</v>
      </c>
    </row>
    <row r="15" spans="1:4" x14ac:dyDescent="0.3">
      <c r="A15" s="56" t="s">
        <v>2544</v>
      </c>
      <c r="B15" s="57">
        <v>588680.01</v>
      </c>
      <c r="C15" s="58">
        <v>25924.18</v>
      </c>
      <c r="D15" s="58">
        <v>269</v>
      </c>
    </row>
    <row r="16" spans="1:4" x14ac:dyDescent="0.3">
      <c r="A16" s="59" t="s">
        <v>2534</v>
      </c>
      <c r="B16" s="60">
        <v>2096564.5299999996</v>
      </c>
      <c r="C16" s="61">
        <v>178450.18999999989</v>
      </c>
      <c r="D16" s="61">
        <v>1005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3C08-4DDC-4036-B09C-77C654D61663}">
  <dimension ref="A3:G38"/>
  <sheetViews>
    <sheetView topLeftCell="A18" workbookViewId="0">
      <selection activeCell="G23" activeCellId="1" sqref="A23:A38 G23:G38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4.44140625" bestFit="1" customWidth="1"/>
    <col min="4" max="4" width="6" bestFit="1" customWidth="1"/>
    <col min="5" max="5" width="5.21875" bestFit="1" customWidth="1"/>
    <col min="6" max="6" width="7" bestFit="1" customWidth="1"/>
    <col min="7" max="7" width="10.77734375" bestFit="1" customWidth="1"/>
    <col min="8" max="8" width="7.109375" bestFit="1" customWidth="1"/>
    <col min="9" max="9" width="8.77734375" bestFit="1" customWidth="1"/>
    <col min="10" max="10" width="7.6640625" bestFit="1" customWidth="1"/>
    <col min="11" max="11" width="9.21875" bestFit="1" customWidth="1"/>
    <col min="12" max="12" width="9.44140625" bestFit="1" customWidth="1"/>
    <col min="13" max="13" width="5.88671875" bestFit="1" customWidth="1"/>
    <col min="14" max="14" width="7" bestFit="1" customWidth="1"/>
    <col min="15" max="15" width="6.77734375" bestFit="1" customWidth="1"/>
    <col min="16" max="16" width="10.6640625" bestFit="1" customWidth="1"/>
    <col min="17" max="17" width="12.109375" bestFit="1" customWidth="1"/>
    <col min="18" max="19" width="8.109375" bestFit="1" customWidth="1"/>
    <col min="20" max="20" width="11.21875" bestFit="1" customWidth="1"/>
    <col min="21" max="21" width="9.77734375" bestFit="1" customWidth="1"/>
    <col min="22" max="22" width="9.109375" bestFit="1" customWidth="1"/>
    <col min="23" max="23" width="10.77734375" bestFit="1" customWidth="1"/>
    <col min="24" max="24" width="8.33203125" bestFit="1" customWidth="1"/>
    <col min="26" max="26" width="6.33203125" bestFit="1" customWidth="1"/>
    <col min="27" max="27" width="10.21875" bestFit="1" customWidth="1"/>
    <col min="28" max="28" width="11.33203125" bestFit="1" customWidth="1"/>
    <col min="29" max="29" width="12.109375" bestFit="1" customWidth="1"/>
    <col min="30" max="30" width="8.5546875" bestFit="1" customWidth="1"/>
    <col min="31" max="31" width="12.6640625" bestFit="1" customWidth="1"/>
    <col min="32" max="32" width="7.44140625" bestFit="1" customWidth="1"/>
    <col min="33" max="33" width="7.77734375" bestFit="1" customWidth="1"/>
    <col min="34" max="34" width="11.33203125" bestFit="1" customWidth="1"/>
    <col min="35" max="35" width="7.77734375" bestFit="1" customWidth="1"/>
    <col min="36" max="36" width="9.6640625" bestFit="1" customWidth="1"/>
    <col min="37" max="37" width="8.21875" bestFit="1" customWidth="1"/>
    <col min="38" max="38" width="7.109375" bestFit="1" customWidth="1"/>
    <col min="39" max="39" width="5.33203125" bestFit="1" customWidth="1"/>
    <col min="40" max="40" width="9.5546875" bestFit="1" customWidth="1"/>
    <col min="41" max="41" width="9.33203125" bestFit="1" customWidth="1"/>
    <col min="42" max="42" width="6.109375" bestFit="1" customWidth="1"/>
    <col min="43" max="43" width="9.33203125" bestFit="1" customWidth="1"/>
    <col min="44" max="44" width="12.33203125" bestFit="1" customWidth="1"/>
    <col min="45" max="45" width="9.33203125" bestFit="1" customWidth="1"/>
    <col min="46" max="46" width="6.77734375" bestFit="1" customWidth="1"/>
    <col min="47" max="47" width="8.33203125" bestFit="1" customWidth="1"/>
    <col min="48" max="48" width="10" bestFit="1" customWidth="1"/>
    <col min="49" max="49" width="6.77734375" bestFit="1" customWidth="1"/>
    <col min="50" max="50" width="7" bestFit="1" customWidth="1"/>
    <col min="51" max="51" width="12.88671875" bestFit="1" customWidth="1"/>
    <col min="52" max="52" width="9.5546875" bestFit="1" customWidth="1"/>
    <col min="53" max="53" width="7" bestFit="1" customWidth="1"/>
    <col min="54" max="54" width="10.77734375" bestFit="1" customWidth="1"/>
  </cols>
  <sheetData>
    <row r="3" spans="1:7" x14ac:dyDescent="0.3">
      <c r="A3" s="48" t="s">
        <v>2629</v>
      </c>
      <c r="B3" s="48" t="s">
        <v>2630</v>
      </c>
    </row>
    <row r="4" spans="1:7" x14ac:dyDescent="0.3">
      <c r="A4" s="48" t="s">
        <v>2532</v>
      </c>
      <c r="B4" t="s">
        <v>24</v>
      </c>
      <c r="C4" t="s">
        <v>54</v>
      </c>
      <c r="D4" t="s">
        <v>88</v>
      </c>
      <c r="E4" t="s">
        <v>34</v>
      </c>
      <c r="F4" t="s">
        <v>2533</v>
      </c>
      <c r="G4" t="s">
        <v>2534</v>
      </c>
    </row>
    <row r="5" spans="1:7" x14ac:dyDescent="0.3">
      <c r="A5" s="49">
        <v>0</v>
      </c>
    </row>
    <row r="6" spans="1:7" x14ac:dyDescent="0.3">
      <c r="A6" s="49">
        <v>274.75</v>
      </c>
    </row>
    <row r="7" spans="1:7" x14ac:dyDescent="0.3">
      <c r="A7" s="49">
        <v>348.51</v>
      </c>
    </row>
    <row r="8" spans="1:7" x14ac:dyDescent="0.3">
      <c r="A8" s="49">
        <v>1089.73</v>
      </c>
    </row>
    <row r="9" spans="1:7" x14ac:dyDescent="0.3">
      <c r="A9" s="49">
        <v>2449.5200000000004</v>
      </c>
    </row>
    <row r="10" spans="1:7" x14ac:dyDescent="0.3">
      <c r="A10" s="49">
        <v>2576.0200000000004</v>
      </c>
    </row>
    <row r="11" spans="1:7" x14ac:dyDescent="0.3">
      <c r="A11" s="49">
        <v>2686.9500000000003</v>
      </c>
    </row>
    <row r="12" spans="1:7" x14ac:dyDescent="0.3">
      <c r="A12" s="49">
        <v>4531.71</v>
      </c>
    </row>
    <row r="13" spans="1:7" x14ac:dyDescent="0.3">
      <c r="A13" s="49">
        <v>4668.41</v>
      </c>
    </row>
    <row r="14" spans="1:7" x14ac:dyDescent="0.3">
      <c r="A14" s="49">
        <v>6132.01</v>
      </c>
    </row>
    <row r="15" spans="1:7" x14ac:dyDescent="0.3">
      <c r="A15" s="49">
        <v>13071.14</v>
      </c>
      <c r="B15">
        <v>11</v>
      </c>
      <c r="C15">
        <v>16</v>
      </c>
      <c r="D15">
        <v>12</v>
      </c>
      <c r="E15">
        <v>12</v>
      </c>
      <c r="G15">
        <v>51</v>
      </c>
    </row>
    <row r="16" spans="1:7" x14ac:dyDescent="0.3">
      <c r="A16" s="49">
        <v>13853.470000000001</v>
      </c>
      <c r="B16">
        <v>30</v>
      </c>
      <c r="C16">
        <v>23</v>
      </c>
      <c r="D16">
        <v>35</v>
      </c>
      <c r="E16">
        <v>24</v>
      </c>
      <c r="G16">
        <v>112</v>
      </c>
    </row>
    <row r="17" spans="1:7" x14ac:dyDescent="0.3">
      <c r="A17" s="49">
        <v>16322.11</v>
      </c>
      <c r="B17">
        <v>8</v>
      </c>
      <c r="C17">
        <v>9</v>
      </c>
      <c r="D17">
        <v>7</v>
      </c>
      <c r="E17">
        <v>10</v>
      </c>
      <c r="G17">
        <v>34</v>
      </c>
    </row>
    <row r="18" spans="1:7" x14ac:dyDescent="0.3">
      <c r="A18" s="49">
        <v>24822.21</v>
      </c>
      <c r="B18">
        <v>1</v>
      </c>
      <c r="C18">
        <v>1</v>
      </c>
      <c r="D18">
        <v>1</v>
      </c>
      <c r="G18">
        <v>3</v>
      </c>
    </row>
    <row r="19" spans="1:7" x14ac:dyDescent="0.3">
      <c r="A19" s="49" t="s">
        <v>2534</v>
      </c>
      <c r="B19">
        <v>50</v>
      </c>
      <c r="C19">
        <v>49</v>
      </c>
      <c r="D19">
        <v>55</v>
      </c>
      <c r="E19">
        <v>46</v>
      </c>
      <c r="G19">
        <v>200</v>
      </c>
    </row>
    <row r="22" spans="1:7" x14ac:dyDescent="0.3">
      <c r="A22" s="48" t="s">
        <v>2629</v>
      </c>
      <c r="B22" s="48" t="s">
        <v>2630</v>
      </c>
    </row>
    <row r="23" spans="1:7" x14ac:dyDescent="0.3">
      <c r="A23" s="48" t="s">
        <v>2532</v>
      </c>
      <c r="B23" t="s">
        <v>24</v>
      </c>
      <c r="C23" t="s">
        <v>54</v>
      </c>
      <c r="D23" t="s">
        <v>88</v>
      </c>
      <c r="E23" t="s">
        <v>34</v>
      </c>
      <c r="F23" t="s">
        <v>2533</v>
      </c>
      <c r="G23" t="s">
        <v>2534</v>
      </c>
    </row>
    <row r="24" spans="1:7" x14ac:dyDescent="0.3">
      <c r="A24" s="49">
        <v>0</v>
      </c>
    </row>
    <row r="25" spans="1:7" x14ac:dyDescent="0.3">
      <c r="A25" s="49">
        <v>274.75</v>
      </c>
    </row>
    <row r="26" spans="1:7" x14ac:dyDescent="0.3">
      <c r="A26" s="49">
        <v>348.51</v>
      </c>
    </row>
    <row r="27" spans="1:7" x14ac:dyDescent="0.3">
      <c r="A27" s="49">
        <v>1089.73</v>
      </c>
    </row>
    <row r="28" spans="1:7" x14ac:dyDescent="0.3">
      <c r="A28" s="49">
        <v>2449.5200000000004</v>
      </c>
    </row>
    <row r="29" spans="1:7" x14ac:dyDescent="0.3">
      <c r="A29" s="49">
        <v>2576.0200000000004</v>
      </c>
    </row>
    <row r="30" spans="1:7" x14ac:dyDescent="0.3">
      <c r="A30" s="49">
        <v>2686.9500000000003</v>
      </c>
    </row>
    <row r="31" spans="1:7" x14ac:dyDescent="0.3">
      <c r="A31" s="49">
        <v>4531.71</v>
      </c>
    </row>
    <row r="32" spans="1:7" x14ac:dyDescent="0.3">
      <c r="A32" s="49">
        <v>4668.41</v>
      </c>
    </row>
    <row r="33" spans="1:7" x14ac:dyDescent="0.3">
      <c r="A33" s="49">
        <v>6132.01</v>
      </c>
    </row>
    <row r="34" spans="1:7" x14ac:dyDescent="0.3">
      <c r="A34" s="49">
        <v>13071.14</v>
      </c>
      <c r="B34">
        <v>11</v>
      </c>
      <c r="C34">
        <v>16</v>
      </c>
      <c r="D34">
        <v>12</v>
      </c>
      <c r="E34">
        <v>12</v>
      </c>
      <c r="G34">
        <v>51</v>
      </c>
    </row>
    <row r="35" spans="1:7" x14ac:dyDescent="0.3">
      <c r="A35" s="49">
        <v>13853.470000000001</v>
      </c>
      <c r="B35">
        <v>30</v>
      </c>
      <c r="C35">
        <v>23</v>
      </c>
      <c r="D35">
        <v>35</v>
      </c>
      <c r="E35">
        <v>24</v>
      </c>
      <c r="G35">
        <v>112</v>
      </c>
    </row>
    <row r="36" spans="1:7" x14ac:dyDescent="0.3">
      <c r="A36" s="49">
        <v>16322.11</v>
      </c>
      <c r="B36">
        <v>8</v>
      </c>
      <c r="C36">
        <v>9</v>
      </c>
      <c r="D36">
        <v>7</v>
      </c>
      <c r="E36">
        <v>10</v>
      </c>
      <c r="G36">
        <v>34</v>
      </c>
    </row>
    <row r="37" spans="1:7" x14ac:dyDescent="0.3">
      <c r="A37" s="49">
        <v>24822.21</v>
      </c>
      <c r="B37">
        <v>1</v>
      </c>
      <c r="C37">
        <v>1</v>
      </c>
      <c r="D37">
        <v>1</v>
      </c>
      <c r="G37">
        <v>3</v>
      </c>
    </row>
    <row r="38" spans="1:7" x14ac:dyDescent="0.3">
      <c r="A38" s="49" t="s">
        <v>2534</v>
      </c>
      <c r="B38">
        <v>50</v>
      </c>
      <c r="C38">
        <v>49</v>
      </c>
      <c r="D38">
        <v>55</v>
      </c>
      <c r="E38">
        <v>46</v>
      </c>
      <c r="G38">
        <v>200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1006"/>
  <sheetViews>
    <sheetView zoomScale="52" workbookViewId="0">
      <pane ySplit="1" topLeftCell="A2" activePane="bottomLeft" state="frozen"/>
      <selection pane="bottomLeft" activeCell="E21" sqref="E21"/>
    </sheetView>
  </sheetViews>
  <sheetFormatPr defaultRowHeight="14.4" x14ac:dyDescent="0.3"/>
  <cols>
    <col min="1" max="1" width="20.109375" customWidth="1"/>
    <col min="2" max="2" width="24" customWidth="1"/>
    <col min="3" max="3" width="16" customWidth="1"/>
    <col min="4" max="5" width="18" customWidth="1"/>
    <col min="6" max="6" width="10" customWidth="1"/>
    <col min="7" max="7" width="21.21875" customWidth="1"/>
    <col min="8" max="8" width="15.6640625" customWidth="1"/>
    <col min="9" max="9" width="18.88671875" customWidth="1"/>
  </cols>
  <sheetData>
    <row r="1" spans="1:10" ht="32.4" customHeigh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64" t="s">
        <v>2592</v>
      </c>
      <c r="H1" s="64" t="s">
        <v>2593</v>
      </c>
      <c r="I1" s="67" t="str" cm="1">
        <f t="array" ref="I1:I1006">Table1[[#Headers],[#Data],[Total Orders per Customer]]</f>
        <v>Total Orders per Customer</v>
      </c>
      <c r="J1" t="str" cm="1">
        <f t="array" ref="J1:J1006">Table1[[#Headers],[#Data],[Total Revenue per Customer]]</f>
        <v>Total Revenue per Customer</v>
      </c>
    </row>
    <row r="2" spans="1:10" x14ac:dyDescent="0.3">
      <c r="A2" s="2" t="s">
        <v>1270</v>
      </c>
      <c r="B2" s="4" t="s">
        <v>1271</v>
      </c>
      <c r="C2" s="4" t="s">
        <v>51</v>
      </c>
      <c r="D2" s="4" t="s">
        <v>412</v>
      </c>
      <c r="E2" s="4" t="s">
        <v>178</v>
      </c>
      <c r="F2" s="4" t="s">
        <v>24</v>
      </c>
      <c r="G2" s="62" t="s">
        <v>2557</v>
      </c>
      <c r="H2" s="62" t="s">
        <v>2594</v>
      </c>
      <c r="I2">
        <v>13</v>
      </c>
      <c r="J2">
        <v>24822.21</v>
      </c>
    </row>
    <row r="3" spans="1:10" x14ac:dyDescent="0.3">
      <c r="A3" s="8" t="s">
        <v>463</v>
      </c>
      <c r="B3" s="10" t="s">
        <v>464</v>
      </c>
      <c r="C3" s="10" t="s">
        <v>51</v>
      </c>
      <c r="D3" s="10" t="s">
        <v>465</v>
      </c>
      <c r="E3" s="10" t="s">
        <v>423</v>
      </c>
      <c r="F3" s="10" t="s">
        <v>88</v>
      </c>
      <c r="G3" s="63" t="s">
        <v>2558</v>
      </c>
      <c r="H3" s="63" t="s">
        <v>2595</v>
      </c>
      <c r="I3">
        <v>13</v>
      </c>
      <c r="J3">
        <v>24822.21</v>
      </c>
    </row>
    <row r="4" spans="1:10" x14ac:dyDescent="0.3">
      <c r="A4" s="2" t="s">
        <v>240</v>
      </c>
      <c r="B4" s="4" t="s">
        <v>241</v>
      </c>
      <c r="C4" s="4" t="s">
        <v>42</v>
      </c>
      <c r="D4" s="4" t="s">
        <v>115</v>
      </c>
      <c r="E4" s="4" t="s">
        <v>116</v>
      </c>
      <c r="F4" s="4" t="s">
        <v>54</v>
      </c>
      <c r="G4" s="63" t="s">
        <v>2559</v>
      </c>
      <c r="H4" s="63" t="s">
        <v>2596</v>
      </c>
      <c r="I4">
        <v>13</v>
      </c>
      <c r="J4">
        <v>24822.21</v>
      </c>
    </row>
    <row r="5" spans="1:10" x14ac:dyDescent="0.3">
      <c r="A5" s="8" t="s">
        <v>899</v>
      </c>
      <c r="B5" s="10" t="s">
        <v>900</v>
      </c>
      <c r="C5" s="10" t="s">
        <v>51</v>
      </c>
      <c r="D5" s="10" t="s">
        <v>319</v>
      </c>
      <c r="E5" s="10" t="s">
        <v>194</v>
      </c>
      <c r="F5" s="10" t="s">
        <v>34</v>
      </c>
      <c r="G5" s="63" t="s">
        <v>2560</v>
      </c>
      <c r="H5" s="63" t="s">
        <v>2597</v>
      </c>
      <c r="I5">
        <v>12</v>
      </c>
      <c r="J5">
        <v>16322.11</v>
      </c>
    </row>
    <row r="6" spans="1:10" x14ac:dyDescent="0.3">
      <c r="A6" s="2" t="s">
        <v>219</v>
      </c>
      <c r="B6" s="4" t="s">
        <v>220</v>
      </c>
      <c r="C6" s="4" t="s">
        <v>51</v>
      </c>
      <c r="D6" s="4" t="s">
        <v>171</v>
      </c>
      <c r="E6" s="4" t="s">
        <v>172</v>
      </c>
      <c r="F6" s="4" t="s">
        <v>24</v>
      </c>
      <c r="G6" s="63" t="s">
        <v>2561</v>
      </c>
      <c r="H6" s="63" t="s">
        <v>2598</v>
      </c>
      <c r="I6">
        <v>12</v>
      </c>
      <c r="J6">
        <v>16322.11</v>
      </c>
    </row>
    <row r="7" spans="1:10" x14ac:dyDescent="0.3">
      <c r="A7" s="8" t="s">
        <v>592</v>
      </c>
      <c r="B7" s="10" t="s">
        <v>593</v>
      </c>
      <c r="C7" s="10" t="s">
        <v>21</v>
      </c>
      <c r="D7" s="10" t="s">
        <v>207</v>
      </c>
      <c r="E7" s="10" t="s">
        <v>60</v>
      </c>
      <c r="F7" s="10" t="s">
        <v>54</v>
      </c>
      <c r="G7" s="63" t="s">
        <v>2562</v>
      </c>
      <c r="H7" s="63" t="s">
        <v>2599</v>
      </c>
      <c r="I7">
        <v>12</v>
      </c>
      <c r="J7">
        <v>16322.11</v>
      </c>
    </row>
    <row r="8" spans="1:10" x14ac:dyDescent="0.3">
      <c r="A8" s="2" t="s">
        <v>969</v>
      </c>
      <c r="B8" s="4" t="s">
        <v>970</v>
      </c>
      <c r="C8" s="4" t="s">
        <v>42</v>
      </c>
      <c r="D8" s="4" t="s">
        <v>79</v>
      </c>
      <c r="E8" s="4" t="s">
        <v>80</v>
      </c>
      <c r="F8" s="4" t="s">
        <v>54</v>
      </c>
      <c r="G8" s="63" t="s">
        <v>2563</v>
      </c>
      <c r="H8" s="63" t="s">
        <v>2600</v>
      </c>
      <c r="I8">
        <v>12</v>
      </c>
      <c r="J8">
        <v>16322.11</v>
      </c>
    </row>
    <row r="9" spans="1:10" x14ac:dyDescent="0.3">
      <c r="A9" s="8" t="s">
        <v>1539</v>
      </c>
      <c r="B9" s="10" t="s">
        <v>1540</v>
      </c>
      <c r="C9" s="10" t="s">
        <v>42</v>
      </c>
      <c r="D9" s="10" t="s">
        <v>324</v>
      </c>
      <c r="E9" s="10" t="s">
        <v>116</v>
      </c>
      <c r="F9" s="10" t="s">
        <v>54</v>
      </c>
      <c r="G9" s="63" t="s">
        <v>2557</v>
      </c>
      <c r="H9" s="63" t="s">
        <v>2601</v>
      </c>
      <c r="I9">
        <v>12</v>
      </c>
      <c r="J9">
        <v>16322.11</v>
      </c>
    </row>
    <row r="10" spans="1:10" x14ac:dyDescent="0.3">
      <c r="A10" s="2" t="s">
        <v>1435</v>
      </c>
      <c r="B10" s="4" t="s">
        <v>1436</v>
      </c>
      <c r="C10" s="4" t="s">
        <v>21</v>
      </c>
      <c r="D10" s="4" t="s">
        <v>492</v>
      </c>
      <c r="E10" s="4" t="s">
        <v>53</v>
      </c>
      <c r="F10" s="4" t="s">
        <v>54</v>
      </c>
      <c r="G10" s="63" t="s">
        <v>2564</v>
      </c>
      <c r="H10" s="63" t="s">
        <v>2602</v>
      </c>
      <c r="I10">
        <v>12</v>
      </c>
      <c r="J10">
        <v>16322.11</v>
      </c>
    </row>
    <row r="11" spans="1:10" x14ac:dyDescent="0.3">
      <c r="A11" s="8" t="s">
        <v>1001</v>
      </c>
      <c r="B11" s="10" t="s">
        <v>1002</v>
      </c>
      <c r="C11" s="10" t="s">
        <v>21</v>
      </c>
      <c r="D11" s="10" t="s">
        <v>59</v>
      </c>
      <c r="E11" s="10" t="s">
        <v>60</v>
      </c>
      <c r="F11" s="10" t="s">
        <v>54</v>
      </c>
      <c r="G11" s="63" t="s">
        <v>2565</v>
      </c>
      <c r="H11" s="63" t="s">
        <v>2596</v>
      </c>
      <c r="I11">
        <v>12</v>
      </c>
      <c r="J11">
        <v>16322.11</v>
      </c>
    </row>
    <row r="12" spans="1:10" x14ac:dyDescent="0.3">
      <c r="A12" s="2" t="s">
        <v>273</v>
      </c>
      <c r="B12" s="4" t="s">
        <v>274</v>
      </c>
      <c r="C12" s="4" t="s">
        <v>42</v>
      </c>
      <c r="D12" s="4" t="s">
        <v>171</v>
      </c>
      <c r="E12" s="4" t="s">
        <v>172</v>
      </c>
      <c r="F12" s="4" t="s">
        <v>24</v>
      </c>
      <c r="G12" s="63" t="s">
        <v>2564</v>
      </c>
      <c r="H12" s="63" t="s">
        <v>2603</v>
      </c>
      <c r="I12">
        <v>12</v>
      </c>
      <c r="J12">
        <v>16322.11</v>
      </c>
    </row>
    <row r="13" spans="1:10" x14ac:dyDescent="0.3">
      <c r="A13" s="8" t="s">
        <v>370</v>
      </c>
      <c r="B13" s="10" t="s">
        <v>371</v>
      </c>
      <c r="C13" s="10" t="s">
        <v>51</v>
      </c>
      <c r="D13" s="10" t="s">
        <v>372</v>
      </c>
      <c r="E13" s="10" t="s">
        <v>373</v>
      </c>
      <c r="F13" s="10" t="s">
        <v>34</v>
      </c>
      <c r="G13" s="63" t="s">
        <v>2566</v>
      </c>
      <c r="H13" s="63" t="s">
        <v>2604</v>
      </c>
      <c r="I13">
        <v>12</v>
      </c>
      <c r="J13">
        <v>16322.11</v>
      </c>
    </row>
    <row r="14" spans="1:10" x14ac:dyDescent="0.3">
      <c r="A14" s="2" t="s">
        <v>1246</v>
      </c>
      <c r="B14" s="4" t="s">
        <v>1247</v>
      </c>
      <c r="C14" s="4" t="s">
        <v>42</v>
      </c>
      <c r="D14" s="4" t="s">
        <v>1091</v>
      </c>
      <c r="E14" s="4" t="s">
        <v>23</v>
      </c>
      <c r="F14" s="4" t="s">
        <v>24</v>
      </c>
      <c r="G14" s="63" t="s">
        <v>2567</v>
      </c>
      <c r="H14" s="63" t="s">
        <v>2601</v>
      </c>
      <c r="I14">
        <v>12</v>
      </c>
      <c r="J14">
        <v>16322.11</v>
      </c>
    </row>
    <row r="15" spans="1:10" x14ac:dyDescent="0.3">
      <c r="A15" s="8" t="s">
        <v>197</v>
      </c>
      <c r="B15" s="10" t="s">
        <v>198</v>
      </c>
      <c r="C15" s="10" t="s">
        <v>21</v>
      </c>
      <c r="D15" s="10" t="s">
        <v>129</v>
      </c>
      <c r="E15" s="10" t="s">
        <v>33</v>
      </c>
      <c r="F15" s="10" t="s">
        <v>34</v>
      </c>
      <c r="G15" s="63" t="s">
        <v>2568</v>
      </c>
      <c r="H15" s="63" t="s">
        <v>2605</v>
      </c>
      <c r="I15">
        <v>12</v>
      </c>
      <c r="J15">
        <v>16322.11</v>
      </c>
    </row>
    <row r="16" spans="1:10" x14ac:dyDescent="0.3">
      <c r="A16" s="2" t="s">
        <v>654</v>
      </c>
      <c r="B16" s="4" t="s">
        <v>655</v>
      </c>
      <c r="C16" s="4" t="s">
        <v>21</v>
      </c>
      <c r="D16" s="4" t="s">
        <v>66</v>
      </c>
      <c r="E16" s="4" t="s">
        <v>67</v>
      </c>
      <c r="F16" s="4" t="s">
        <v>34</v>
      </c>
      <c r="G16" s="63" t="s">
        <v>2559</v>
      </c>
      <c r="H16" s="63" t="s">
        <v>2606</v>
      </c>
      <c r="I16">
        <v>12</v>
      </c>
      <c r="J16">
        <v>16322.11</v>
      </c>
    </row>
    <row r="17" spans="1:10" x14ac:dyDescent="0.3">
      <c r="A17" s="8" t="s">
        <v>410</v>
      </c>
      <c r="B17" s="10" t="s">
        <v>411</v>
      </c>
      <c r="C17" s="10" t="s">
        <v>42</v>
      </c>
      <c r="D17" s="10" t="s">
        <v>412</v>
      </c>
      <c r="E17" s="10" t="s">
        <v>178</v>
      </c>
      <c r="F17" s="10" t="s">
        <v>24</v>
      </c>
      <c r="G17" s="63" t="s">
        <v>2567</v>
      </c>
      <c r="H17" s="63" t="s">
        <v>2607</v>
      </c>
      <c r="I17">
        <v>12</v>
      </c>
      <c r="J17">
        <v>16322.11</v>
      </c>
    </row>
    <row r="18" spans="1:10" x14ac:dyDescent="0.3">
      <c r="A18" s="2" t="s">
        <v>763</v>
      </c>
      <c r="B18" s="4" t="s">
        <v>764</v>
      </c>
      <c r="C18" s="4" t="s">
        <v>21</v>
      </c>
      <c r="D18" s="4" t="s">
        <v>765</v>
      </c>
      <c r="E18" s="4" t="s">
        <v>105</v>
      </c>
      <c r="F18" s="4" t="s">
        <v>88</v>
      </c>
      <c r="G18" s="63" t="s">
        <v>2560</v>
      </c>
      <c r="H18" s="63" t="s">
        <v>2600</v>
      </c>
      <c r="I18">
        <v>12</v>
      </c>
      <c r="J18">
        <v>16322.11</v>
      </c>
    </row>
    <row r="19" spans="1:10" x14ac:dyDescent="0.3">
      <c r="A19" s="8" t="s">
        <v>745</v>
      </c>
      <c r="B19" s="10" t="s">
        <v>746</v>
      </c>
      <c r="C19" s="10" t="s">
        <v>51</v>
      </c>
      <c r="D19" s="10" t="s">
        <v>465</v>
      </c>
      <c r="E19" s="10" t="s">
        <v>423</v>
      </c>
      <c r="F19" s="10" t="s">
        <v>88</v>
      </c>
      <c r="G19" s="63" t="s">
        <v>2569</v>
      </c>
      <c r="H19" s="63" t="s">
        <v>2608</v>
      </c>
      <c r="I19">
        <v>12</v>
      </c>
      <c r="J19">
        <v>16322.11</v>
      </c>
    </row>
    <row r="20" spans="1:10" x14ac:dyDescent="0.3">
      <c r="A20" s="2" t="s">
        <v>277</v>
      </c>
      <c r="B20" s="4" t="s">
        <v>278</v>
      </c>
      <c r="C20" s="4" t="s">
        <v>21</v>
      </c>
      <c r="D20" s="4" t="s">
        <v>104</v>
      </c>
      <c r="E20" s="4" t="s">
        <v>105</v>
      </c>
      <c r="F20" s="4" t="s">
        <v>88</v>
      </c>
      <c r="G20" s="63" t="s">
        <v>2570</v>
      </c>
      <c r="H20" s="63" t="s">
        <v>2603</v>
      </c>
      <c r="I20">
        <v>12</v>
      </c>
      <c r="J20">
        <v>16322.11</v>
      </c>
    </row>
    <row r="21" spans="1:10" x14ac:dyDescent="0.3">
      <c r="A21" s="8" t="s">
        <v>406</v>
      </c>
      <c r="B21" s="10" t="s">
        <v>407</v>
      </c>
      <c r="C21" s="10" t="s">
        <v>42</v>
      </c>
      <c r="D21" s="10" t="s">
        <v>165</v>
      </c>
      <c r="E21" s="10" t="s">
        <v>44</v>
      </c>
      <c r="F21" s="10" t="s">
        <v>24</v>
      </c>
      <c r="G21" s="63" t="s">
        <v>2571</v>
      </c>
      <c r="H21" s="63" t="s">
        <v>2609</v>
      </c>
      <c r="I21">
        <v>12</v>
      </c>
      <c r="J21">
        <v>16322.11</v>
      </c>
    </row>
    <row r="22" spans="1:10" x14ac:dyDescent="0.3">
      <c r="A22" s="2" t="s">
        <v>120</v>
      </c>
      <c r="B22" s="4" t="s">
        <v>121</v>
      </c>
      <c r="C22" s="4" t="s">
        <v>21</v>
      </c>
      <c r="D22" s="4" t="s">
        <v>122</v>
      </c>
      <c r="E22" s="4" t="s">
        <v>123</v>
      </c>
      <c r="F22" s="4" t="s">
        <v>24</v>
      </c>
      <c r="G22" s="63" t="s">
        <v>2557</v>
      </c>
      <c r="H22" s="63" t="s">
        <v>2610</v>
      </c>
      <c r="I22">
        <v>12</v>
      </c>
      <c r="J22">
        <v>16322.11</v>
      </c>
    </row>
    <row r="23" spans="1:10" x14ac:dyDescent="0.3">
      <c r="A23" s="8" t="s">
        <v>924</v>
      </c>
      <c r="B23" s="10" t="s">
        <v>925</v>
      </c>
      <c r="C23" s="10" t="s">
        <v>42</v>
      </c>
      <c r="D23" s="10" t="s">
        <v>79</v>
      </c>
      <c r="E23" s="10" t="s">
        <v>80</v>
      </c>
      <c r="F23" s="10" t="s">
        <v>54</v>
      </c>
      <c r="G23" s="63" t="s">
        <v>2561</v>
      </c>
      <c r="H23" s="63" t="s">
        <v>2609</v>
      </c>
      <c r="I23">
        <v>12</v>
      </c>
      <c r="J23">
        <v>16322.11</v>
      </c>
    </row>
    <row r="24" spans="1:10" x14ac:dyDescent="0.3">
      <c r="A24" s="2" t="s">
        <v>244</v>
      </c>
      <c r="B24" s="4" t="s">
        <v>245</v>
      </c>
      <c r="C24" s="4" t="s">
        <v>42</v>
      </c>
      <c r="D24" s="4" t="s">
        <v>79</v>
      </c>
      <c r="E24" s="4" t="s">
        <v>80</v>
      </c>
      <c r="F24" s="4" t="s">
        <v>54</v>
      </c>
      <c r="G24" s="63" t="s">
        <v>2572</v>
      </c>
      <c r="H24" s="63" t="s">
        <v>2611</v>
      </c>
      <c r="I24">
        <v>12</v>
      </c>
      <c r="J24">
        <v>16322.11</v>
      </c>
    </row>
    <row r="25" spans="1:10" x14ac:dyDescent="0.3">
      <c r="A25" s="8" t="s">
        <v>476</v>
      </c>
      <c r="B25" s="10" t="s">
        <v>477</v>
      </c>
      <c r="C25" s="10" t="s">
        <v>42</v>
      </c>
      <c r="D25" s="10" t="s">
        <v>150</v>
      </c>
      <c r="E25" s="10" t="s">
        <v>151</v>
      </c>
      <c r="F25" s="10" t="s">
        <v>34</v>
      </c>
      <c r="G25" s="63" t="s">
        <v>2573</v>
      </c>
      <c r="H25" s="63" t="s">
        <v>2602</v>
      </c>
      <c r="I25">
        <v>12</v>
      </c>
      <c r="J25">
        <v>16322.11</v>
      </c>
    </row>
    <row r="26" spans="1:10" x14ac:dyDescent="0.3">
      <c r="A26" s="2" t="s">
        <v>858</v>
      </c>
      <c r="B26" s="4" t="s">
        <v>859</v>
      </c>
      <c r="C26" s="4" t="s">
        <v>51</v>
      </c>
      <c r="D26" s="4" t="s">
        <v>145</v>
      </c>
      <c r="E26" s="4" t="s">
        <v>140</v>
      </c>
      <c r="F26" s="4" t="s">
        <v>24</v>
      </c>
      <c r="G26" s="63" t="s">
        <v>2574</v>
      </c>
      <c r="H26" s="63" t="s">
        <v>2612</v>
      </c>
      <c r="I26">
        <v>12</v>
      </c>
      <c r="J26">
        <v>16322.11</v>
      </c>
    </row>
    <row r="27" spans="1:10" x14ac:dyDescent="0.3">
      <c r="A27" s="8" t="s">
        <v>588</v>
      </c>
      <c r="B27" s="10" t="s">
        <v>589</v>
      </c>
      <c r="C27" s="10" t="s">
        <v>42</v>
      </c>
      <c r="D27" s="10" t="s">
        <v>397</v>
      </c>
      <c r="E27" s="10" t="s">
        <v>33</v>
      </c>
      <c r="F27" s="10" t="s">
        <v>34</v>
      </c>
      <c r="G27" s="63" t="s">
        <v>2564</v>
      </c>
      <c r="H27" s="63" t="s">
        <v>2613</v>
      </c>
      <c r="I27">
        <v>12</v>
      </c>
      <c r="J27">
        <v>16322.11</v>
      </c>
    </row>
    <row r="28" spans="1:10" x14ac:dyDescent="0.3">
      <c r="A28" s="2" t="s">
        <v>785</v>
      </c>
      <c r="B28" s="4" t="s">
        <v>786</v>
      </c>
      <c r="C28" s="4" t="s">
        <v>51</v>
      </c>
      <c r="D28" s="4" t="s">
        <v>422</v>
      </c>
      <c r="E28" s="4" t="s">
        <v>423</v>
      </c>
      <c r="F28" s="4" t="s">
        <v>88</v>
      </c>
      <c r="G28" s="63" t="s">
        <v>2565</v>
      </c>
      <c r="H28" s="63" t="s">
        <v>2595</v>
      </c>
      <c r="I28">
        <v>12</v>
      </c>
      <c r="J28">
        <v>16322.11</v>
      </c>
    </row>
    <row r="29" spans="1:10" x14ac:dyDescent="0.3">
      <c r="A29" s="8" t="s">
        <v>741</v>
      </c>
      <c r="B29" s="10" t="s">
        <v>742</v>
      </c>
      <c r="C29" s="10" t="s">
        <v>51</v>
      </c>
      <c r="D29" s="10" t="s">
        <v>260</v>
      </c>
      <c r="E29" s="10" t="s">
        <v>151</v>
      </c>
      <c r="F29" s="10" t="s">
        <v>34</v>
      </c>
      <c r="G29" s="63" t="s">
        <v>2575</v>
      </c>
      <c r="H29" s="63" t="s">
        <v>2614</v>
      </c>
      <c r="I29">
        <v>12</v>
      </c>
      <c r="J29">
        <v>16322.11</v>
      </c>
    </row>
    <row r="30" spans="1:10" x14ac:dyDescent="0.3">
      <c r="A30" s="2" t="s">
        <v>614</v>
      </c>
      <c r="B30" s="4" t="s">
        <v>615</v>
      </c>
      <c r="C30" s="4" t="s">
        <v>21</v>
      </c>
      <c r="D30" s="4" t="s">
        <v>139</v>
      </c>
      <c r="E30" s="4" t="s">
        <v>140</v>
      </c>
      <c r="F30" s="4" t="s">
        <v>24</v>
      </c>
      <c r="G30" s="63" t="s">
        <v>2560</v>
      </c>
      <c r="H30" s="63" t="s">
        <v>2602</v>
      </c>
      <c r="I30">
        <v>12</v>
      </c>
      <c r="J30">
        <v>16322.11</v>
      </c>
    </row>
    <row r="31" spans="1:10" x14ac:dyDescent="0.3">
      <c r="A31" s="8" t="s">
        <v>445</v>
      </c>
      <c r="B31" s="10" t="s">
        <v>446</v>
      </c>
      <c r="C31" s="10" t="s">
        <v>51</v>
      </c>
      <c r="D31" s="10" t="s">
        <v>183</v>
      </c>
      <c r="E31" s="10" t="s">
        <v>184</v>
      </c>
      <c r="F31" s="10" t="s">
        <v>54</v>
      </c>
      <c r="G31" s="63" t="s">
        <v>2574</v>
      </c>
      <c r="H31" s="63" t="s">
        <v>2615</v>
      </c>
      <c r="I31">
        <v>12</v>
      </c>
      <c r="J31">
        <v>16322.11</v>
      </c>
    </row>
    <row r="32" spans="1:10" x14ac:dyDescent="0.3">
      <c r="A32" s="2" t="s">
        <v>468</v>
      </c>
      <c r="B32" s="4" t="s">
        <v>469</v>
      </c>
      <c r="C32" s="4" t="s">
        <v>51</v>
      </c>
      <c r="D32" s="4" t="s">
        <v>372</v>
      </c>
      <c r="E32" s="4" t="s">
        <v>373</v>
      </c>
      <c r="F32" s="4" t="s">
        <v>34</v>
      </c>
      <c r="G32" s="63" t="s">
        <v>2562</v>
      </c>
      <c r="H32" s="63" t="s">
        <v>2594</v>
      </c>
      <c r="I32">
        <v>12</v>
      </c>
      <c r="J32">
        <v>16322.11</v>
      </c>
    </row>
    <row r="33" spans="1:10" x14ac:dyDescent="0.3">
      <c r="A33" s="8" t="s">
        <v>395</v>
      </c>
      <c r="B33" s="10" t="s">
        <v>396</v>
      </c>
      <c r="C33" s="10" t="s">
        <v>21</v>
      </c>
      <c r="D33" s="10" t="s">
        <v>397</v>
      </c>
      <c r="E33" s="10" t="s">
        <v>33</v>
      </c>
      <c r="F33" s="10" t="s">
        <v>34</v>
      </c>
      <c r="G33" s="63" t="s">
        <v>2576</v>
      </c>
      <c r="H33" s="63" t="s">
        <v>2605</v>
      </c>
      <c r="I33">
        <v>12</v>
      </c>
      <c r="J33">
        <v>16322.11</v>
      </c>
    </row>
    <row r="34" spans="1:10" x14ac:dyDescent="0.3">
      <c r="A34" s="2" t="s">
        <v>258</v>
      </c>
      <c r="B34" s="4" t="s">
        <v>259</v>
      </c>
      <c r="C34" s="4" t="s">
        <v>51</v>
      </c>
      <c r="D34" s="4" t="s">
        <v>260</v>
      </c>
      <c r="E34" s="4" t="s">
        <v>151</v>
      </c>
      <c r="F34" s="4" t="s">
        <v>34</v>
      </c>
      <c r="G34" s="63" t="s">
        <v>2576</v>
      </c>
      <c r="H34" s="63" t="s">
        <v>2611</v>
      </c>
      <c r="I34">
        <v>12</v>
      </c>
      <c r="J34">
        <v>16322.11</v>
      </c>
    </row>
    <row r="35" spans="1:10" x14ac:dyDescent="0.3">
      <c r="A35" s="8" t="s">
        <v>355</v>
      </c>
      <c r="B35" s="10" t="s">
        <v>356</v>
      </c>
      <c r="C35" s="10" t="s">
        <v>21</v>
      </c>
      <c r="D35" s="10" t="s">
        <v>357</v>
      </c>
      <c r="E35" s="10" t="s">
        <v>251</v>
      </c>
      <c r="F35" s="10" t="s">
        <v>88</v>
      </c>
      <c r="G35" s="63" t="s">
        <v>2560</v>
      </c>
      <c r="H35" s="63" t="s">
        <v>2608</v>
      </c>
      <c r="I35">
        <v>12</v>
      </c>
      <c r="J35">
        <v>16322.11</v>
      </c>
    </row>
    <row r="36" spans="1:10" x14ac:dyDescent="0.3">
      <c r="A36" s="2" t="s">
        <v>77</v>
      </c>
      <c r="B36" s="4" t="s">
        <v>78</v>
      </c>
      <c r="C36" s="4" t="s">
        <v>21</v>
      </c>
      <c r="D36" s="4" t="s">
        <v>79</v>
      </c>
      <c r="E36" s="4" t="s">
        <v>80</v>
      </c>
      <c r="F36" s="4" t="s">
        <v>54</v>
      </c>
      <c r="G36" s="63" t="s">
        <v>2577</v>
      </c>
      <c r="H36" s="63" t="s">
        <v>2599</v>
      </c>
      <c r="I36">
        <v>12</v>
      </c>
      <c r="J36">
        <v>16322.11</v>
      </c>
    </row>
    <row r="37" spans="1:10" x14ac:dyDescent="0.3">
      <c r="A37" s="8" t="s">
        <v>688</v>
      </c>
      <c r="B37" s="10" t="s">
        <v>689</v>
      </c>
      <c r="C37" s="10" t="s">
        <v>42</v>
      </c>
      <c r="D37" s="10" t="s">
        <v>438</v>
      </c>
      <c r="E37" s="10" t="s">
        <v>157</v>
      </c>
      <c r="F37" s="10" t="s">
        <v>88</v>
      </c>
      <c r="G37" s="63" t="s">
        <v>2578</v>
      </c>
      <c r="H37" s="63" t="s">
        <v>2597</v>
      </c>
      <c r="I37">
        <v>12</v>
      </c>
      <c r="J37">
        <v>16322.11</v>
      </c>
    </row>
    <row r="38" spans="1:10" x14ac:dyDescent="0.3">
      <c r="A38" s="2" t="s">
        <v>154</v>
      </c>
      <c r="B38" s="4" t="s">
        <v>155</v>
      </c>
      <c r="C38" s="4" t="s">
        <v>51</v>
      </c>
      <c r="D38" s="4" t="s">
        <v>156</v>
      </c>
      <c r="E38" s="4" t="s">
        <v>157</v>
      </c>
      <c r="F38" s="4" t="s">
        <v>88</v>
      </c>
      <c r="G38" s="63" t="s">
        <v>2558</v>
      </c>
      <c r="H38" s="63" t="s">
        <v>2605</v>
      </c>
      <c r="I38">
        <v>12</v>
      </c>
      <c r="J38">
        <v>16322.11</v>
      </c>
    </row>
    <row r="39" spans="1:10" x14ac:dyDescent="0.3">
      <c r="A39" s="8" t="s">
        <v>1201</v>
      </c>
      <c r="B39" s="10" t="s">
        <v>1202</v>
      </c>
      <c r="C39" s="10" t="s">
        <v>51</v>
      </c>
      <c r="D39" s="10" t="s">
        <v>530</v>
      </c>
      <c r="E39" s="10" t="s">
        <v>373</v>
      </c>
      <c r="F39" s="10" t="s">
        <v>34</v>
      </c>
      <c r="G39" s="63" t="s">
        <v>2579</v>
      </c>
      <c r="H39" s="63" t="s">
        <v>2602</v>
      </c>
      <c r="I39">
        <v>11</v>
      </c>
      <c r="J39">
        <v>13853.470000000001</v>
      </c>
    </row>
    <row r="40" spans="1:10" x14ac:dyDescent="0.3">
      <c r="A40" s="2" t="s">
        <v>1926</v>
      </c>
      <c r="B40" s="4" t="s">
        <v>1927</v>
      </c>
      <c r="C40" s="4" t="s">
        <v>51</v>
      </c>
      <c r="D40" s="4" t="s">
        <v>145</v>
      </c>
      <c r="E40" s="4" t="s">
        <v>140</v>
      </c>
      <c r="F40" s="4" t="s">
        <v>24</v>
      </c>
      <c r="G40" s="63" t="s">
        <v>2578</v>
      </c>
      <c r="H40" s="63" t="s">
        <v>2582</v>
      </c>
      <c r="I40">
        <v>11</v>
      </c>
      <c r="J40">
        <v>13853.470000000001</v>
      </c>
    </row>
    <row r="41" spans="1:10" x14ac:dyDescent="0.3">
      <c r="A41" s="8" t="s">
        <v>227</v>
      </c>
      <c r="B41" s="10" t="s">
        <v>228</v>
      </c>
      <c r="C41" s="10" t="s">
        <v>51</v>
      </c>
      <c r="D41" s="10" t="s">
        <v>98</v>
      </c>
      <c r="E41" s="10" t="s">
        <v>80</v>
      </c>
      <c r="F41" s="10" t="s">
        <v>54</v>
      </c>
      <c r="G41" s="63" t="s">
        <v>2580</v>
      </c>
      <c r="H41" s="63" t="s">
        <v>2599</v>
      </c>
      <c r="I41">
        <v>11</v>
      </c>
      <c r="J41">
        <v>13853.470000000001</v>
      </c>
    </row>
    <row r="42" spans="1:10" x14ac:dyDescent="0.3">
      <c r="A42" s="2" t="s">
        <v>610</v>
      </c>
      <c r="B42" s="4" t="s">
        <v>611</v>
      </c>
      <c r="C42" s="4" t="s">
        <v>51</v>
      </c>
      <c r="D42" s="4" t="s">
        <v>346</v>
      </c>
      <c r="E42" s="4" t="s">
        <v>347</v>
      </c>
      <c r="F42" s="4" t="s">
        <v>88</v>
      </c>
      <c r="G42" s="63" t="s">
        <v>2579</v>
      </c>
      <c r="H42" s="63" t="s">
        <v>2603</v>
      </c>
      <c r="I42">
        <v>11</v>
      </c>
      <c r="J42">
        <v>13853.470000000001</v>
      </c>
    </row>
    <row r="43" spans="1:10" x14ac:dyDescent="0.3">
      <c r="A43" s="8" t="s">
        <v>191</v>
      </c>
      <c r="B43" s="10" t="s">
        <v>192</v>
      </c>
      <c r="C43" s="10" t="s">
        <v>21</v>
      </c>
      <c r="D43" s="10" t="s">
        <v>193</v>
      </c>
      <c r="E43" s="10" t="s">
        <v>194</v>
      </c>
      <c r="F43" s="10" t="s">
        <v>34</v>
      </c>
      <c r="G43" s="63" t="s">
        <v>2581</v>
      </c>
      <c r="H43" s="63" t="s">
        <v>2605</v>
      </c>
      <c r="I43">
        <v>11</v>
      </c>
      <c r="J43">
        <v>13853.470000000001</v>
      </c>
    </row>
    <row r="44" spans="1:10" x14ac:dyDescent="0.3">
      <c r="A44" s="2" t="s">
        <v>137</v>
      </c>
      <c r="B44" s="4" t="s">
        <v>138</v>
      </c>
      <c r="C44" s="4" t="s">
        <v>51</v>
      </c>
      <c r="D44" s="4" t="s">
        <v>139</v>
      </c>
      <c r="E44" s="4" t="s">
        <v>140</v>
      </c>
      <c r="F44" s="4" t="s">
        <v>24</v>
      </c>
      <c r="G44" s="63" t="s">
        <v>2582</v>
      </c>
      <c r="H44" s="63" t="s">
        <v>2609</v>
      </c>
      <c r="I44">
        <v>11</v>
      </c>
      <c r="J44">
        <v>13853.470000000001</v>
      </c>
    </row>
    <row r="45" spans="1:10" x14ac:dyDescent="0.3">
      <c r="A45" s="8" t="s">
        <v>628</v>
      </c>
      <c r="B45" s="10" t="s">
        <v>629</v>
      </c>
      <c r="C45" s="10" t="s">
        <v>42</v>
      </c>
      <c r="D45" s="10" t="s">
        <v>32</v>
      </c>
      <c r="E45" s="10" t="s">
        <v>33</v>
      </c>
      <c r="F45" s="10" t="s">
        <v>34</v>
      </c>
      <c r="G45" s="63" t="s">
        <v>2577</v>
      </c>
      <c r="H45" s="63" t="s">
        <v>2616</v>
      </c>
      <c r="I45">
        <v>11</v>
      </c>
      <c r="J45">
        <v>13853.470000000001</v>
      </c>
    </row>
    <row r="46" spans="1:10" x14ac:dyDescent="0.3">
      <c r="A46" s="2" t="s">
        <v>1097</v>
      </c>
      <c r="B46" s="4" t="s">
        <v>1098</v>
      </c>
      <c r="C46" s="4" t="s">
        <v>42</v>
      </c>
      <c r="D46" s="4" t="s">
        <v>417</v>
      </c>
      <c r="E46" s="4" t="s">
        <v>123</v>
      </c>
      <c r="F46" s="4" t="s">
        <v>24</v>
      </c>
      <c r="G46" s="63" t="s">
        <v>2560</v>
      </c>
      <c r="H46" s="63" t="s">
        <v>2605</v>
      </c>
      <c r="I46">
        <v>11</v>
      </c>
      <c r="J46">
        <v>13853.470000000001</v>
      </c>
    </row>
    <row r="47" spans="1:10" x14ac:dyDescent="0.3">
      <c r="A47" s="8" t="s">
        <v>472</v>
      </c>
      <c r="B47" s="10" t="s">
        <v>473</v>
      </c>
      <c r="C47" s="10" t="s">
        <v>51</v>
      </c>
      <c r="D47" s="10" t="s">
        <v>32</v>
      </c>
      <c r="E47" s="10" t="s">
        <v>33</v>
      </c>
      <c r="F47" s="10" t="s">
        <v>34</v>
      </c>
      <c r="G47" s="63" t="s">
        <v>2583</v>
      </c>
      <c r="H47" s="63" t="s">
        <v>2611</v>
      </c>
      <c r="I47">
        <v>11</v>
      </c>
      <c r="J47">
        <v>13853.470000000001</v>
      </c>
    </row>
    <row r="48" spans="1:10" x14ac:dyDescent="0.3">
      <c r="A48" s="2" t="s">
        <v>441</v>
      </c>
      <c r="B48" s="4" t="s">
        <v>442</v>
      </c>
      <c r="C48" s="4" t="s">
        <v>21</v>
      </c>
      <c r="D48" s="4" t="s">
        <v>98</v>
      </c>
      <c r="E48" s="4" t="s">
        <v>80</v>
      </c>
      <c r="F48" s="4" t="s">
        <v>54</v>
      </c>
      <c r="G48" s="63" t="s">
        <v>2572</v>
      </c>
      <c r="H48" s="63" t="s">
        <v>2604</v>
      </c>
      <c r="I48">
        <v>11</v>
      </c>
      <c r="J48">
        <v>13853.470000000001</v>
      </c>
    </row>
    <row r="49" spans="1:10" x14ac:dyDescent="0.3">
      <c r="A49" s="8" t="s">
        <v>309</v>
      </c>
      <c r="B49" s="10" t="s">
        <v>310</v>
      </c>
      <c r="C49" s="10" t="s">
        <v>21</v>
      </c>
      <c r="D49" s="10" t="s">
        <v>115</v>
      </c>
      <c r="E49" s="10" t="s">
        <v>116</v>
      </c>
      <c r="F49" s="10" t="s">
        <v>54</v>
      </c>
      <c r="G49" s="63" t="s">
        <v>2557</v>
      </c>
      <c r="H49" s="63" t="s">
        <v>2617</v>
      </c>
      <c r="I49">
        <v>11</v>
      </c>
      <c r="J49">
        <v>13853.470000000001</v>
      </c>
    </row>
    <row r="50" spans="1:10" x14ac:dyDescent="0.3">
      <c r="A50" s="2" t="s">
        <v>1708</v>
      </c>
      <c r="B50" s="4" t="s">
        <v>1709</v>
      </c>
      <c r="C50" s="4" t="s">
        <v>51</v>
      </c>
      <c r="D50" s="4" t="s">
        <v>177</v>
      </c>
      <c r="E50" s="4" t="s">
        <v>178</v>
      </c>
      <c r="F50" s="4" t="s">
        <v>24</v>
      </c>
      <c r="G50" s="63" t="s">
        <v>2574</v>
      </c>
      <c r="H50" s="63" t="s">
        <v>2606</v>
      </c>
      <c r="I50">
        <v>11</v>
      </c>
      <c r="J50">
        <v>13853.470000000001</v>
      </c>
    </row>
    <row r="51" spans="1:10" x14ac:dyDescent="0.3">
      <c r="A51" s="8" t="s">
        <v>682</v>
      </c>
      <c r="B51" s="10" t="s">
        <v>683</v>
      </c>
      <c r="C51" s="10" t="s">
        <v>21</v>
      </c>
      <c r="D51" s="10" t="s">
        <v>66</v>
      </c>
      <c r="E51" s="10" t="s">
        <v>67</v>
      </c>
      <c r="F51" s="10" t="s">
        <v>34</v>
      </c>
      <c r="G51" s="63" t="s">
        <v>2582</v>
      </c>
      <c r="H51" s="63" t="s">
        <v>2618</v>
      </c>
      <c r="I51">
        <v>11</v>
      </c>
      <c r="J51">
        <v>13853.470000000001</v>
      </c>
    </row>
    <row r="52" spans="1:10" x14ac:dyDescent="0.3">
      <c r="A52" s="2" t="s">
        <v>205</v>
      </c>
      <c r="B52" s="4" t="s">
        <v>206</v>
      </c>
      <c r="C52" s="4" t="s">
        <v>51</v>
      </c>
      <c r="D52" s="4" t="s">
        <v>207</v>
      </c>
      <c r="E52" s="4" t="s">
        <v>60</v>
      </c>
      <c r="F52" s="4" t="s">
        <v>54</v>
      </c>
      <c r="G52" s="63" t="s">
        <v>2568</v>
      </c>
      <c r="H52" s="63" t="s">
        <v>2604</v>
      </c>
      <c r="I52">
        <v>11</v>
      </c>
      <c r="J52">
        <v>13853.470000000001</v>
      </c>
    </row>
    <row r="53" spans="1:10" x14ac:dyDescent="0.3">
      <c r="A53" s="8" t="s">
        <v>1070</v>
      </c>
      <c r="B53" s="10" t="s">
        <v>1071</v>
      </c>
      <c r="C53" s="10" t="s">
        <v>51</v>
      </c>
      <c r="D53" s="10" t="s">
        <v>177</v>
      </c>
      <c r="E53" s="10" t="s">
        <v>178</v>
      </c>
      <c r="F53" s="10" t="s">
        <v>24</v>
      </c>
      <c r="G53" s="63" t="s">
        <v>2560</v>
      </c>
      <c r="H53" s="63" t="s">
        <v>2619</v>
      </c>
      <c r="I53">
        <v>11</v>
      </c>
      <c r="J53">
        <v>13853.470000000001</v>
      </c>
    </row>
    <row r="54" spans="1:10" x14ac:dyDescent="0.3">
      <c r="A54" s="2" t="s">
        <v>553</v>
      </c>
      <c r="B54" s="4" t="s">
        <v>554</v>
      </c>
      <c r="C54" s="4" t="s">
        <v>42</v>
      </c>
      <c r="D54" s="4" t="s">
        <v>177</v>
      </c>
      <c r="E54" s="4" t="s">
        <v>178</v>
      </c>
      <c r="F54" s="4" t="s">
        <v>24</v>
      </c>
      <c r="G54" s="63" t="s">
        <v>2579</v>
      </c>
      <c r="H54" s="63" t="s">
        <v>2620</v>
      </c>
      <c r="I54">
        <v>11</v>
      </c>
      <c r="J54">
        <v>13853.470000000001</v>
      </c>
    </row>
    <row r="55" spans="1:10" x14ac:dyDescent="0.3">
      <c r="A55" s="8" t="s">
        <v>1938</v>
      </c>
      <c r="B55" s="10" t="s">
        <v>1939</v>
      </c>
      <c r="C55" s="10" t="s">
        <v>51</v>
      </c>
      <c r="D55" s="10" t="s">
        <v>1091</v>
      </c>
      <c r="E55" s="10" t="s">
        <v>23</v>
      </c>
      <c r="F55" s="10" t="s">
        <v>24</v>
      </c>
      <c r="G55" s="63" t="s">
        <v>2584</v>
      </c>
      <c r="H55" s="63" t="s">
        <v>2612</v>
      </c>
      <c r="I55">
        <v>11</v>
      </c>
      <c r="J55">
        <v>13853.470000000001</v>
      </c>
    </row>
    <row r="56" spans="1:10" x14ac:dyDescent="0.3">
      <c r="A56" s="2" t="s">
        <v>96</v>
      </c>
      <c r="B56" s="4" t="s">
        <v>97</v>
      </c>
      <c r="C56" s="4" t="s">
        <v>21</v>
      </c>
      <c r="D56" s="4" t="s">
        <v>98</v>
      </c>
      <c r="E56" s="4" t="s">
        <v>80</v>
      </c>
      <c r="F56" s="4" t="s">
        <v>54</v>
      </c>
      <c r="G56" s="63" t="s">
        <v>2582</v>
      </c>
      <c r="H56" s="63" t="s">
        <v>2621</v>
      </c>
      <c r="I56">
        <v>11</v>
      </c>
      <c r="J56">
        <v>13853.470000000001</v>
      </c>
    </row>
    <row r="57" spans="1:10" x14ac:dyDescent="0.3">
      <c r="A57" s="8" t="s">
        <v>2013</v>
      </c>
      <c r="B57" s="10" t="s">
        <v>2014</v>
      </c>
      <c r="C57" s="10" t="s">
        <v>42</v>
      </c>
      <c r="D57" s="10" t="s">
        <v>177</v>
      </c>
      <c r="E57" s="10" t="s">
        <v>178</v>
      </c>
      <c r="F57" s="10" t="s">
        <v>24</v>
      </c>
      <c r="G57" s="63" t="s">
        <v>2585</v>
      </c>
      <c r="H57" s="63" t="s">
        <v>2619</v>
      </c>
      <c r="I57">
        <v>11</v>
      </c>
      <c r="J57">
        <v>13853.470000000001</v>
      </c>
    </row>
    <row r="58" spans="1:10" x14ac:dyDescent="0.3">
      <c r="A58" s="2" t="s">
        <v>214</v>
      </c>
      <c r="B58" s="4" t="s">
        <v>215</v>
      </c>
      <c r="C58" s="4" t="s">
        <v>21</v>
      </c>
      <c r="D58" s="4" t="s">
        <v>52</v>
      </c>
      <c r="E58" s="4" t="s">
        <v>53</v>
      </c>
      <c r="F58" s="4" t="s">
        <v>54</v>
      </c>
      <c r="G58" s="63" t="s">
        <v>2586</v>
      </c>
      <c r="H58" s="63" t="s">
        <v>2600</v>
      </c>
      <c r="I58">
        <v>11</v>
      </c>
      <c r="J58">
        <v>13853.470000000001</v>
      </c>
    </row>
    <row r="59" spans="1:10" x14ac:dyDescent="0.3">
      <c r="A59" s="8" t="s">
        <v>175</v>
      </c>
      <c r="B59" s="10" t="s">
        <v>176</v>
      </c>
      <c r="C59" s="10" t="s">
        <v>51</v>
      </c>
      <c r="D59" s="10" t="s">
        <v>177</v>
      </c>
      <c r="E59" s="10" t="s">
        <v>178</v>
      </c>
      <c r="F59" s="10" t="s">
        <v>24</v>
      </c>
      <c r="G59" s="63" t="s">
        <v>2587</v>
      </c>
      <c r="H59" s="63" t="s">
        <v>2612</v>
      </c>
      <c r="I59">
        <v>11</v>
      </c>
      <c r="J59">
        <v>13853.470000000001</v>
      </c>
    </row>
    <row r="60" spans="1:10" x14ac:dyDescent="0.3">
      <c r="A60" s="2" t="s">
        <v>490</v>
      </c>
      <c r="B60" s="4" t="s">
        <v>491</v>
      </c>
      <c r="C60" s="4" t="s">
        <v>42</v>
      </c>
      <c r="D60" s="4" t="s">
        <v>492</v>
      </c>
      <c r="E60" s="4" t="s">
        <v>53</v>
      </c>
      <c r="F60" s="4" t="s">
        <v>54</v>
      </c>
      <c r="G60" s="63" t="s">
        <v>2580</v>
      </c>
      <c r="H60" s="63" t="s">
        <v>2598</v>
      </c>
      <c r="I60">
        <v>11</v>
      </c>
      <c r="J60">
        <v>13853.470000000001</v>
      </c>
    </row>
    <row r="61" spans="1:10" x14ac:dyDescent="0.3">
      <c r="A61" s="8" t="s">
        <v>163</v>
      </c>
      <c r="B61" s="10" t="s">
        <v>164</v>
      </c>
      <c r="C61" s="10" t="s">
        <v>21</v>
      </c>
      <c r="D61" s="10" t="s">
        <v>165</v>
      </c>
      <c r="E61" s="10" t="s">
        <v>44</v>
      </c>
      <c r="F61" s="10" t="s">
        <v>24</v>
      </c>
      <c r="G61" s="63" t="s">
        <v>2570</v>
      </c>
      <c r="H61" s="63" t="s">
        <v>2622</v>
      </c>
      <c r="I61">
        <v>11</v>
      </c>
      <c r="J61">
        <v>13853.470000000001</v>
      </c>
    </row>
    <row r="62" spans="1:10" x14ac:dyDescent="0.3">
      <c r="A62" s="2" t="s">
        <v>265</v>
      </c>
      <c r="B62" s="4" t="s">
        <v>266</v>
      </c>
      <c r="C62" s="4" t="s">
        <v>21</v>
      </c>
      <c r="D62" s="4" t="s">
        <v>171</v>
      </c>
      <c r="E62" s="4" t="s">
        <v>172</v>
      </c>
      <c r="F62" s="4" t="s">
        <v>24</v>
      </c>
      <c r="G62" s="63" t="s">
        <v>2575</v>
      </c>
      <c r="H62" s="63" t="s">
        <v>2622</v>
      </c>
      <c r="I62">
        <v>11</v>
      </c>
      <c r="J62">
        <v>13853.470000000001</v>
      </c>
    </row>
    <row r="63" spans="1:10" x14ac:dyDescent="0.3">
      <c r="A63" s="8" t="s">
        <v>561</v>
      </c>
      <c r="B63" s="10" t="s">
        <v>562</v>
      </c>
      <c r="C63" s="10" t="s">
        <v>42</v>
      </c>
      <c r="D63" s="10" t="s">
        <v>563</v>
      </c>
      <c r="E63" s="10" t="s">
        <v>460</v>
      </c>
      <c r="F63" s="10" t="s">
        <v>54</v>
      </c>
      <c r="G63" s="63" t="s">
        <v>2559</v>
      </c>
      <c r="H63" s="63" t="s">
        <v>2617</v>
      </c>
      <c r="I63">
        <v>11</v>
      </c>
      <c r="J63">
        <v>13853.470000000001</v>
      </c>
    </row>
    <row r="64" spans="1:10" x14ac:dyDescent="0.3">
      <c r="A64" s="2" t="s">
        <v>905</v>
      </c>
      <c r="B64" s="4" t="s">
        <v>906</v>
      </c>
      <c r="C64" s="4" t="s">
        <v>51</v>
      </c>
      <c r="D64" s="4" t="s">
        <v>352</v>
      </c>
      <c r="E64" s="4" t="s">
        <v>306</v>
      </c>
      <c r="F64" s="4" t="s">
        <v>34</v>
      </c>
      <c r="G64" s="63" t="s">
        <v>2570</v>
      </c>
      <c r="H64" s="63" t="s">
        <v>2617</v>
      </c>
      <c r="I64">
        <v>11</v>
      </c>
      <c r="J64">
        <v>13853.470000000001</v>
      </c>
    </row>
    <row r="65" spans="1:10" x14ac:dyDescent="0.3">
      <c r="A65" s="8" t="s">
        <v>1464</v>
      </c>
      <c r="B65" s="10" t="s">
        <v>1465</v>
      </c>
      <c r="C65" s="10" t="s">
        <v>21</v>
      </c>
      <c r="D65" s="10" t="s">
        <v>438</v>
      </c>
      <c r="E65" s="10" t="s">
        <v>157</v>
      </c>
      <c r="F65" s="10" t="s">
        <v>88</v>
      </c>
      <c r="G65" s="63" t="s">
        <v>2572</v>
      </c>
      <c r="H65" s="63" t="s">
        <v>2623</v>
      </c>
      <c r="I65">
        <v>11</v>
      </c>
      <c r="J65">
        <v>13853.470000000001</v>
      </c>
    </row>
    <row r="66" spans="1:10" x14ac:dyDescent="0.3">
      <c r="A66" s="2" t="s">
        <v>495</v>
      </c>
      <c r="B66" s="4" t="s">
        <v>496</v>
      </c>
      <c r="C66" s="4" t="s">
        <v>51</v>
      </c>
      <c r="D66" s="4" t="s">
        <v>497</v>
      </c>
      <c r="E66" s="4" t="s">
        <v>423</v>
      </c>
      <c r="F66" s="4" t="s">
        <v>88</v>
      </c>
      <c r="G66" s="63" t="s">
        <v>2561</v>
      </c>
      <c r="H66" s="63" t="s">
        <v>2599</v>
      </c>
      <c r="I66">
        <v>11</v>
      </c>
      <c r="J66">
        <v>13853.470000000001</v>
      </c>
    </row>
    <row r="67" spans="1:10" x14ac:dyDescent="0.3">
      <c r="A67" s="8" t="s">
        <v>432</v>
      </c>
      <c r="B67" s="10" t="s">
        <v>433</v>
      </c>
      <c r="C67" s="10" t="s">
        <v>51</v>
      </c>
      <c r="D67" s="10" t="s">
        <v>171</v>
      </c>
      <c r="E67" s="10" t="s">
        <v>172</v>
      </c>
      <c r="F67" s="10" t="s">
        <v>24</v>
      </c>
      <c r="G67" s="63" t="s">
        <v>2577</v>
      </c>
      <c r="H67" s="63" t="s">
        <v>2609</v>
      </c>
      <c r="I67">
        <v>11</v>
      </c>
      <c r="J67">
        <v>13853.470000000001</v>
      </c>
    </row>
    <row r="68" spans="1:10" x14ac:dyDescent="0.3">
      <c r="A68" s="2" t="s">
        <v>813</v>
      </c>
      <c r="B68" s="4" t="s">
        <v>814</v>
      </c>
      <c r="C68" s="4" t="s">
        <v>51</v>
      </c>
      <c r="D68" s="4" t="s">
        <v>134</v>
      </c>
      <c r="E68" s="4" t="s">
        <v>87</v>
      </c>
      <c r="F68" s="4" t="s">
        <v>88</v>
      </c>
      <c r="G68" s="63" t="s">
        <v>2588</v>
      </c>
      <c r="H68" s="63" t="s">
        <v>2602</v>
      </c>
      <c r="I68">
        <v>11</v>
      </c>
      <c r="J68">
        <v>13853.470000000001</v>
      </c>
    </row>
    <row r="69" spans="1:10" x14ac:dyDescent="0.3">
      <c r="A69" s="8" t="s">
        <v>580</v>
      </c>
      <c r="B69" s="10" t="s">
        <v>581</v>
      </c>
      <c r="C69" s="10" t="s">
        <v>51</v>
      </c>
      <c r="D69" s="10" t="s">
        <v>156</v>
      </c>
      <c r="E69" s="10" t="s">
        <v>157</v>
      </c>
      <c r="F69" s="10" t="s">
        <v>88</v>
      </c>
      <c r="G69" s="63" t="s">
        <v>2566</v>
      </c>
      <c r="H69" s="63" t="s">
        <v>2624</v>
      </c>
      <c r="I69">
        <v>11</v>
      </c>
      <c r="J69">
        <v>13853.470000000001</v>
      </c>
    </row>
    <row r="70" spans="1:10" x14ac:dyDescent="0.3">
      <c r="A70" s="2" t="s">
        <v>528</v>
      </c>
      <c r="B70" s="4" t="s">
        <v>529</v>
      </c>
      <c r="C70" s="4" t="s">
        <v>51</v>
      </c>
      <c r="D70" s="4" t="s">
        <v>530</v>
      </c>
      <c r="E70" s="4" t="s">
        <v>373</v>
      </c>
      <c r="F70" s="4" t="s">
        <v>34</v>
      </c>
      <c r="G70" s="63" t="s">
        <v>2557</v>
      </c>
      <c r="H70" s="63" t="s">
        <v>2600</v>
      </c>
      <c r="I70">
        <v>11</v>
      </c>
      <c r="J70">
        <v>13853.470000000001</v>
      </c>
    </row>
    <row r="71" spans="1:10" x14ac:dyDescent="0.3">
      <c r="A71" s="8" t="s">
        <v>108</v>
      </c>
      <c r="B71" s="10" t="s">
        <v>109</v>
      </c>
      <c r="C71" s="10" t="s">
        <v>21</v>
      </c>
      <c r="D71" s="10" t="s">
        <v>22</v>
      </c>
      <c r="E71" s="10" t="s">
        <v>23</v>
      </c>
      <c r="F71" s="10" t="s">
        <v>24</v>
      </c>
      <c r="G71" s="63" t="s">
        <v>2558</v>
      </c>
      <c r="H71" s="63" t="s">
        <v>2598</v>
      </c>
      <c r="I71">
        <v>11</v>
      </c>
      <c r="J71">
        <v>13853.470000000001</v>
      </c>
    </row>
    <row r="72" spans="1:10" x14ac:dyDescent="0.3">
      <c r="A72" s="2" t="s">
        <v>512</v>
      </c>
      <c r="B72" s="4" t="s">
        <v>513</v>
      </c>
      <c r="C72" s="4" t="s">
        <v>21</v>
      </c>
      <c r="D72" s="4" t="s">
        <v>104</v>
      </c>
      <c r="E72" s="4" t="s">
        <v>105</v>
      </c>
      <c r="F72" s="4" t="s">
        <v>88</v>
      </c>
      <c r="G72" s="63" t="s">
        <v>2573</v>
      </c>
      <c r="H72" s="63" t="s">
        <v>2621</v>
      </c>
      <c r="I72">
        <v>11</v>
      </c>
      <c r="J72">
        <v>13853.470000000001</v>
      </c>
    </row>
    <row r="73" spans="1:10" x14ac:dyDescent="0.3">
      <c r="A73" s="8" t="s">
        <v>113</v>
      </c>
      <c r="B73" s="10" t="s">
        <v>114</v>
      </c>
      <c r="C73" s="10" t="s">
        <v>21</v>
      </c>
      <c r="D73" s="10" t="s">
        <v>115</v>
      </c>
      <c r="E73" s="10" t="s">
        <v>116</v>
      </c>
      <c r="F73" s="10" t="s">
        <v>54</v>
      </c>
      <c r="G73" s="63" t="s">
        <v>2587</v>
      </c>
      <c r="H73" s="63" t="s">
        <v>2598</v>
      </c>
      <c r="I73">
        <v>11</v>
      </c>
      <c r="J73">
        <v>13853.470000000001</v>
      </c>
    </row>
    <row r="74" spans="1:10" x14ac:dyDescent="0.3">
      <c r="A74" s="2" t="s">
        <v>40</v>
      </c>
      <c r="B74" s="4" t="s">
        <v>41</v>
      </c>
      <c r="C74" s="4" t="s">
        <v>42</v>
      </c>
      <c r="D74" s="4" t="s">
        <v>43</v>
      </c>
      <c r="E74" s="4" t="s">
        <v>44</v>
      </c>
      <c r="F74" s="4" t="s">
        <v>24</v>
      </c>
      <c r="G74" s="63" t="s">
        <v>2578</v>
      </c>
      <c r="H74" s="63" t="s">
        <v>2604</v>
      </c>
      <c r="I74">
        <v>11</v>
      </c>
      <c r="J74">
        <v>13853.470000000001</v>
      </c>
    </row>
    <row r="75" spans="1:10" x14ac:dyDescent="0.3">
      <c r="A75" s="8" t="s">
        <v>19</v>
      </c>
      <c r="B75" s="10" t="s">
        <v>20</v>
      </c>
      <c r="C75" s="10" t="s">
        <v>21</v>
      </c>
      <c r="D75" s="10" t="s">
        <v>22</v>
      </c>
      <c r="E75" s="10" t="s">
        <v>23</v>
      </c>
      <c r="F75" s="10" t="s">
        <v>24</v>
      </c>
      <c r="G75" s="63" t="s">
        <v>2557</v>
      </c>
      <c r="H75" s="63" t="s">
        <v>2613</v>
      </c>
      <c r="I75">
        <v>11</v>
      </c>
      <c r="J75">
        <v>13853.470000000001</v>
      </c>
    </row>
    <row r="76" spans="1:10" x14ac:dyDescent="0.3">
      <c r="A76" s="2" t="s">
        <v>480</v>
      </c>
      <c r="B76" s="4" t="s">
        <v>481</v>
      </c>
      <c r="C76" s="4" t="s">
        <v>42</v>
      </c>
      <c r="D76" s="4" t="s">
        <v>352</v>
      </c>
      <c r="E76" s="4" t="s">
        <v>306</v>
      </c>
      <c r="F76" s="4" t="s">
        <v>34</v>
      </c>
      <c r="G76" s="63" t="s">
        <v>2581</v>
      </c>
      <c r="H76" s="63" t="s">
        <v>2616</v>
      </c>
      <c r="I76">
        <v>11</v>
      </c>
      <c r="J76">
        <v>13853.470000000001</v>
      </c>
    </row>
    <row r="77" spans="1:10" x14ac:dyDescent="0.3">
      <c r="A77" s="8" t="s">
        <v>143</v>
      </c>
      <c r="B77" s="10" t="s">
        <v>144</v>
      </c>
      <c r="C77" s="10" t="s">
        <v>21</v>
      </c>
      <c r="D77" s="10" t="s">
        <v>145</v>
      </c>
      <c r="E77" s="10" t="s">
        <v>140</v>
      </c>
      <c r="F77" s="10" t="s">
        <v>24</v>
      </c>
      <c r="G77" s="63" t="s">
        <v>2571</v>
      </c>
      <c r="H77" s="63" t="s">
        <v>2582</v>
      </c>
      <c r="I77">
        <v>11</v>
      </c>
      <c r="J77">
        <v>13853.470000000001</v>
      </c>
    </row>
    <row r="78" spans="1:10" x14ac:dyDescent="0.3">
      <c r="A78" s="2" t="s">
        <v>1158</v>
      </c>
      <c r="B78" s="4" t="s">
        <v>1159</v>
      </c>
      <c r="C78" s="4" t="s">
        <v>42</v>
      </c>
      <c r="D78" s="4" t="s">
        <v>346</v>
      </c>
      <c r="E78" s="4" t="s">
        <v>347</v>
      </c>
      <c r="F78" s="4" t="s">
        <v>88</v>
      </c>
      <c r="G78" s="63" t="s">
        <v>2578</v>
      </c>
      <c r="H78" s="63" t="s">
        <v>2606</v>
      </c>
      <c r="I78">
        <v>11</v>
      </c>
      <c r="J78">
        <v>13853.470000000001</v>
      </c>
    </row>
    <row r="79" spans="1:10" x14ac:dyDescent="0.3">
      <c r="A79" s="8" t="s">
        <v>650</v>
      </c>
      <c r="B79" s="10" t="s">
        <v>651</v>
      </c>
      <c r="C79" s="10" t="s">
        <v>42</v>
      </c>
      <c r="D79" s="10" t="s">
        <v>438</v>
      </c>
      <c r="E79" s="10" t="s">
        <v>157</v>
      </c>
      <c r="F79" s="10" t="s">
        <v>88</v>
      </c>
      <c r="G79" s="63" t="s">
        <v>2559</v>
      </c>
      <c r="H79" s="63" t="s">
        <v>2611</v>
      </c>
      <c r="I79">
        <v>11</v>
      </c>
      <c r="J79">
        <v>13853.470000000001</v>
      </c>
    </row>
    <row r="80" spans="1:10" x14ac:dyDescent="0.3">
      <c r="A80" s="2" t="s">
        <v>415</v>
      </c>
      <c r="B80" s="4" t="s">
        <v>416</v>
      </c>
      <c r="C80" s="4" t="s">
        <v>42</v>
      </c>
      <c r="D80" s="4" t="s">
        <v>417</v>
      </c>
      <c r="E80" s="4" t="s">
        <v>123</v>
      </c>
      <c r="F80" s="4" t="s">
        <v>24</v>
      </c>
      <c r="G80" s="63" t="s">
        <v>2565</v>
      </c>
      <c r="H80" s="63" t="s">
        <v>2616</v>
      </c>
      <c r="I80">
        <v>11</v>
      </c>
      <c r="J80">
        <v>13853.470000000001</v>
      </c>
    </row>
    <row r="81" spans="1:10" x14ac:dyDescent="0.3">
      <c r="A81" s="8" t="s">
        <v>1521</v>
      </c>
      <c r="B81" s="10" t="s">
        <v>1522</v>
      </c>
      <c r="C81" s="10" t="s">
        <v>51</v>
      </c>
      <c r="D81" s="10" t="s">
        <v>305</v>
      </c>
      <c r="E81" s="10" t="s">
        <v>306</v>
      </c>
      <c r="F81" s="10" t="s">
        <v>34</v>
      </c>
      <c r="G81" s="63" t="s">
        <v>2584</v>
      </c>
      <c r="H81" s="63" t="s">
        <v>2596</v>
      </c>
      <c r="I81">
        <v>11</v>
      </c>
      <c r="J81">
        <v>13853.470000000001</v>
      </c>
    </row>
    <row r="82" spans="1:10" x14ac:dyDescent="0.3">
      <c r="A82" s="2" t="s">
        <v>57</v>
      </c>
      <c r="B82" s="4" t="s">
        <v>58</v>
      </c>
      <c r="C82" s="4" t="s">
        <v>42</v>
      </c>
      <c r="D82" s="4" t="s">
        <v>59</v>
      </c>
      <c r="E82" s="4" t="s">
        <v>60</v>
      </c>
      <c r="F82" s="4" t="s">
        <v>54</v>
      </c>
      <c r="G82" s="63" t="s">
        <v>2579</v>
      </c>
      <c r="H82" s="63" t="s">
        <v>2614</v>
      </c>
      <c r="I82">
        <v>11</v>
      </c>
      <c r="J82">
        <v>13853.470000000001</v>
      </c>
    </row>
    <row r="83" spans="1:10" x14ac:dyDescent="0.3">
      <c r="A83" s="8" t="s">
        <v>1136</v>
      </c>
      <c r="B83" s="10" t="s">
        <v>1137</v>
      </c>
      <c r="C83" s="10" t="s">
        <v>51</v>
      </c>
      <c r="D83" s="10" t="s">
        <v>386</v>
      </c>
      <c r="E83" s="10" t="s">
        <v>347</v>
      </c>
      <c r="F83" s="10" t="s">
        <v>88</v>
      </c>
      <c r="G83" s="63" t="s">
        <v>2577</v>
      </c>
      <c r="H83" s="63" t="s">
        <v>2601</v>
      </c>
      <c r="I83">
        <v>11</v>
      </c>
      <c r="J83">
        <v>13853.470000000001</v>
      </c>
    </row>
    <row r="84" spans="1:10" x14ac:dyDescent="0.3">
      <c r="A84" s="2" t="s">
        <v>584</v>
      </c>
      <c r="B84" s="4" t="s">
        <v>585</v>
      </c>
      <c r="C84" s="4" t="s">
        <v>42</v>
      </c>
      <c r="D84" s="4" t="s">
        <v>250</v>
      </c>
      <c r="E84" s="4" t="s">
        <v>251</v>
      </c>
      <c r="F84" s="4" t="s">
        <v>88</v>
      </c>
      <c r="G84" s="63" t="s">
        <v>2589</v>
      </c>
      <c r="H84" s="63" t="s">
        <v>2599</v>
      </c>
      <c r="I84">
        <v>11</v>
      </c>
      <c r="J84">
        <v>13853.470000000001</v>
      </c>
    </row>
    <row r="85" spans="1:10" x14ac:dyDescent="0.3">
      <c r="A85" s="8" t="s">
        <v>289</v>
      </c>
      <c r="B85" s="10" t="s">
        <v>290</v>
      </c>
      <c r="C85" s="10" t="s">
        <v>51</v>
      </c>
      <c r="D85" s="10" t="s">
        <v>115</v>
      </c>
      <c r="E85" s="10" t="s">
        <v>116</v>
      </c>
      <c r="F85" s="10" t="s">
        <v>54</v>
      </c>
      <c r="G85" s="63" t="s">
        <v>2574</v>
      </c>
      <c r="H85" s="63" t="s">
        <v>2609</v>
      </c>
      <c r="I85">
        <v>11</v>
      </c>
      <c r="J85">
        <v>13853.470000000001</v>
      </c>
    </row>
    <row r="86" spans="1:10" x14ac:dyDescent="0.3">
      <c r="A86" s="2" t="s">
        <v>946</v>
      </c>
      <c r="B86" s="4" t="s">
        <v>947</v>
      </c>
      <c r="C86" s="4" t="s">
        <v>21</v>
      </c>
      <c r="D86" s="4" t="s">
        <v>156</v>
      </c>
      <c r="E86" s="4" t="s">
        <v>157</v>
      </c>
      <c r="F86" s="4" t="s">
        <v>88</v>
      </c>
      <c r="G86" s="63" t="s">
        <v>2567</v>
      </c>
      <c r="H86" s="63" t="s">
        <v>2608</v>
      </c>
      <c r="I86">
        <v>11</v>
      </c>
      <c r="J86">
        <v>13853.470000000001</v>
      </c>
    </row>
    <row r="87" spans="1:10" x14ac:dyDescent="0.3">
      <c r="A87" s="8" t="s">
        <v>333</v>
      </c>
      <c r="B87" s="10" t="s">
        <v>334</v>
      </c>
      <c r="C87" s="10" t="s">
        <v>21</v>
      </c>
      <c r="D87" s="10" t="s">
        <v>335</v>
      </c>
      <c r="E87" s="10" t="s">
        <v>251</v>
      </c>
      <c r="F87" s="10" t="s">
        <v>88</v>
      </c>
      <c r="G87" s="63" t="s">
        <v>2573</v>
      </c>
      <c r="H87" s="63" t="s">
        <v>2598</v>
      </c>
      <c r="I87">
        <v>11</v>
      </c>
      <c r="J87">
        <v>13853.470000000001</v>
      </c>
    </row>
    <row r="88" spans="1:10" x14ac:dyDescent="0.3">
      <c r="A88" s="2" t="s">
        <v>329</v>
      </c>
      <c r="B88" s="4" t="s">
        <v>330</v>
      </c>
      <c r="C88" s="4" t="s">
        <v>42</v>
      </c>
      <c r="D88" s="4" t="s">
        <v>66</v>
      </c>
      <c r="E88" s="4" t="s">
        <v>67</v>
      </c>
      <c r="F88" s="4" t="s">
        <v>34</v>
      </c>
      <c r="G88" s="63" t="s">
        <v>2580</v>
      </c>
      <c r="H88" s="63" t="s">
        <v>2600</v>
      </c>
      <c r="I88">
        <v>11</v>
      </c>
      <c r="J88">
        <v>13853.470000000001</v>
      </c>
    </row>
    <row r="89" spans="1:10" x14ac:dyDescent="0.3">
      <c r="A89" s="8" t="s">
        <v>533</v>
      </c>
      <c r="B89" s="10" t="s">
        <v>534</v>
      </c>
      <c r="C89" s="10" t="s">
        <v>42</v>
      </c>
      <c r="D89" s="10" t="s">
        <v>145</v>
      </c>
      <c r="E89" s="10" t="s">
        <v>140</v>
      </c>
      <c r="F89" s="10" t="s">
        <v>24</v>
      </c>
      <c r="G89" s="63" t="s">
        <v>2586</v>
      </c>
      <c r="H89" s="63" t="s">
        <v>2617</v>
      </c>
      <c r="I89">
        <v>11</v>
      </c>
      <c r="J89">
        <v>13853.470000000001</v>
      </c>
    </row>
    <row r="90" spans="1:10" x14ac:dyDescent="0.3">
      <c r="A90" s="2" t="s">
        <v>1101</v>
      </c>
      <c r="B90" s="4" t="s">
        <v>1102</v>
      </c>
      <c r="C90" s="4" t="s">
        <v>42</v>
      </c>
      <c r="D90" s="4" t="s">
        <v>1103</v>
      </c>
      <c r="E90" s="4" t="s">
        <v>172</v>
      </c>
      <c r="F90" s="4" t="s">
        <v>24</v>
      </c>
      <c r="G90" s="63" t="s">
        <v>2585</v>
      </c>
      <c r="H90" s="63" t="s">
        <v>2617</v>
      </c>
      <c r="I90">
        <v>11</v>
      </c>
      <c r="J90">
        <v>13853.470000000001</v>
      </c>
    </row>
    <row r="91" spans="1:10" x14ac:dyDescent="0.3">
      <c r="A91" s="8" t="s">
        <v>809</v>
      </c>
      <c r="B91" s="10" t="s">
        <v>810</v>
      </c>
      <c r="C91" s="10" t="s">
        <v>42</v>
      </c>
      <c r="D91" s="10" t="s">
        <v>352</v>
      </c>
      <c r="E91" s="10" t="s">
        <v>306</v>
      </c>
      <c r="F91" s="10" t="s">
        <v>34</v>
      </c>
      <c r="G91" s="63" t="s">
        <v>2565</v>
      </c>
      <c r="H91" s="63" t="s">
        <v>2608</v>
      </c>
      <c r="I91">
        <v>11</v>
      </c>
      <c r="J91">
        <v>13853.470000000001</v>
      </c>
    </row>
    <row r="92" spans="1:10" x14ac:dyDescent="0.3">
      <c r="A92" s="2" t="s">
        <v>2451</v>
      </c>
      <c r="B92" s="4" t="s">
        <v>2452</v>
      </c>
      <c r="C92" s="4" t="s">
        <v>21</v>
      </c>
      <c r="D92" s="4" t="s">
        <v>59</v>
      </c>
      <c r="E92" s="4" t="s">
        <v>60</v>
      </c>
      <c r="F92" s="4" t="s">
        <v>54</v>
      </c>
      <c r="G92" s="63" t="s">
        <v>2570</v>
      </c>
      <c r="H92" s="63" t="s">
        <v>2619</v>
      </c>
      <c r="I92">
        <v>11</v>
      </c>
      <c r="J92">
        <v>13853.470000000001</v>
      </c>
    </row>
    <row r="93" spans="1:10" x14ac:dyDescent="0.3">
      <c r="A93" s="8" t="s">
        <v>670</v>
      </c>
      <c r="B93" s="10" t="s">
        <v>671</v>
      </c>
      <c r="C93" s="10" t="s">
        <v>21</v>
      </c>
      <c r="D93" s="10" t="s">
        <v>465</v>
      </c>
      <c r="E93" s="10" t="s">
        <v>423</v>
      </c>
      <c r="F93" s="10" t="s">
        <v>88</v>
      </c>
      <c r="G93" s="63" t="s">
        <v>2560</v>
      </c>
      <c r="H93" s="63" t="s">
        <v>2609</v>
      </c>
      <c r="I93">
        <v>11</v>
      </c>
      <c r="J93">
        <v>13853.470000000001</v>
      </c>
    </row>
    <row r="94" spans="1:10" x14ac:dyDescent="0.3">
      <c r="A94" s="2" t="s">
        <v>1162</v>
      </c>
      <c r="B94" s="4" t="s">
        <v>1163</v>
      </c>
      <c r="C94" s="4" t="s">
        <v>21</v>
      </c>
      <c r="D94" s="4" t="s">
        <v>386</v>
      </c>
      <c r="E94" s="4" t="s">
        <v>347</v>
      </c>
      <c r="F94" s="4" t="s">
        <v>88</v>
      </c>
      <c r="G94" s="63" t="s">
        <v>2571</v>
      </c>
      <c r="H94" s="63" t="s">
        <v>2594</v>
      </c>
      <c r="I94">
        <v>11</v>
      </c>
      <c r="J94">
        <v>13853.470000000001</v>
      </c>
    </row>
    <row r="95" spans="1:10" x14ac:dyDescent="0.3">
      <c r="A95" s="8" t="s">
        <v>662</v>
      </c>
      <c r="B95" s="10" t="s">
        <v>663</v>
      </c>
      <c r="C95" s="10" t="s">
        <v>21</v>
      </c>
      <c r="D95" s="10" t="s">
        <v>104</v>
      </c>
      <c r="E95" s="10" t="s">
        <v>105</v>
      </c>
      <c r="F95" s="10" t="s">
        <v>88</v>
      </c>
      <c r="G95" s="63" t="s">
        <v>2584</v>
      </c>
      <c r="H95" s="63" t="s">
        <v>2601</v>
      </c>
      <c r="I95">
        <v>11</v>
      </c>
      <c r="J95">
        <v>13853.470000000001</v>
      </c>
    </row>
    <row r="96" spans="1:10" x14ac:dyDescent="0.3">
      <c r="A96" s="2" t="s">
        <v>453</v>
      </c>
      <c r="B96" s="4" t="s">
        <v>454</v>
      </c>
      <c r="C96" s="4" t="s">
        <v>21</v>
      </c>
      <c r="D96" s="4" t="s">
        <v>386</v>
      </c>
      <c r="E96" s="4" t="s">
        <v>347</v>
      </c>
      <c r="F96" s="4" t="s">
        <v>88</v>
      </c>
      <c r="G96" s="63" t="s">
        <v>2569</v>
      </c>
      <c r="H96" s="63" t="s">
        <v>2610</v>
      </c>
      <c r="I96">
        <v>11</v>
      </c>
      <c r="J96">
        <v>13853.470000000001</v>
      </c>
    </row>
    <row r="97" spans="1:10" x14ac:dyDescent="0.3">
      <c r="A97" s="8" t="s">
        <v>364</v>
      </c>
      <c r="B97" s="10" t="s">
        <v>365</v>
      </c>
      <c r="C97" s="10" t="s">
        <v>42</v>
      </c>
      <c r="D97" s="10" t="s">
        <v>193</v>
      </c>
      <c r="E97" s="10" t="s">
        <v>194</v>
      </c>
      <c r="F97" s="10" t="s">
        <v>34</v>
      </c>
      <c r="G97" s="63" t="s">
        <v>2562</v>
      </c>
      <c r="H97" s="63" t="s">
        <v>2618</v>
      </c>
      <c r="I97">
        <v>11</v>
      </c>
      <c r="J97">
        <v>13853.470000000001</v>
      </c>
    </row>
    <row r="98" spans="1:10" x14ac:dyDescent="0.3">
      <c r="A98" s="2" t="s">
        <v>606</v>
      </c>
      <c r="B98" s="4" t="s">
        <v>607</v>
      </c>
      <c r="C98" s="4" t="s">
        <v>51</v>
      </c>
      <c r="D98" s="4" t="s">
        <v>104</v>
      </c>
      <c r="E98" s="4" t="s">
        <v>105</v>
      </c>
      <c r="F98" s="4" t="s">
        <v>88</v>
      </c>
      <c r="G98" s="63" t="s">
        <v>2560</v>
      </c>
      <c r="H98" s="63" t="s">
        <v>2594</v>
      </c>
      <c r="I98">
        <v>11</v>
      </c>
      <c r="J98">
        <v>13853.470000000001</v>
      </c>
    </row>
    <row r="99" spans="1:10" x14ac:dyDescent="0.3">
      <c r="A99" s="8" t="s">
        <v>281</v>
      </c>
      <c r="B99" s="10" t="s">
        <v>282</v>
      </c>
      <c r="C99" s="10" t="s">
        <v>21</v>
      </c>
      <c r="D99" s="10" t="s">
        <v>250</v>
      </c>
      <c r="E99" s="10" t="s">
        <v>251</v>
      </c>
      <c r="F99" s="10" t="s">
        <v>88</v>
      </c>
      <c r="G99" s="63" t="s">
        <v>2578</v>
      </c>
      <c r="H99" s="63" t="s">
        <v>2608</v>
      </c>
      <c r="I99">
        <v>11</v>
      </c>
      <c r="J99">
        <v>13853.470000000001</v>
      </c>
    </row>
    <row r="100" spans="1:10" x14ac:dyDescent="0.3">
      <c r="A100" s="2" t="s">
        <v>317</v>
      </c>
      <c r="B100" s="4" t="s">
        <v>318</v>
      </c>
      <c r="C100" s="4" t="s">
        <v>21</v>
      </c>
      <c r="D100" s="4" t="s">
        <v>319</v>
      </c>
      <c r="E100" s="4" t="s">
        <v>194</v>
      </c>
      <c r="F100" s="4" t="s">
        <v>34</v>
      </c>
      <c r="G100" s="63" t="s">
        <v>2571</v>
      </c>
      <c r="H100" s="63" t="s">
        <v>2606</v>
      </c>
      <c r="I100">
        <v>11</v>
      </c>
      <c r="J100">
        <v>13853.470000000001</v>
      </c>
    </row>
    <row r="101" spans="1:10" x14ac:dyDescent="0.3">
      <c r="A101" s="8" t="s">
        <v>484</v>
      </c>
      <c r="B101" s="10" t="s">
        <v>485</v>
      </c>
      <c r="C101" s="10" t="s">
        <v>21</v>
      </c>
      <c r="D101" s="10" t="s">
        <v>86</v>
      </c>
      <c r="E101" s="10" t="s">
        <v>87</v>
      </c>
      <c r="F101" s="10" t="s">
        <v>88</v>
      </c>
      <c r="G101" s="63" t="s">
        <v>2571</v>
      </c>
      <c r="H101" s="63" t="s">
        <v>2610</v>
      </c>
      <c r="I101">
        <v>11</v>
      </c>
      <c r="J101">
        <v>13853.470000000001</v>
      </c>
    </row>
    <row r="102" spans="1:10" x14ac:dyDescent="0.3">
      <c r="A102" s="2" t="s">
        <v>426</v>
      </c>
      <c r="B102" s="4" t="s">
        <v>427</v>
      </c>
      <c r="C102" s="4" t="s">
        <v>42</v>
      </c>
      <c r="D102" s="4" t="s">
        <v>412</v>
      </c>
      <c r="E102" s="4" t="s">
        <v>178</v>
      </c>
      <c r="F102" s="4" t="s">
        <v>24</v>
      </c>
      <c r="G102" s="63" t="s">
        <v>2588</v>
      </c>
      <c r="H102" s="63" t="s">
        <v>2605</v>
      </c>
      <c r="I102">
        <v>11</v>
      </c>
      <c r="J102">
        <v>13853.470000000001</v>
      </c>
    </row>
    <row r="103" spans="1:10" x14ac:dyDescent="0.3">
      <c r="A103" s="8" t="s">
        <v>303</v>
      </c>
      <c r="B103" s="10" t="s">
        <v>304</v>
      </c>
      <c r="C103" s="10" t="s">
        <v>42</v>
      </c>
      <c r="D103" s="10" t="s">
        <v>305</v>
      </c>
      <c r="E103" s="10" t="s">
        <v>306</v>
      </c>
      <c r="F103" s="10" t="s">
        <v>34</v>
      </c>
      <c r="G103" s="63" t="s">
        <v>2587</v>
      </c>
      <c r="H103" s="63" t="s">
        <v>2594</v>
      </c>
      <c r="I103">
        <v>11</v>
      </c>
      <c r="J103">
        <v>13853.470000000001</v>
      </c>
    </row>
    <row r="104" spans="1:10" x14ac:dyDescent="0.3">
      <c r="A104" s="2" t="s">
        <v>566</v>
      </c>
      <c r="B104" s="4" t="s">
        <v>567</v>
      </c>
      <c r="C104" s="4" t="s">
        <v>21</v>
      </c>
      <c r="D104" s="4" t="s">
        <v>156</v>
      </c>
      <c r="E104" s="4" t="s">
        <v>157</v>
      </c>
      <c r="F104" s="4" t="s">
        <v>88</v>
      </c>
      <c r="G104" s="63" t="s">
        <v>2557</v>
      </c>
      <c r="H104" s="63" t="s">
        <v>2619</v>
      </c>
      <c r="I104">
        <v>11</v>
      </c>
      <c r="J104">
        <v>13853.470000000001</v>
      </c>
    </row>
    <row r="105" spans="1:10" x14ac:dyDescent="0.3">
      <c r="A105" s="8" t="s">
        <v>148</v>
      </c>
      <c r="B105" s="10" t="s">
        <v>149</v>
      </c>
      <c r="C105" s="10" t="s">
        <v>42</v>
      </c>
      <c r="D105" s="10" t="s">
        <v>150</v>
      </c>
      <c r="E105" s="10" t="s">
        <v>151</v>
      </c>
      <c r="F105" s="10" t="s">
        <v>34</v>
      </c>
      <c r="G105" s="63" t="s">
        <v>2561</v>
      </c>
      <c r="H105" s="63" t="s">
        <v>2621</v>
      </c>
      <c r="I105">
        <v>11</v>
      </c>
      <c r="J105">
        <v>13853.470000000001</v>
      </c>
    </row>
    <row r="106" spans="1:10" x14ac:dyDescent="0.3">
      <c r="A106" s="2" t="s">
        <v>384</v>
      </c>
      <c r="B106" s="4" t="s">
        <v>385</v>
      </c>
      <c r="C106" s="4" t="s">
        <v>51</v>
      </c>
      <c r="D106" s="4" t="s">
        <v>386</v>
      </c>
      <c r="E106" s="4" t="s">
        <v>347</v>
      </c>
      <c r="F106" s="4" t="s">
        <v>88</v>
      </c>
      <c r="G106" s="63" t="s">
        <v>2588</v>
      </c>
      <c r="H106" s="63" t="s">
        <v>2613</v>
      </c>
      <c r="I106">
        <v>11</v>
      </c>
      <c r="J106">
        <v>13853.470000000001</v>
      </c>
    </row>
    <row r="107" spans="1:10" x14ac:dyDescent="0.3">
      <c r="A107" s="8" t="s">
        <v>1152</v>
      </c>
      <c r="B107" s="10" t="s">
        <v>1153</v>
      </c>
      <c r="C107" s="10" t="s">
        <v>42</v>
      </c>
      <c r="D107" s="10" t="s">
        <v>1091</v>
      </c>
      <c r="E107" s="10" t="s">
        <v>23</v>
      </c>
      <c r="F107" s="10" t="s">
        <v>24</v>
      </c>
      <c r="G107" s="63" t="s">
        <v>2579</v>
      </c>
      <c r="H107" s="63" t="s">
        <v>2599</v>
      </c>
      <c r="I107">
        <v>11</v>
      </c>
      <c r="J107">
        <v>13853.470000000001</v>
      </c>
    </row>
    <row r="108" spans="1:10" x14ac:dyDescent="0.3">
      <c r="A108" s="2" t="s">
        <v>547</v>
      </c>
      <c r="B108" s="4" t="s">
        <v>548</v>
      </c>
      <c r="C108" s="4" t="s">
        <v>51</v>
      </c>
      <c r="D108" s="4" t="s">
        <v>156</v>
      </c>
      <c r="E108" s="4" t="s">
        <v>157</v>
      </c>
      <c r="F108" s="4" t="s">
        <v>88</v>
      </c>
      <c r="G108" s="63" t="s">
        <v>2587</v>
      </c>
      <c r="H108" s="63" t="s">
        <v>2624</v>
      </c>
      <c r="I108">
        <v>11</v>
      </c>
      <c r="J108">
        <v>13853.470000000001</v>
      </c>
    </row>
    <row r="109" spans="1:10" x14ac:dyDescent="0.3">
      <c r="A109" s="8" t="s">
        <v>797</v>
      </c>
      <c r="B109" s="10" t="s">
        <v>798</v>
      </c>
      <c r="C109" s="10" t="s">
        <v>51</v>
      </c>
      <c r="D109" s="10" t="s">
        <v>59</v>
      </c>
      <c r="E109" s="10" t="s">
        <v>60</v>
      </c>
      <c r="F109" s="10" t="s">
        <v>54</v>
      </c>
      <c r="G109" s="63" t="s">
        <v>2573</v>
      </c>
      <c r="H109" s="63" t="s">
        <v>2623</v>
      </c>
      <c r="I109">
        <v>11</v>
      </c>
      <c r="J109">
        <v>13853.470000000001</v>
      </c>
    </row>
    <row r="110" spans="1:10" x14ac:dyDescent="0.3">
      <c r="A110" s="2" t="s">
        <v>1258</v>
      </c>
      <c r="B110" s="4" t="s">
        <v>1259</v>
      </c>
      <c r="C110" s="4" t="s">
        <v>21</v>
      </c>
      <c r="D110" s="4" t="s">
        <v>438</v>
      </c>
      <c r="E110" s="4" t="s">
        <v>157</v>
      </c>
      <c r="F110" s="4" t="s">
        <v>88</v>
      </c>
      <c r="G110" s="63" t="s">
        <v>2578</v>
      </c>
      <c r="H110" s="63" t="s">
        <v>2620</v>
      </c>
      <c r="I110">
        <v>11</v>
      </c>
      <c r="J110">
        <v>13853.470000000001</v>
      </c>
    </row>
    <row r="111" spans="1:10" x14ac:dyDescent="0.3">
      <c r="A111" s="8" t="s">
        <v>360</v>
      </c>
      <c r="B111" s="10" t="s">
        <v>361</v>
      </c>
      <c r="C111" s="10" t="s">
        <v>42</v>
      </c>
      <c r="D111" s="10" t="s">
        <v>346</v>
      </c>
      <c r="E111" s="10" t="s">
        <v>347</v>
      </c>
      <c r="F111" s="10" t="s">
        <v>88</v>
      </c>
      <c r="G111" s="63" t="s">
        <v>2572</v>
      </c>
      <c r="H111" s="63" t="s">
        <v>2610</v>
      </c>
      <c r="I111">
        <v>11</v>
      </c>
      <c r="J111">
        <v>13853.470000000001</v>
      </c>
    </row>
    <row r="112" spans="1:10" x14ac:dyDescent="0.3">
      <c r="A112" s="2" t="s">
        <v>127</v>
      </c>
      <c r="B112" s="4" t="s">
        <v>128</v>
      </c>
      <c r="C112" s="4" t="s">
        <v>21</v>
      </c>
      <c r="D112" s="4" t="s">
        <v>129</v>
      </c>
      <c r="E112" s="4" t="s">
        <v>33</v>
      </c>
      <c r="F112" s="4" t="s">
        <v>34</v>
      </c>
      <c r="G112" s="63" t="s">
        <v>2566</v>
      </c>
      <c r="H112" s="63" t="s">
        <v>2606</v>
      </c>
      <c r="I112">
        <v>11</v>
      </c>
      <c r="J112">
        <v>13853.470000000001</v>
      </c>
    </row>
    <row r="113" spans="1:10" x14ac:dyDescent="0.3">
      <c r="A113" s="8" t="s">
        <v>84</v>
      </c>
      <c r="B113" s="10" t="s">
        <v>85</v>
      </c>
      <c r="C113" s="10" t="s">
        <v>21</v>
      </c>
      <c r="D113" s="10" t="s">
        <v>86</v>
      </c>
      <c r="E113" s="10" t="s">
        <v>87</v>
      </c>
      <c r="F113" s="10" t="s">
        <v>88</v>
      </c>
      <c r="G113" s="63" t="s">
        <v>2579</v>
      </c>
      <c r="H113" s="63" t="s">
        <v>2609</v>
      </c>
      <c r="I113">
        <v>11</v>
      </c>
      <c r="J113">
        <v>13853.470000000001</v>
      </c>
    </row>
    <row r="114" spans="1:10" x14ac:dyDescent="0.3">
      <c r="A114" s="2" t="s">
        <v>997</v>
      </c>
      <c r="B114" s="4" t="s">
        <v>998</v>
      </c>
      <c r="C114" s="4" t="s">
        <v>21</v>
      </c>
      <c r="D114" s="4" t="s">
        <v>357</v>
      </c>
      <c r="E114" s="4" t="s">
        <v>251</v>
      </c>
      <c r="F114" s="4" t="s">
        <v>88</v>
      </c>
      <c r="G114" s="63" t="s">
        <v>2568</v>
      </c>
      <c r="H114" s="63" t="s">
        <v>2582</v>
      </c>
      <c r="I114">
        <v>11</v>
      </c>
      <c r="J114">
        <v>13853.470000000001</v>
      </c>
    </row>
    <row r="115" spans="1:10" x14ac:dyDescent="0.3">
      <c r="A115" s="8" t="s">
        <v>729</v>
      </c>
      <c r="B115" s="10" t="s">
        <v>730</v>
      </c>
      <c r="C115" s="10" t="s">
        <v>42</v>
      </c>
      <c r="D115" s="10" t="s">
        <v>165</v>
      </c>
      <c r="E115" s="10" t="s">
        <v>44</v>
      </c>
      <c r="F115" s="10" t="s">
        <v>24</v>
      </c>
      <c r="G115" s="63" t="s">
        <v>2562</v>
      </c>
      <c r="H115" s="63" t="s">
        <v>2610</v>
      </c>
      <c r="I115">
        <v>11</v>
      </c>
      <c r="J115">
        <v>13853.470000000001</v>
      </c>
    </row>
    <row r="116" spans="1:10" x14ac:dyDescent="0.3">
      <c r="A116" s="2" t="s">
        <v>570</v>
      </c>
      <c r="B116" s="4" t="s">
        <v>571</v>
      </c>
      <c r="C116" s="4" t="s">
        <v>21</v>
      </c>
      <c r="D116" s="4" t="s">
        <v>66</v>
      </c>
      <c r="E116" s="4" t="s">
        <v>67</v>
      </c>
      <c r="F116" s="4" t="s">
        <v>34</v>
      </c>
      <c r="G116" s="63" t="s">
        <v>2577</v>
      </c>
      <c r="H116" s="63" t="s">
        <v>2595</v>
      </c>
      <c r="I116">
        <v>11</v>
      </c>
      <c r="J116">
        <v>13853.470000000001</v>
      </c>
    </row>
    <row r="117" spans="1:10" x14ac:dyDescent="0.3">
      <c r="A117" s="8" t="s">
        <v>49</v>
      </c>
      <c r="B117" s="10" t="s">
        <v>50</v>
      </c>
      <c r="C117" s="10" t="s">
        <v>51</v>
      </c>
      <c r="D117" s="10" t="s">
        <v>52</v>
      </c>
      <c r="E117" s="10" t="s">
        <v>53</v>
      </c>
      <c r="F117" s="10" t="s">
        <v>54</v>
      </c>
      <c r="G117" s="63" t="s">
        <v>2586</v>
      </c>
      <c r="H117" s="63" t="s">
        <v>2615</v>
      </c>
      <c r="I117">
        <v>11</v>
      </c>
      <c r="J117">
        <v>13853.470000000001</v>
      </c>
    </row>
    <row r="118" spans="1:10" x14ac:dyDescent="0.3">
      <c r="A118" s="2" t="s">
        <v>187</v>
      </c>
      <c r="B118" s="4" t="s">
        <v>188</v>
      </c>
      <c r="C118" s="4" t="s">
        <v>21</v>
      </c>
      <c r="D118" s="4" t="s">
        <v>22</v>
      </c>
      <c r="E118" s="4" t="s">
        <v>23</v>
      </c>
      <c r="F118" s="4" t="s">
        <v>24</v>
      </c>
      <c r="G118" s="63" t="s">
        <v>2581</v>
      </c>
      <c r="H118" s="63" t="s">
        <v>2617</v>
      </c>
      <c r="I118">
        <v>11</v>
      </c>
      <c r="J118">
        <v>13853.470000000001</v>
      </c>
    </row>
    <row r="119" spans="1:10" x14ac:dyDescent="0.3">
      <c r="A119" s="8" t="s">
        <v>232</v>
      </c>
      <c r="B119" s="10" t="s">
        <v>233</v>
      </c>
      <c r="C119" s="10" t="s">
        <v>21</v>
      </c>
      <c r="D119" s="10" t="s">
        <v>156</v>
      </c>
      <c r="E119" s="10" t="s">
        <v>157</v>
      </c>
      <c r="F119" s="10" t="s">
        <v>88</v>
      </c>
      <c r="G119" s="63" t="s">
        <v>2574</v>
      </c>
      <c r="H119" s="63" t="s">
        <v>2624</v>
      </c>
      <c r="I119">
        <v>11</v>
      </c>
      <c r="J119">
        <v>13853.470000000001</v>
      </c>
    </row>
    <row r="120" spans="1:10" x14ac:dyDescent="0.3">
      <c r="A120" s="2" t="s">
        <v>642</v>
      </c>
      <c r="B120" s="4" t="s">
        <v>643</v>
      </c>
      <c r="C120" s="4" t="s">
        <v>51</v>
      </c>
      <c r="D120" s="4" t="s">
        <v>171</v>
      </c>
      <c r="E120" s="4" t="s">
        <v>172</v>
      </c>
      <c r="F120" s="4" t="s">
        <v>24</v>
      </c>
      <c r="G120" s="63" t="s">
        <v>2567</v>
      </c>
      <c r="H120" s="63" t="s">
        <v>2610</v>
      </c>
      <c r="I120">
        <v>11</v>
      </c>
      <c r="J120">
        <v>13853.470000000001</v>
      </c>
    </row>
    <row r="121" spans="1:10" x14ac:dyDescent="0.3">
      <c r="A121" s="8" t="s">
        <v>1309</v>
      </c>
      <c r="B121" s="10" t="s">
        <v>1310</v>
      </c>
      <c r="C121" s="10" t="s">
        <v>51</v>
      </c>
      <c r="D121" s="10" t="s">
        <v>98</v>
      </c>
      <c r="E121" s="10" t="s">
        <v>80</v>
      </c>
      <c r="F121" s="10" t="s">
        <v>54</v>
      </c>
      <c r="G121" s="63" t="s">
        <v>2577</v>
      </c>
      <c r="H121" s="63" t="s">
        <v>2606</v>
      </c>
      <c r="I121">
        <v>11</v>
      </c>
      <c r="J121">
        <v>13853.470000000001</v>
      </c>
    </row>
    <row r="122" spans="1:10" x14ac:dyDescent="0.3">
      <c r="A122" s="2" t="s">
        <v>1184</v>
      </c>
      <c r="B122" s="4" t="s">
        <v>1185</v>
      </c>
      <c r="C122" s="4" t="s">
        <v>51</v>
      </c>
      <c r="D122" s="4" t="s">
        <v>22</v>
      </c>
      <c r="E122" s="4" t="s">
        <v>23</v>
      </c>
      <c r="F122" s="4" t="s">
        <v>24</v>
      </c>
      <c r="G122" s="63" t="s">
        <v>2559</v>
      </c>
      <c r="H122" s="63" t="s">
        <v>2614</v>
      </c>
      <c r="I122">
        <v>11</v>
      </c>
      <c r="J122">
        <v>13853.470000000001</v>
      </c>
    </row>
    <row r="123" spans="1:10" x14ac:dyDescent="0.3">
      <c r="A123" s="8" t="s">
        <v>504</v>
      </c>
      <c r="B123" s="10" t="s">
        <v>505</v>
      </c>
      <c r="C123" s="10" t="s">
        <v>42</v>
      </c>
      <c r="D123" s="10" t="s">
        <v>150</v>
      </c>
      <c r="E123" s="10" t="s">
        <v>151</v>
      </c>
      <c r="F123" s="10" t="s">
        <v>34</v>
      </c>
      <c r="G123" s="63" t="s">
        <v>2569</v>
      </c>
      <c r="H123" s="63" t="s">
        <v>2620</v>
      </c>
      <c r="I123">
        <v>11</v>
      </c>
      <c r="J123">
        <v>13853.470000000001</v>
      </c>
    </row>
    <row r="124" spans="1:10" x14ac:dyDescent="0.3">
      <c r="A124" s="2" t="s">
        <v>322</v>
      </c>
      <c r="B124" s="4" t="s">
        <v>323</v>
      </c>
      <c r="C124" s="4" t="s">
        <v>42</v>
      </c>
      <c r="D124" s="4" t="s">
        <v>324</v>
      </c>
      <c r="E124" s="4" t="s">
        <v>116</v>
      </c>
      <c r="F124" s="4" t="s">
        <v>54</v>
      </c>
      <c r="G124" s="63" t="s">
        <v>2566</v>
      </c>
      <c r="H124" s="63" t="s">
        <v>2622</v>
      </c>
      <c r="I124">
        <v>11</v>
      </c>
      <c r="J124">
        <v>13853.470000000001</v>
      </c>
    </row>
    <row r="125" spans="1:10" x14ac:dyDescent="0.3">
      <c r="A125" s="8" t="s">
        <v>1582</v>
      </c>
      <c r="B125" s="10" t="s">
        <v>1583</v>
      </c>
      <c r="C125" s="10" t="s">
        <v>21</v>
      </c>
      <c r="D125" s="10" t="s">
        <v>52</v>
      </c>
      <c r="E125" s="10" t="s">
        <v>53</v>
      </c>
      <c r="F125" s="10" t="s">
        <v>54</v>
      </c>
      <c r="G125" s="63" t="s">
        <v>2575</v>
      </c>
      <c r="H125" s="63" t="s">
        <v>2625</v>
      </c>
      <c r="I125">
        <v>11</v>
      </c>
      <c r="J125">
        <v>13853.470000000001</v>
      </c>
    </row>
    <row r="126" spans="1:10" x14ac:dyDescent="0.3">
      <c r="A126" s="2" t="s">
        <v>1025</v>
      </c>
      <c r="B126" s="4" t="s">
        <v>1026</v>
      </c>
      <c r="C126" s="4" t="s">
        <v>21</v>
      </c>
      <c r="D126" s="4" t="s">
        <v>412</v>
      </c>
      <c r="E126" s="4" t="s">
        <v>178</v>
      </c>
      <c r="F126" s="4" t="s">
        <v>24</v>
      </c>
      <c r="G126" s="63" t="s">
        <v>2583</v>
      </c>
      <c r="H126" s="63" t="s">
        <v>2615</v>
      </c>
      <c r="I126">
        <v>11</v>
      </c>
      <c r="J126">
        <v>13853.470000000001</v>
      </c>
    </row>
    <row r="127" spans="1:10" x14ac:dyDescent="0.3">
      <c r="A127" s="8" t="s">
        <v>389</v>
      </c>
      <c r="B127" s="10" t="s">
        <v>390</v>
      </c>
      <c r="C127" s="10" t="s">
        <v>51</v>
      </c>
      <c r="D127" s="10" t="s">
        <v>59</v>
      </c>
      <c r="E127" s="10" t="s">
        <v>60</v>
      </c>
      <c r="F127" s="10" t="s">
        <v>54</v>
      </c>
      <c r="G127" s="63" t="s">
        <v>2583</v>
      </c>
      <c r="H127" s="63" t="s">
        <v>2621</v>
      </c>
      <c r="I127">
        <v>11</v>
      </c>
      <c r="J127">
        <v>13853.470000000001</v>
      </c>
    </row>
    <row r="128" spans="1:10" x14ac:dyDescent="0.3">
      <c r="A128" s="2" t="s">
        <v>789</v>
      </c>
      <c r="B128" s="4" t="s">
        <v>790</v>
      </c>
      <c r="C128" s="4" t="s">
        <v>51</v>
      </c>
      <c r="D128" s="4" t="s">
        <v>530</v>
      </c>
      <c r="E128" s="4" t="s">
        <v>373</v>
      </c>
      <c r="F128" s="4" t="s">
        <v>34</v>
      </c>
      <c r="G128" s="63" t="s">
        <v>2590</v>
      </c>
      <c r="H128" s="63" t="s">
        <v>2607</v>
      </c>
      <c r="I128">
        <v>11</v>
      </c>
      <c r="J128">
        <v>13853.470000000001</v>
      </c>
    </row>
    <row r="129" spans="1:10" x14ac:dyDescent="0.3">
      <c r="A129" s="8" t="s">
        <v>102</v>
      </c>
      <c r="B129" s="10" t="s">
        <v>103</v>
      </c>
      <c r="C129" s="10" t="s">
        <v>42</v>
      </c>
      <c r="D129" s="10" t="s">
        <v>104</v>
      </c>
      <c r="E129" s="10" t="s">
        <v>105</v>
      </c>
      <c r="F129" s="10" t="s">
        <v>88</v>
      </c>
      <c r="G129" s="63" t="s">
        <v>2579</v>
      </c>
      <c r="H129" s="63" t="s">
        <v>2621</v>
      </c>
      <c r="I129">
        <v>11</v>
      </c>
      <c r="J129">
        <v>13853.470000000001</v>
      </c>
    </row>
    <row r="130" spans="1:10" x14ac:dyDescent="0.3">
      <c r="A130" s="2" t="s">
        <v>132</v>
      </c>
      <c r="B130" s="4" t="s">
        <v>133</v>
      </c>
      <c r="C130" s="4" t="s">
        <v>21</v>
      </c>
      <c r="D130" s="4" t="s">
        <v>134</v>
      </c>
      <c r="E130" s="4" t="s">
        <v>87</v>
      </c>
      <c r="F130" s="4" t="s">
        <v>88</v>
      </c>
      <c r="G130" s="63" t="s">
        <v>2571</v>
      </c>
      <c r="H130" s="63" t="s">
        <v>2615</v>
      </c>
      <c r="I130">
        <v>11</v>
      </c>
      <c r="J130">
        <v>13853.470000000001</v>
      </c>
    </row>
    <row r="131" spans="1:10" x14ac:dyDescent="0.3">
      <c r="A131" s="8" t="s">
        <v>692</v>
      </c>
      <c r="B131" s="10" t="s">
        <v>693</v>
      </c>
      <c r="C131" s="10" t="s">
        <v>21</v>
      </c>
      <c r="D131" s="10" t="s">
        <v>694</v>
      </c>
      <c r="E131" s="10" t="s">
        <v>67</v>
      </c>
      <c r="F131" s="10" t="s">
        <v>34</v>
      </c>
      <c r="G131" s="63" t="s">
        <v>2590</v>
      </c>
      <c r="H131" s="63" t="s">
        <v>2599</v>
      </c>
      <c r="I131">
        <v>11</v>
      </c>
      <c r="J131">
        <v>13853.470000000001</v>
      </c>
    </row>
    <row r="132" spans="1:10" x14ac:dyDescent="0.3">
      <c r="A132" s="2" t="s">
        <v>1439</v>
      </c>
      <c r="B132" s="4" t="s">
        <v>2022</v>
      </c>
      <c r="C132" s="4" t="s">
        <v>51</v>
      </c>
      <c r="D132" s="4" t="s">
        <v>305</v>
      </c>
      <c r="E132" s="4" t="s">
        <v>306</v>
      </c>
      <c r="F132" s="4" t="s">
        <v>34</v>
      </c>
      <c r="G132" s="63" t="s">
        <v>2565</v>
      </c>
      <c r="H132" s="63" t="s">
        <v>2603</v>
      </c>
      <c r="I132">
        <v>11</v>
      </c>
      <c r="J132">
        <v>13853.470000000001</v>
      </c>
    </row>
    <row r="133" spans="1:10" x14ac:dyDescent="0.3">
      <c r="A133" s="8" t="s">
        <v>1360</v>
      </c>
      <c r="B133" s="10" t="s">
        <v>1361</v>
      </c>
      <c r="C133" s="10" t="s">
        <v>21</v>
      </c>
      <c r="D133" s="10" t="s">
        <v>156</v>
      </c>
      <c r="E133" s="10" t="s">
        <v>157</v>
      </c>
      <c r="F133" s="10" t="s">
        <v>88</v>
      </c>
      <c r="G133" s="63" t="s">
        <v>2589</v>
      </c>
      <c r="H133" s="63" t="s">
        <v>2597</v>
      </c>
      <c r="I133">
        <v>11</v>
      </c>
      <c r="J133">
        <v>13853.470000000001</v>
      </c>
    </row>
    <row r="134" spans="1:10" x14ac:dyDescent="0.3">
      <c r="A134" s="2" t="s">
        <v>753</v>
      </c>
      <c r="B134" s="4" t="s">
        <v>754</v>
      </c>
      <c r="C134" s="4" t="s">
        <v>42</v>
      </c>
      <c r="D134" s="4" t="s">
        <v>22</v>
      </c>
      <c r="E134" s="4" t="s">
        <v>23</v>
      </c>
      <c r="F134" s="4" t="s">
        <v>24</v>
      </c>
      <c r="G134" s="63" t="s">
        <v>2587</v>
      </c>
      <c r="H134" s="63" t="s">
        <v>2596</v>
      </c>
      <c r="I134">
        <v>11</v>
      </c>
      <c r="J134">
        <v>13853.470000000001</v>
      </c>
    </row>
    <row r="135" spans="1:10" x14ac:dyDescent="0.3">
      <c r="A135" s="8" t="s">
        <v>1284</v>
      </c>
      <c r="B135" s="10" t="s">
        <v>1285</v>
      </c>
      <c r="C135" s="10" t="s">
        <v>21</v>
      </c>
      <c r="D135" s="10" t="s">
        <v>150</v>
      </c>
      <c r="E135" s="10" t="s">
        <v>151</v>
      </c>
      <c r="F135" s="10" t="s">
        <v>34</v>
      </c>
      <c r="G135" s="63" t="s">
        <v>2567</v>
      </c>
      <c r="H135" s="63" t="s">
        <v>2604</v>
      </c>
      <c r="I135">
        <v>11</v>
      </c>
      <c r="J135">
        <v>13853.470000000001</v>
      </c>
    </row>
    <row r="136" spans="1:10" x14ac:dyDescent="0.3">
      <c r="A136" s="2" t="s">
        <v>1148</v>
      </c>
      <c r="B136" s="4" t="s">
        <v>1149</v>
      </c>
      <c r="C136" s="4" t="s">
        <v>51</v>
      </c>
      <c r="D136" s="4" t="s">
        <v>150</v>
      </c>
      <c r="E136" s="4" t="s">
        <v>151</v>
      </c>
      <c r="F136" s="4" t="s">
        <v>34</v>
      </c>
      <c r="G136" s="63" t="s">
        <v>2557</v>
      </c>
      <c r="H136" s="63" t="s">
        <v>2596</v>
      </c>
      <c r="I136">
        <v>11</v>
      </c>
      <c r="J136">
        <v>13853.470000000001</v>
      </c>
    </row>
    <row r="137" spans="1:10" x14ac:dyDescent="0.3">
      <c r="A137" s="8" t="s">
        <v>701</v>
      </c>
      <c r="B137" s="10" t="s">
        <v>702</v>
      </c>
      <c r="C137" s="10" t="s">
        <v>21</v>
      </c>
      <c r="D137" s="10" t="s">
        <v>43</v>
      </c>
      <c r="E137" s="10" t="s">
        <v>44</v>
      </c>
      <c r="F137" s="10" t="s">
        <v>24</v>
      </c>
      <c r="G137" s="63" t="s">
        <v>2590</v>
      </c>
      <c r="H137" s="63" t="s">
        <v>2603</v>
      </c>
      <c r="I137">
        <v>11</v>
      </c>
      <c r="J137">
        <v>13853.470000000001</v>
      </c>
    </row>
    <row r="138" spans="1:10" x14ac:dyDescent="0.3">
      <c r="A138" s="2" t="s">
        <v>1982</v>
      </c>
      <c r="B138" s="4" t="s">
        <v>1983</v>
      </c>
      <c r="C138" s="4" t="s">
        <v>21</v>
      </c>
      <c r="D138" s="4" t="s">
        <v>22</v>
      </c>
      <c r="E138" s="4" t="s">
        <v>23</v>
      </c>
      <c r="F138" s="4" t="s">
        <v>24</v>
      </c>
      <c r="G138" s="63" t="s">
        <v>2557</v>
      </c>
      <c r="H138" s="63" t="s">
        <v>2609</v>
      </c>
      <c r="I138">
        <v>11</v>
      </c>
      <c r="J138">
        <v>13853.470000000001</v>
      </c>
    </row>
    <row r="139" spans="1:10" x14ac:dyDescent="0.3">
      <c r="A139" s="8" t="s">
        <v>2422</v>
      </c>
      <c r="B139" s="10" t="s">
        <v>2423</v>
      </c>
      <c r="C139" s="10" t="s">
        <v>51</v>
      </c>
      <c r="D139" s="10" t="s">
        <v>422</v>
      </c>
      <c r="E139" s="10" t="s">
        <v>423</v>
      </c>
      <c r="F139" s="10" t="s">
        <v>88</v>
      </c>
      <c r="G139" s="63" t="s">
        <v>2573</v>
      </c>
      <c r="H139" s="63" t="s">
        <v>2625</v>
      </c>
      <c r="I139">
        <v>11</v>
      </c>
      <c r="J139">
        <v>13853.470000000001</v>
      </c>
    </row>
    <row r="140" spans="1:10" x14ac:dyDescent="0.3">
      <c r="A140" s="2" t="s">
        <v>850</v>
      </c>
      <c r="B140" s="4" t="s">
        <v>851</v>
      </c>
      <c r="C140" s="4" t="s">
        <v>42</v>
      </c>
      <c r="D140" s="4" t="s">
        <v>183</v>
      </c>
      <c r="E140" s="4" t="s">
        <v>184</v>
      </c>
      <c r="F140" s="4" t="s">
        <v>54</v>
      </c>
      <c r="G140" s="63" t="s">
        <v>2582</v>
      </c>
      <c r="H140" s="63" t="s">
        <v>2594</v>
      </c>
      <c r="I140">
        <v>11</v>
      </c>
      <c r="J140">
        <v>13853.470000000001</v>
      </c>
    </row>
    <row r="141" spans="1:10" x14ac:dyDescent="0.3">
      <c r="A141" s="8" t="s">
        <v>210</v>
      </c>
      <c r="B141" s="10" t="s">
        <v>211</v>
      </c>
      <c r="C141" s="10" t="s">
        <v>42</v>
      </c>
      <c r="D141" s="10" t="s">
        <v>86</v>
      </c>
      <c r="E141" s="10" t="s">
        <v>87</v>
      </c>
      <c r="F141" s="10" t="s">
        <v>88</v>
      </c>
      <c r="G141" s="63" t="s">
        <v>2572</v>
      </c>
      <c r="H141" s="63" t="s">
        <v>2614</v>
      </c>
      <c r="I141">
        <v>11</v>
      </c>
      <c r="J141">
        <v>13853.470000000001</v>
      </c>
    </row>
    <row r="142" spans="1:10" x14ac:dyDescent="0.3">
      <c r="A142" s="2" t="s">
        <v>223</v>
      </c>
      <c r="B142" s="4" t="s">
        <v>224</v>
      </c>
      <c r="C142" s="4" t="s">
        <v>21</v>
      </c>
      <c r="D142" s="4" t="s">
        <v>59</v>
      </c>
      <c r="E142" s="4" t="s">
        <v>60</v>
      </c>
      <c r="F142" s="4" t="s">
        <v>54</v>
      </c>
      <c r="G142" s="63" t="s">
        <v>2578</v>
      </c>
      <c r="H142" s="63" t="s">
        <v>2625</v>
      </c>
      <c r="I142">
        <v>11</v>
      </c>
      <c r="J142">
        <v>13853.470000000001</v>
      </c>
    </row>
    <row r="143" spans="1:10" x14ac:dyDescent="0.3">
      <c r="A143" s="8" t="s">
        <v>298</v>
      </c>
      <c r="B143" s="10" t="s">
        <v>299</v>
      </c>
      <c r="C143" s="10" t="s">
        <v>21</v>
      </c>
      <c r="D143" s="10" t="s">
        <v>300</v>
      </c>
      <c r="E143" s="10" t="s">
        <v>184</v>
      </c>
      <c r="F143" s="10" t="s">
        <v>54</v>
      </c>
      <c r="G143" s="63" t="s">
        <v>2562</v>
      </c>
      <c r="H143" s="63" t="s">
        <v>2606</v>
      </c>
      <c r="I143">
        <v>11</v>
      </c>
      <c r="J143">
        <v>13853.470000000001</v>
      </c>
    </row>
    <row r="144" spans="1:10" x14ac:dyDescent="0.3">
      <c r="A144" s="2" t="s">
        <v>500</v>
      </c>
      <c r="B144" s="4" t="s">
        <v>501</v>
      </c>
      <c r="C144" s="4" t="s">
        <v>21</v>
      </c>
      <c r="D144" s="4" t="s">
        <v>104</v>
      </c>
      <c r="E144" s="4" t="s">
        <v>105</v>
      </c>
      <c r="F144" s="4" t="s">
        <v>88</v>
      </c>
      <c r="G144" s="63" t="s">
        <v>2586</v>
      </c>
      <c r="H144" s="63" t="s">
        <v>2616</v>
      </c>
      <c r="I144">
        <v>11</v>
      </c>
      <c r="J144">
        <v>13853.470000000001</v>
      </c>
    </row>
    <row r="145" spans="1:10" x14ac:dyDescent="0.3">
      <c r="A145" s="8" t="s">
        <v>169</v>
      </c>
      <c r="B145" s="10" t="s">
        <v>170</v>
      </c>
      <c r="C145" s="10" t="s">
        <v>21</v>
      </c>
      <c r="D145" s="10" t="s">
        <v>171</v>
      </c>
      <c r="E145" s="10" t="s">
        <v>172</v>
      </c>
      <c r="F145" s="10" t="s">
        <v>24</v>
      </c>
      <c r="G145" s="63" t="s">
        <v>2565</v>
      </c>
      <c r="H145" s="63" t="s">
        <v>2606</v>
      </c>
      <c r="I145">
        <v>11</v>
      </c>
      <c r="J145">
        <v>13853.470000000001</v>
      </c>
    </row>
    <row r="146" spans="1:10" x14ac:dyDescent="0.3">
      <c r="A146" s="2" t="s">
        <v>707</v>
      </c>
      <c r="B146" s="4" t="s">
        <v>708</v>
      </c>
      <c r="C146" s="4" t="s">
        <v>51</v>
      </c>
      <c r="D146" s="4" t="s">
        <v>386</v>
      </c>
      <c r="E146" s="4" t="s">
        <v>347</v>
      </c>
      <c r="F146" s="4" t="s">
        <v>88</v>
      </c>
      <c r="G146" s="63" t="s">
        <v>2573</v>
      </c>
      <c r="H146" s="63" t="s">
        <v>2612</v>
      </c>
      <c r="I146">
        <v>11</v>
      </c>
      <c r="J146">
        <v>13853.470000000001</v>
      </c>
    </row>
    <row r="147" spans="1:10" x14ac:dyDescent="0.3">
      <c r="A147" s="8" t="s">
        <v>380</v>
      </c>
      <c r="B147" s="10" t="s">
        <v>381</v>
      </c>
      <c r="C147" s="10" t="s">
        <v>51</v>
      </c>
      <c r="D147" s="10" t="s">
        <v>156</v>
      </c>
      <c r="E147" s="10" t="s">
        <v>157</v>
      </c>
      <c r="F147" s="10" t="s">
        <v>88</v>
      </c>
      <c r="G147" s="63" t="s">
        <v>2574</v>
      </c>
      <c r="H147" s="63" t="s">
        <v>2620</v>
      </c>
      <c r="I147">
        <v>11</v>
      </c>
      <c r="J147">
        <v>13853.470000000001</v>
      </c>
    </row>
    <row r="148" spans="1:10" x14ac:dyDescent="0.3">
      <c r="A148" s="2" t="s">
        <v>618</v>
      </c>
      <c r="B148" s="4" t="s">
        <v>619</v>
      </c>
      <c r="C148" s="4" t="s">
        <v>42</v>
      </c>
      <c r="D148" s="4" t="s">
        <v>260</v>
      </c>
      <c r="E148" s="4" t="s">
        <v>151</v>
      </c>
      <c r="F148" s="4" t="s">
        <v>34</v>
      </c>
      <c r="G148" s="63" t="s">
        <v>2559</v>
      </c>
      <c r="H148" s="63" t="s">
        <v>2610</v>
      </c>
      <c r="I148">
        <v>11</v>
      </c>
      <c r="J148">
        <v>13853.470000000001</v>
      </c>
    </row>
    <row r="149" spans="1:10" x14ac:dyDescent="0.3">
      <c r="A149" s="8" t="s">
        <v>817</v>
      </c>
      <c r="B149" s="10" t="s">
        <v>818</v>
      </c>
      <c r="C149" s="10" t="s">
        <v>42</v>
      </c>
      <c r="D149" s="10" t="s">
        <v>98</v>
      </c>
      <c r="E149" s="10" t="s">
        <v>80</v>
      </c>
      <c r="F149" s="10" t="s">
        <v>54</v>
      </c>
      <c r="G149" s="63" t="s">
        <v>2586</v>
      </c>
      <c r="H149" s="63" t="s">
        <v>2621</v>
      </c>
      <c r="I149">
        <v>11</v>
      </c>
      <c r="J149">
        <v>13853.470000000001</v>
      </c>
    </row>
    <row r="150" spans="1:10" x14ac:dyDescent="0.3">
      <c r="A150" s="2" t="s">
        <v>733</v>
      </c>
      <c r="B150" s="4" t="s">
        <v>734</v>
      </c>
      <c r="C150" s="4" t="s">
        <v>51</v>
      </c>
      <c r="D150" s="4" t="s">
        <v>324</v>
      </c>
      <c r="E150" s="4" t="s">
        <v>116</v>
      </c>
      <c r="F150" s="4" t="s">
        <v>54</v>
      </c>
      <c r="G150" s="63" t="s">
        <v>2561</v>
      </c>
      <c r="H150" s="63" t="s">
        <v>2613</v>
      </c>
      <c r="I150">
        <v>11</v>
      </c>
      <c r="J150">
        <v>13853.470000000001</v>
      </c>
    </row>
    <row r="151" spans="1:10" x14ac:dyDescent="0.3">
      <c r="A151" s="8" t="s">
        <v>420</v>
      </c>
      <c r="B151" s="10" t="s">
        <v>421</v>
      </c>
      <c r="C151" s="10" t="s">
        <v>51</v>
      </c>
      <c r="D151" s="10" t="s">
        <v>422</v>
      </c>
      <c r="E151" s="10" t="s">
        <v>423</v>
      </c>
      <c r="F151" s="10" t="s">
        <v>88</v>
      </c>
      <c r="G151" s="63" t="s">
        <v>2569</v>
      </c>
      <c r="H151" s="63" t="s">
        <v>2621</v>
      </c>
      <c r="I151">
        <v>10</v>
      </c>
      <c r="J151">
        <v>13071.14</v>
      </c>
    </row>
    <row r="152" spans="1:10" x14ac:dyDescent="0.3">
      <c r="A152" s="2" t="s">
        <v>344</v>
      </c>
      <c r="B152" s="4" t="s">
        <v>345</v>
      </c>
      <c r="C152" s="4" t="s">
        <v>51</v>
      </c>
      <c r="D152" s="4" t="s">
        <v>346</v>
      </c>
      <c r="E152" s="4" t="s">
        <v>347</v>
      </c>
      <c r="F152" s="4" t="s">
        <v>88</v>
      </c>
      <c r="G152" s="63" t="s">
        <v>2573</v>
      </c>
      <c r="H152" s="63" t="s">
        <v>2610</v>
      </c>
      <c r="I152">
        <v>10</v>
      </c>
      <c r="J152">
        <v>13071.14</v>
      </c>
    </row>
    <row r="153" spans="1:10" x14ac:dyDescent="0.3">
      <c r="A153" s="8" t="s">
        <v>400</v>
      </c>
      <c r="B153" s="10" t="s">
        <v>401</v>
      </c>
      <c r="C153" s="10" t="s">
        <v>21</v>
      </c>
      <c r="D153" s="10" t="s">
        <v>129</v>
      </c>
      <c r="E153" s="10" t="s">
        <v>33</v>
      </c>
      <c r="F153" s="10" t="s">
        <v>34</v>
      </c>
      <c r="G153" s="63" t="s">
        <v>2571</v>
      </c>
      <c r="H153" s="63" t="s">
        <v>2602</v>
      </c>
      <c r="I153">
        <v>10</v>
      </c>
      <c r="J153">
        <v>13071.14</v>
      </c>
    </row>
    <row r="154" spans="1:10" x14ac:dyDescent="0.3">
      <c r="A154" s="2" t="s">
        <v>376</v>
      </c>
      <c r="B154" s="4" t="s">
        <v>377</v>
      </c>
      <c r="C154" s="4" t="s">
        <v>42</v>
      </c>
      <c r="D154" s="4" t="s">
        <v>122</v>
      </c>
      <c r="E154" s="4" t="s">
        <v>123</v>
      </c>
      <c r="F154" s="4" t="s">
        <v>24</v>
      </c>
      <c r="G154" s="63" t="s">
        <v>2562</v>
      </c>
      <c r="H154" s="63" t="s">
        <v>2611</v>
      </c>
      <c r="I154">
        <v>10</v>
      </c>
      <c r="J154">
        <v>13071.14</v>
      </c>
    </row>
    <row r="155" spans="1:10" x14ac:dyDescent="0.3">
      <c r="A155" s="8" t="s">
        <v>697</v>
      </c>
      <c r="B155" s="10" t="s">
        <v>698</v>
      </c>
      <c r="C155" s="10" t="s">
        <v>21</v>
      </c>
      <c r="D155" s="10" t="s">
        <v>319</v>
      </c>
      <c r="E155" s="10" t="s">
        <v>194</v>
      </c>
      <c r="F155" s="10" t="s">
        <v>34</v>
      </c>
      <c r="G155" s="63" t="s">
        <v>2584</v>
      </c>
      <c r="H155" s="63" t="s">
        <v>2625</v>
      </c>
      <c r="I155">
        <v>10</v>
      </c>
      <c r="J155">
        <v>13071.14</v>
      </c>
    </row>
    <row r="156" spans="1:10" x14ac:dyDescent="0.3">
      <c r="A156" s="2" t="s">
        <v>1033</v>
      </c>
      <c r="B156" s="4" t="s">
        <v>1034</v>
      </c>
      <c r="C156" s="4" t="s">
        <v>42</v>
      </c>
      <c r="D156" s="4" t="s">
        <v>86</v>
      </c>
      <c r="E156" s="4" t="s">
        <v>87</v>
      </c>
      <c r="F156" s="4" t="s">
        <v>88</v>
      </c>
      <c r="G156" s="63" t="s">
        <v>2562</v>
      </c>
      <c r="H156" s="63" t="s">
        <v>2601</v>
      </c>
      <c r="I156">
        <v>10</v>
      </c>
      <c r="J156">
        <v>13071.14</v>
      </c>
    </row>
    <row r="157" spans="1:10" x14ac:dyDescent="0.3">
      <c r="A157" s="8" t="s">
        <v>293</v>
      </c>
      <c r="B157" s="10" t="s">
        <v>294</v>
      </c>
      <c r="C157" s="10" t="s">
        <v>21</v>
      </c>
      <c r="D157" s="10" t="s">
        <v>193</v>
      </c>
      <c r="E157" s="10" t="s">
        <v>194</v>
      </c>
      <c r="F157" s="10" t="s">
        <v>34</v>
      </c>
      <c r="G157" s="63" t="s">
        <v>2579</v>
      </c>
      <c r="H157" s="63" t="s">
        <v>2601</v>
      </c>
      <c r="I157">
        <v>10</v>
      </c>
      <c r="J157">
        <v>13071.14</v>
      </c>
    </row>
    <row r="158" spans="1:10" x14ac:dyDescent="0.3">
      <c r="A158" s="2" t="s">
        <v>1219</v>
      </c>
      <c r="B158" s="4" t="s">
        <v>1220</v>
      </c>
      <c r="C158" s="4" t="s">
        <v>21</v>
      </c>
      <c r="D158" s="4" t="s">
        <v>438</v>
      </c>
      <c r="E158" s="4" t="s">
        <v>157</v>
      </c>
      <c r="F158" s="4" t="s">
        <v>88</v>
      </c>
      <c r="G158" s="63" t="s">
        <v>2583</v>
      </c>
      <c r="H158" s="63" t="s">
        <v>2601</v>
      </c>
      <c r="I158">
        <v>10</v>
      </c>
      <c r="J158">
        <v>13071.14</v>
      </c>
    </row>
    <row r="159" spans="1:10" x14ac:dyDescent="0.3">
      <c r="A159" s="8" t="s">
        <v>1064</v>
      </c>
      <c r="B159" s="10" t="s">
        <v>1065</v>
      </c>
      <c r="C159" s="10" t="s">
        <v>51</v>
      </c>
      <c r="D159" s="10" t="s">
        <v>122</v>
      </c>
      <c r="E159" s="10" t="s">
        <v>123</v>
      </c>
      <c r="F159" s="10" t="s">
        <v>24</v>
      </c>
      <c r="G159" s="63" t="s">
        <v>2587</v>
      </c>
      <c r="H159" s="63" t="s">
        <v>2608</v>
      </c>
      <c r="I159">
        <v>10</v>
      </c>
      <c r="J159">
        <v>13071.14</v>
      </c>
    </row>
    <row r="160" spans="1:10" x14ac:dyDescent="0.3">
      <c r="A160" s="2" t="s">
        <v>436</v>
      </c>
      <c r="B160" s="4" t="s">
        <v>437</v>
      </c>
      <c r="C160" s="4" t="s">
        <v>51</v>
      </c>
      <c r="D160" s="4" t="s">
        <v>438</v>
      </c>
      <c r="E160" s="4" t="s">
        <v>157</v>
      </c>
      <c r="F160" s="4" t="s">
        <v>88</v>
      </c>
      <c r="G160" s="63" t="s">
        <v>2589</v>
      </c>
      <c r="H160" s="63" t="s">
        <v>2607</v>
      </c>
      <c r="I160">
        <v>10</v>
      </c>
      <c r="J160">
        <v>13071.14</v>
      </c>
    </row>
    <row r="161" spans="1:10" x14ac:dyDescent="0.3">
      <c r="A161" s="8" t="s">
        <v>92</v>
      </c>
      <c r="B161" s="10" t="s">
        <v>93</v>
      </c>
      <c r="C161" s="10" t="s">
        <v>42</v>
      </c>
      <c r="D161" s="10" t="s">
        <v>43</v>
      </c>
      <c r="E161" s="10" t="s">
        <v>44</v>
      </c>
      <c r="F161" s="10" t="s">
        <v>24</v>
      </c>
      <c r="G161" s="63" t="s">
        <v>2583</v>
      </c>
      <c r="H161" s="63" t="s">
        <v>2600</v>
      </c>
      <c r="I161">
        <v>10</v>
      </c>
      <c r="J161">
        <v>13071.14</v>
      </c>
    </row>
    <row r="162" spans="1:10" x14ac:dyDescent="0.3">
      <c r="A162" s="2" t="s">
        <v>1015</v>
      </c>
      <c r="B162" s="4" t="s">
        <v>1016</v>
      </c>
      <c r="C162" s="4" t="s">
        <v>42</v>
      </c>
      <c r="D162" s="4" t="s">
        <v>134</v>
      </c>
      <c r="E162" s="4" t="s">
        <v>87</v>
      </c>
      <c r="F162" s="4" t="s">
        <v>88</v>
      </c>
      <c r="G162" s="63" t="s">
        <v>2565</v>
      </c>
      <c r="H162" s="63" t="s">
        <v>2623</v>
      </c>
      <c r="I162">
        <v>10</v>
      </c>
      <c r="J162">
        <v>13071.14</v>
      </c>
    </row>
    <row r="163" spans="1:10" x14ac:dyDescent="0.3">
      <c r="A163" s="8" t="s">
        <v>64</v>
      </c>
      <c r="B163" s="10" t="s">
        <v>65</v>
      </c>
      <c r="C163" s="10" t="s">
        <v>51</v>
      </c>
      <c r="D163" s="10" t="s">
        <v>66</v>
      </c>
      <c r="E163" s="10" t="s">
        <v>67</v>
      </c>
      <c r="F163" s="10" t="s">
        <v>34</v>
      </c>
      <c r="G163" s="63" t="s">
        <v>2587</v>
      </c>
      <c r="H163" s="63" t="s">
        <v>2604</v>
      </c>
      <c r="I163">
        <v>10</v>
      </c>
      <c r="J163">
        <v>13071.14</v>
      </c>
    </row>
    <row r="164" spans="1:10" x14ac:dyDescent="0.3">
      <c r="A164" s="2" t="s">
        <v>1166</v>
      </c>
      <c r="B164" s="4" t="s">
        <v>1167</v>
      </c>
      <c r="C164" s="4" t="s">
        <v>21</v>
      </c>
      <c r="D164" s="4" t="s">
        <v>98</v>
      </c>
      <c r="E164" s="4" t="s">
        <v>80</v>
      </c>
      <c r="F164" s="4" t="s">
        <v>54</v>
      </c>
      <c r="G164" s="63" t="s">
        <v>2565</v>
      </c>
      <c r="H164" s="63" t="s">
        <v>2598</v>
      </c>
      <c r="I164">
        <v>10</v>
      </c>
      <c r="J164">
        <v>13071.14</v>
      </c>
    </row>
    <row r="165" spans="1:10" x14ac:dyDescent="0.3">
      <c r="A165" s="8" t="s">
        <v>1448</v>
      </c>
      <c r="B165" s="10" t="s">
        <v>1449</v>
      </c>
      <c r="C165" s="10" t="s">
        <v>21</v>
      </c>
      <c r="D165" s="10" t="s">
        <v>122</v>
      </c>
      <c r="E165" s="10" t="s">
        <v>123</v>
      </c>
      <c r="F165" s="10" t="s">
        <v>24</v>
      </c>
      <c r="G165" s="63" t="s">
        <v>2588</v>
      </c>
      <c r="H165" s="63" t="s">
        <v>2622</v>
      </c>
      <c r="I165">
        <v>10</v>
      </c>
      <c r="J165">
        <v>13071.14</v>
      </c>
    </row>
    <row r="166" spans="1:10" x14ac:dyDescent="0.3">
      <c r="A166" s="2" t="s">
        <v>350</v>
      </c>
      <c r="B166" s="4" t="s">
        <v>351</v>
      </c>
      <c r="C166" s="4" t="s">
        <v>42</v>
      </c>
      <c r="D166" s="4" t="s">
        <v>352</v>
      </c>
      <c r="E166" s="4" t="s">
        <v>306</v>
      </c>
      <c r="F166" s="4" t="s">
        <v>34</v>
      </c>
      <c r="G166" s="63" t="s">
        <v>2564</v>
      </c>
      <c r="H166" s="63" t="s">
        <v>2598</v>
      </c>
      <c r="I166">
        <v>10</v>
      </c>
      <c r="J166">
        <v>13071.14</v>
      </c>
    </row>
    <row r="167" spans="1:10" x14ac:dyDescent="0.3">
      <c r="A167" s="8" t="s">
        <v>30</v>
      </c>
      <c r="B167" s="10" t="s">
        <v>31</v>
      </c>
      <c r="C167" s="10" t="s">
        <v>21</v>
      </c>
      <c r="D167" s="10" t="s">
        <v>32</v>
      </c>
      <c r="E167" s="10" t="s">
        <v>33</v>
      </c>
      <c r="F167" s="10" t="s">
        <v>34</v>
      </c>
      <c r="G167" s="63" t="s">
        <v>2572</v>
      </c>
      <c r="H167" s="63" t="s">
        <v>2603</v>
      </c>
      <c r="I167">
        <v>10</v>
      </c>
      <c r="J167">
        <v>13071.14</v>
      </c>
    </row>
    <row r="168" spans="1:10" x14ac:dyDescent="0.3">
      <c r="A168" s="2" t="s">
        <v>2474</v>
      </c>
      <c r="B168" s="4" t="s">
        <v>2475</v>
      </c>
      <c r="C168" s="4" t="s">
        <v>42</v>
      </c>
      <c r="D168" s="4" t="s">
        <v>352</v>
      </c>
      <c r="E168" s="4" t="s">
        <v>306</v>
      </c>
      <c r="F168" s="4" t="s">
        <v>34</v>
      </c>
      <c r="G168" s="63" t="s">
        <v>2579</v>
      </c>
      <c r="H168" s="63" t="s">
        <v>2625</v>
      </c>
      <c r="I168">
        <v>10</v>
      </c>
      <c r="J168">
        <v>13071.14</v>
      </c>
    </row>
    <row r="169" spans="1:10" x14ac:dyDescent="0.3">
      <c r="A169" s="8" t="s">
        <v>717</v>
      </c>
      <c r="B169" s="10" t="s">
        <v>718</v>
      </c>
      <c r="C169" s="10" t="s">
        <v>51</v>
      </c>
      <c r="D169" s="10" t="s">
        <v>86</v>
      </c>
      <c r="E169" s="10" t="s">
        <v>87</v>
      </c>
      <c r="F169" s="10" t="s">
        <v>88</v>
      </c>
      <c r="G169" s="63" t="s">
        <v>2582</v>
      </c>
      <c r="H169" s="63" t="s">
        <v>2612</v>
      </c>
      <c r="I169">
        <v>10</v>
      </c>
      <c r="J169">
        <v>13071.14</v>
      </c>
    </row>
    <row r="170" spans="1:10" x14ac:dyDescent="0.3">
      <c r="A170" s="2" t="s">
        <v>890</v>
      </c>
      <c r="B170" s="4" t="s">
        <v>891</v>
      </c>
      <c r="C170" s="4" t="s">
        <v>42</v>
      </c>
      <c r="D170" s="4" t="s">
        <v>22</v>
      </c>
      <c r="E170" s="4" t="s">
        <v>23</v>
      </c>
      <c r="F170" s="4" t="s">
        <v>24</v>
      </c>
      <c r="G170" s="63" t="s">
        <v>2580</v>
      </c>
      <c r="H170" s="63" t="s">
        <v>2624</v>
      </c>
      <c r="I170">
        <v>10</v>
      </c>
      <c r="J170">
        <v>13071.14</v>
      </c>
    </row>
    <row r="171" spans="1:10" x14ac:dyDescent="0.3">
      <c r="A171" s="8" t="s">
        <v>954</v>
      </c>
      <c r="B171" s="10" t="s">
        <v>955</v>
      </c>
      <c r="C171" s="10" t="s">
        <v>51</v>
      </c>
      <c r="D171" s="10" t="s">
        <v>386</v>
      </c>
      <c r="E171" s="10" t="s">
        <v>347</v>
      </c>
      <c r="F171" s="10" t="s">
        <v>88</v>
      </c>
      <c r="G171" s="63" t="s">
        <v>2584</v>
      </c>
      <c r="H171" s="63" t="s">
        <v>2602</v>
      </c>
      <c r="I171">
        <v>10</v>
      </c>
      <c r="J171">
        <v>13071.14</v>
      </c>
    </row>
    <row r="172" spans="1:10" x14ac:dyDescent="0.3">
      <c r="A172" s="2" t="s">
        <v>236</v>
      </c>
      <c r="B172" s="4" t="s">
        <v>237</v>
      </c>
      <c r="C172" s="4" t="s">
        <v>51</v>
      </c>
      <c r="D172" s="4" t="s">
        <v>22</v>
      </c>
      <c r="E172" s="4" t="s">
        <v>23</v>
      </c>
      <c r="F172" s="4" t="s">
        <v>24</v>
      </c>
      <c r="G172" s="63" t="s">
        <v>2571</v>
      </c>
      <c r="H172" s="63" t="s">
        <v>2624</v>
      </c>
      <c r="I172">
        <v>10</v>
      </c>
      <c r="J172">
        <v>13071.14</v>
      </c>
    </row>
    <row r="173" spans="1:10" x14ac:dyDescent="0.3">
      <c r="A173" s="8" t="s">
        <v>1078</v>
      </c>
      <c r="B173" s="10" t="s">
        <v>1079</v>
      </c>
      <c r="C173" s="10" t="s">
        <v>42</v>
      </c>
      <c r="D173" s="10" t="s">
        <v>115</v>
      </c>
      <c r="E173" s="10" t="s">
        <v>116</v>
      </c>
      <c r="F173" s="10" t="s">
        <v>54</v>
      </c>
      <c r="G173" s="63" t="s">
        <v>2581</v>
      </c>
      <c r="H173" s="63" t="s">
        <v>2610</v>
      </c>
      <c r="I173">
        <v>10</v>
      </c>
      <c r="J173">
        <v>13071.14</v>
      </c>
    </row>
    <row r="174" spans="1:10" x14ac:dyDescent="0.3">
      <c r="A174" s="2" t="s">
        <v>1052</v>
      </c>
      <c r="B174" s="4" t="s">
        <v>1053</v>
      </c>
      <c r="C174" s="4" t="s">
        <v>42</v>
      </c>
      <c r="D174" s="4" t="s">
        <v>694</v>
      </c>
      <c r="E174" s="4" t="s">
        <v>67</v>
      </c>
      <c r="F174" s="4" t="s">
        <v>34</v>
      </c>
      <c r="G174" s="63" t="s">
        <v>2569</v>
      </c>
      <c r="H174" s="63" t="s">
        <v>2624</v>
      </c>
      <c r="I174">
        <v>10</v>
      </c>
      <c r="J174">
        <v>13071.14</v>
      </c>
    </row>
    <row r="175" spans="1:10" x14ac:dyDescent="0.3">
      <c r="A175" s="8" t="s">
        <v>723</v>
      </c>
      <c r="B175" s="10" t="s">
        <v>724</v>
      </c>
      <c r="C175" s="10" t="s">
        <v>21</v>
      </c>
      <c r="D175" s="10" t="s">
        <v>98</v>
      </c>
      <c r="E175" s="10" t="s">
        <v>80</v>
      </c>
      <c r="F175" s="10" t="s">
        <v>54</v>
      </c>
      <c r="G175" s="63" t="s">
        <v>2582</v>
      </c>
      <c r="H175" s="63" t="s">
        <v>2608</v>
      </c>
      <c r="I175">
        <v>10</v>
      </c>
      <c r="J175">
        <v>13071.14</v>
      </c>
    </row>
    <row r="176" spans="1:10" x14ac:dyDescent="0.3">
      <c r="A176" s="2" t="s">
        <v>1089</v>
      </c>
      <c r="B176" s="4" t="s">
        <v>1090</v>
      </c>
      <c r="C176" s="4" t="s">
        <v>51</v>
      </c>
      <c r="D176" s="4" t="s">
        <v>1091</v>
      </c>
      <c r="E176" s="4" t="s">
        <v>23</v>
      </c>
      <c r="F176" s="4" t="s">
        <v>24</v>
      </c>
      <c r="G176" s="63" t="s">
        <v>2580</v>
      </c>
      <c r="H176" s="63" t="s">
        <v>2622</v>
      </c>
      <c r="I176">
        <v>10</v>
      </c>
      <c r="J176">
        <v>13071.14</v>
      </c>
    </row>
    <row r="177" spans="1:10" x14ac:dyDescent="0.3">
      <c r="A177" s="8" t="s">
        <v>248</v>
      </c>
      <c r="B177" s="10" t="s">
        <v>249</v>
      </c>
      <c r="C177" s="10" t="s">
        <v>51</v>
      </c>
      <c r="D177" s="10" t="s">
        <v>250</v>
      </c>
      <c r="E177" s="10" t="s">
        <v>251</v>
      </c>
      <c r="F177" s="10" t="s">
        <v>88</v>
      </c>
      <c r="G177" s="63" t="s">
        <v>2585</v>
      </c>
      <c r="H177" s="63" t="s">
        <v>2606</v>
      </c>
      <c r="I177">
        <v>10</v>
      </c>
      <c r="J177">
        <v>13071.14</v>
      </c>
    </row>
    <row r="178" spans="1:10" x14ac:dyDescent="0.3">
      <c r="A178" s="2" t="s">
        <v>864</v>
      </c>
      <c r="B178" s="4" t="s">
        <v>865</v>
      </c>
      <c r="C178" s="4" t="s">
        <v>21</v>
      </c>
      <c r="D178" s="4" t="s">
        <v>177</v>
      </c>
      <c r="E178" s="4" t="s">
        <v>178</v>
      </c>
      <c r="F178" s="4" t="s">
        <v>24</v>
      </c>
      <c r="G178" s="63" t="s">
        <v>2560</v>
      </c>
      <c r="H178" s="63" t="s">
        <v>2620</v>
      </c>
      <c r="I178">
        <v>10</v>
      </c>
      <c r="J178">
        <v>13071.14</v>
      </c>
    </row>
    <row r="179" spans="1:10" x14ac:dyDescent="0.3">
      <c r="A179" s="8" t="s">
        <v>1578</v>
      </c>
      <c r="B179" s="10" t="s">
        <v>1579</v>
      </c>
      <c r="C179" s="10" t="s">
        <v>51</v>
      </c>
      <c r="D179" s="10" t="s">
        <v>207</v>
      </c>
      <c r="E179" s="10" t="s">
        <v>60</v>
      </c>
      <c r="F179" s="10" t="s">
        <v>54</v>
      </c>
      <c r="G179" s="63" t="s">
        <v>2585</v>
      </c>
      <c r="H179" s="63" t="s">
        <v>2623</v>
      </c>
      <c r="I179">
        <v>10</v>
      </c>
      <c r="J179">
        <v>13071.14</v>
      </c>
    </row>
    <row r="180" spans="1:10" x14ac:dyDescent="0.3">
      <c r="A180" s="2" t="s">
        <v>678</v>
      </c>
      <c r="B180" s="4" t="s">
        <v>679</v>
      </c>
      <c r="C180" s="4" t="s">
        <v>51</v>
      </c>
      <c r="D180" s="4" t="s">
        <v>122</v>
      </c>
      <c r="E180" s="4" t="s">
        <v>123</v>
      </c>
      <c r="F180" s="4" t="s">
        <v>24</v>
      </c>
      <c r="G180" s="63" t="s">
        <v>2569</v>
      </c>
      <c r="H180" s="63" t="s">
        <v>2618</v>
      </c>
      <c r="I180">
        <v>10</v>
      </c>
      <c r="J180">
        <v>13071.14</v>
      </c>
    </row>
    <row r="181" spans="1:10" x14ac:dyDescent="0.3">
      <c r="A181" s="8" t="s">
        <v>991</v>
      </c>
      <c r="B181" s="10" t="s">
        <v>992</v>
      </c>
      <c r="C181" s="10" t="s">
        <v>42</v>
      </c>
      <c r="D181" s="10" t="s">
        <v>43</v>
      </c>
      <c r="E181" s="10" t="s">
        <v>44</v>
      </c>
      <c r="F181" s="10" t="s">
        <v>24</v>
      </c>
      <c r="G181" s="63" t="s">
        <v>2567</v>
      </c>
      <c r="H181" s="63" t="s">
        <v>2620</v>
      </c>
      <c r="I181">
        <v>10</v>
      </c>
      <c r="J181">
        <v>13071.14</v>
      </c>
    </row>
    <row r="182" spans="1:10" x14ac:dyDescent="0.3">
      <c r="A182" s="2" t="s">
        <v>313</v>
      </c>
      <c r="B182" s="4" t="s">
        <v>314</v>
      </c>
      <c r="C182" s="4" t="s">
        <v>42</v>
      </c>
      <c r="D182" s="4" t="s">
        <v>193</v>
      </c>
      <c r="E182" s="4" t="s">
        <v>194</v>
      </c>
      <c r="F182" s="4" t="s">
        <v>34</v>
      </c>
      <c r="G182" s="63" t="s">
        <v>2564</v>
      </c>
      <c r="H182" s="63" t="s">
        <v>2599</v>
      </c>
      <c r="I182">
        <v>10</v>
      </c>
      <c r="J182">
        <v>13071.14</v>
      </c>
    </row>
    <row r="183" spans="1:10" x14ac:dyDescent="0.3">
      <c r="A183" s="8" t="s">
        <v>1047</v>
      </c>
      <c r="B183" s="10" t="s">
        <v>1048</v>
      </c>
      <c r="C183" s="10" t="s">
        <v>42</v>
      </c>
      <c r="D183" s="10" t="s">
        <v>79</v>
      </c>
      <c r="E183" s="10" t="s">
        <v>80</v>
      </c>
      <c r="F183" s="10" t="s">
        <v>54</v>
      </c>
      <c r="G183" s="63" t="s">
        <v>2568</v>
      </c>
      <c r="H183" s="63" t="s">
        <v>2596</v>
      </c>
      <c r="I183">
        <v>10</v>
      </c>
      <c r="J183">
        <v>13071.14</v>
      </c>
    </row>
    <row r="184" spans="1:10" x14ac:dyDescent="0.3">
      <c r="A184" s="2" t="s">
        <v>768</v>
      </c>
      <c r="B184" s="4" t="s">
        <v>769</v>
      </c>
      <c r="C184" s="4" t="s">
        <v>51</v>
      </c>
      <c r="D184" s="4" t="s">
        <v>183</v>
      </c>
      <c r="E184" s="4" t="s">
        <v>184</v>
      </c>
      <c r="F184" s="4" t="s">
        <v>54</v>
      </c>
      <c r="G184" s="63" t="s">
        <v>2584</v>
      </c>
      <c r="H184" s="63" t="s">
        <v>2597</v>
      </c>
      <c r="I184">
        <v>10</v>
      </c>
      <c r="J184">
        <v>13071.14</v>
      </c>
    </row>
    <row r="185" spans="1:10" x14ac:dyDescent="0.3">
      <c r="A185" s="8" t="s">
        <v>666</v>
      </c>
      <c r="B185" s="10" t="s">
        <v>667</v>
      </c>
      <c r="C185" s="10" t="s">
        <v>21</v>
      </c>
      <c r="D185" s="10" t="s">
        <v>372</v>
      </c>
      <c r="E185" s="10" t="s">
        <v>373</v>
      </c>
      <c r="F185" s="10" t="s">
        <v>34</v>
      </c>
      <c r="G185" s="63" t="s">
        <v>2557</v>
      </c>
      <c r="H185" s="63" t="s">
        <v>2599</v>
      </c>
      <c r="I185">
        <v>10</v>
      </c>
      <c r="J185">
        <v>13071.14</v>
      </c>
    </row>
    <row r="186" spans="1:10" x14ac:dyDescent="0.3">
      <c r="A186" s="2" t="s">
        <v>1011</v>
      </c>
      <c r="B186" s="4" t="s">
        <v>1012</v>
      </c>
      <c r="C186" s="4" t="s">
        <v>21</v>
      </c>
      <c r="D186" s="4" t="s">
        <v>59</v>
      </c>
      <c r="E186" s="4" t="s">
        <v>60</v>
      </c>
      <c r="F186" s="4" t="s">
        <v>54</v>
      </c>
      <c r="G186" s="63" t="s">
        <v>2570</v>
      </c>
      <c r="H186" s="63" t="s">
        <v>2597</v>
      </c>
      <c r="I186">
        <v>10</v>
      </c>
      <c r="J186">
        <v>13071.14</v>
      </c>
    </row>
    <row r="187" spans="1:10" x14ac:dyDescent="0.3">
      <c r="A187" s="8" t="s">
        <v>1300</v>
      </c>
      <c r="B187" s="10" t="s">
        <v>1301</v>
      </c>
      <c r="C187" s="10" t="s">
        <v>51</v>
      </c>
      <c r="D187" s="10" t="s">
        <v>319</v>
      </c>
      <c r="E187" s="10" t="s">
        <v>194</v>
      </c>
      <c r="F187" s="10" t="s">
        <v>34</v>
      </c>
      <c r="G187" s="63" t="s">
        <v>2587</v>
      </c>
      <c r="H187" s="63" t="s">
        <v>2620</v>
      </c>
      <c r="I187">
        <v>10</v>
      </c>
      <c r="J187">
        <v>13071.14</v>
      </c>
    </row>
    <row r="188" spans="1:10" x14ac:dyDescent="0.3">
      <c r="A188" s="2" t="s">
        <v>874</v>
      </c>
      <c r="B188" s="4" t="s">
        <v>875</v>
      </c>
      <c r="C188" s="4" t="s">
        <v>51</v>
      </c>
      <c r="D188" s="4" t="s">
        <v>59</v>
      </c>
      <c r="E188" s="4" t="s">
        <v>60</v>
      </c>
      <c r="F188" s="4" t="s">
        <v>54</v>
      </c>
      <c r="G188" s="63" t="s">
        <v>2564</v>
      </c>
      <c r="H188" s="63" t="s">
        <v>2624</v>
      </c>
      <c r="I188">
        <v>10</v>
      </c>
      <c r="J188">
        <v>13071.14</v>
      </c>
    </row>
    <row r="189" spans="1:10" x14ac:dyDescent="0.3">
      <c r="A189" s="8" t="s">
        <v>1330</v>
      </c>
      <c r="B189" s="10" t="s">
        <v>1331</v>
      </c>
      <c r="C189" s="10" t="s">
        <v>51</v>
      </c>
      <c r="D189" s="10" t="s">
        <v>52</v>
      </c>
      <c r="E189" s="10" t="s">
        <v>53</v>
      </c>
      <c r="F189" s="10" t="s">
        <v>54</v>
      </c>
      <c r="G189" s="63" t="s">
        <v>2565</v>
      </c>
      <c r="H189" s="63" t="s">
        <v>2619</v>
      </c>
      <c r="I189">
        <v>10</v>
      </c>
      <c r="J189">
        <v>13071.14</v>
      </c>
    </row>
    <row r="190" spans="1:10" x14ac:dyDescent="0.3">
      <c r="A190" s="2" t="s">
        <v>537</v>
      </c>
      <c r="B190" s="4" t="s">
        <v>538</v>
      </c>
      <c r="C190" s="4" t="s">
        <v>42</v>
      </c>
      <c r="D190" s="4" t="s">
        <v>115</v>
      </c>
      <c r="E190" s="4" t="s">
        <v>116</v>
      </c>
      <c r="F190" s="4" t="s">
        <v>54</v>
      </c>
      <c r="G190" s="63" t="s">
        <v>2575</v>
      </c>
      <c r="H190" s="63" t="s">
        <v>2619</v>
      </c>
      <c r="I190">
        <v>10</v>
      </c>
      <c r="J190">
        <v>13071.14</v>
      </c>
    </row>
    <row r="191" spans="1:10" x14ac:dyDescent="0.3">
      <c r="A191" s="8" t="s">
        <v>975</v>
      </c>
      <c r="B191" s="10" t="s">
        <v>976</v>
      </c>
      <c r="C191" s="10" t="s">
        <v>51</v>
      </c>
      <c r="D191" s="10" t="s">
        <v>459</v>
      </c>
      <c r="E191" s="10" t="s">
        <v>460</v>
      </c>
      <c r="F191" s="10" t="s">
        <v>54</v>
      </c>
      <c r="G191" s="63" t="s">
        <v>2562</v>
      </c>
      <c r="H191" s="63" t="s">
        <v>2607</v>
      </c>
      <c r="I191">
        <v>10</v>
      </c>
      <c r="J191">
        <v>13071.14</v>
      </c>
    </row>
    <row r="192" spans="1:10" x14ac:dyDescent="0.3">
      <c r="A192" s="2" t="s">
        <v>181</v>
      </c>
      <c r="B192" s="4" t="s">
        <v>182</v>
      </c>
      <c r="C192" s="4" t="s">
        <v>21</v>
      </c>
      <c r="D192" s="4" t="s">
        <v>183</v>
      </c>
      <c r="E192" s="4" t="s">
        <v>184</v>
      </c>
      <c r="F192" s="4" t="s">
        <v>54</v>
      </c>
      <c r="G192" s="63" t="s">
        <v>2572</v>
      </c>
      <c r="H192" s="63" t="s">
        <v>2621</v>
      </c>
      <c r="I192">
        <v>10</v>
      </c>
      <c r="J192">
        <v>13071.14</v>
      </c>
    </row>
    <row r="193" spans="1:10" x14ac:dyDescent="0.3">
      <c r="A193" s="8" t="s">
        <v>1236</v>
      </c>
      <c r="B193" s="10" t="s">
        <v>1237</v>
      </c>
      <c r="C193" s="10" t="s">
        <v>51</v>
      </c>
      <c r="D193" s="10" t="s">
        <v>300</v>
      </c>
      <c r="E193" s="10" t="s">
        <v>184</v>
      </c>
      <c r="F193" s="10" t="s">
        <v>54</v>
      </c>
      <c r="G193" s="63" t="s">
        <v>2579</v>
      </c>
      <c r="H193" s="63" t="s">
        <v>2606</v>
      </c>
      <c r="I193">
        <v>10</v>
      </c>
      <c r="J193">
        <v>13071.14</v>
      </c>
    </row>
    <row r="194" spans="1:10" x14ac:dyDescent="0.3">
      <c r="A194" s="2" t="s">
        <v>201</v>
      </c>
      <c r="B194" s="4" t="s">
        <v>202</v>
      </c>
      <c r="C194" s="4" t="s">
        <v>21</v>
      </c>
      <c r="D194" s="4" t="s">
        <v>98</v>
      </c>
      <c r="E194" s="4" t="s">
        <v>80</v>
      </c>
      <c r="F194" s="4" t="s">
        <v>54</v>
      </c>
      <c r="G194" s="63" t="s">
        <v>2575</v>
      </c>
      <c r="H194" s="63" t="s">
        <v>2597</v>
      </c>
      <c r="I194">
        <v>10</v>
      </c>
      <c r="J194">
        <v>13071.14</v>
      </c>
    </row>
    <row r="195" spans="1:10" x14ac:dyDescent="0.3">
      <c r="A195" s="8" t="s">
        <v>1352</v>
      </c>
      <c r="B195" s="10" t="s">
        <v>1353</v>
      </c>
      <c r="C195" s="10" t="s">
        <v>42</v>
      </c>
      <c r="D195" s="10" t="s">
        <v>207</v>
      </c>
      <c r="E195" s="10" t="s">
        <v>60</v>
      </c>
      <c r="F195" s="10" t="s">
        <v>54</v>
      </c>
      <c r="G195" s="63" t="s">
        <v>2580</v>
      </c>
      <c r="H195" s="63" t="s">
        <v>2620</v>
      </c>
      <c r="I195">
        <v>10</v>
      </c>
      <c r="J195">
        <v>13071.14</v>
      </c>
    </row>
    <row r="196" spans="1:10" x14ac:dyDescent="0.3">
      <c r="A196" s="2" t="s">
        <v>838</v>
      </c>
      <c r="B196" s="4" t="s">
        <v>839</v>
      </c>
      <c r="C196" s="4" t="s">
        <v>51</v>
      </c>
      <c r="D196" s="4" t="s">
        <v>438</v>
      </c>
      <c r="E196" s="4" t="s">
        <v>157</v>
      </c>
      <c r="F196" s="4" t="s">
        <v>88</v>
      </c>
      <c r="G196" s="63" t="s">
        <v>2587</v>
      </c>
      <c r="H196" s="63" t="s">
        <v>2613</v>
      </c>
      <c r="I196">
        <v>10</v>
      </c>
      <c r="J196">
        <v>13071.14</v>
      </c>
    </row>
    <row r="197" spans="1:10" x14ac:dyDescent="0.3">
      <c r="A197" s="8" t="s">
        <v>1029</v>
      </c>
      <c r="B197" s="10" t="s">
        <v>1030</v>
      </c>
      <c r="C197" s="10" t="s">
        <v>21</v>
      </c>
      <c r="D197" s="10" t="s">
        <v>438</v>
      </c>
      <c r="E197" s="10" t="s">
        <v>157</v>
      </c>
      <c r="F197" s="10" t="s">
        <v>88</v>
      </c>
      <c r="G197" s="63" t="s">
        <v>2583</v>
      </c>
      <c r="H197" s="63" t="s">
        <v>2618</v>
      </c>
      <c r="I197">
        <v>10</v>
      </c>
      <c r="J197">
        <v>13071.14</v>
      </c>
    </row>
    <row r="198" spans="1:10" x14ac:dyDescent="0.3">
      <c r="A198" s="2" t="s">
        <v>457</v>
      </c>
      <c r="B198" s="4" t="s">
        <v>458</v>
      </c>
      <c r="C198" s="4" t="s">
        <v>51</v>
      </c>
      <c r="D198" s="4" t="s">
        <v>459</v>
      </c>
      <c r="E198" s="4" t="s">
        <v>460</v>
      </c>
      <c r="F198" s="4" t="s">
        <v>54</v>
      </c>
      <c r="G198" s="63" t="s">
        <v>2580</v>
      </c>
      <c r="H198" s="63" t="s">
        <v>2604</v>
      </c>
      <c r="I198">
        <v>10</v>
      </c>
      <c r="J198">
        <v>13071.14</v>
      </c>
    </row>
    <row r="199" spans="1:10" x14ac:dyDescent="0.3">
      <c r="A199" s="8" t="s">
        <v>340</v>
      </c>
      <c r="B199" s="10" t="s">
        <v>341</v>
      </c>
      <c r="C199" s="10" t="s">
        <v>21</v>
      </c>
      <c r="D199" s="10" t="s">
        <v>139</v>
      </c>
      <c r="E199" s="10" t="s">
        <v>140</v>
      </c>
      <c r="F199" s="10" t="s">
        <v>24</v>
      </c>
      <c r="G199" s="63" t="s">
        <v>2575</v>
      </c>
      <c r="H199" s="63" t="s">
        <v>2610</v>
      </c>
      <c r="I199">
        <v>10</v>
      </c>
      <c r="J199">
        <v>13071.14</v>
      </c>
    </row>
    <row r="200" spans="1:10" x14ac:dyDescent="0.3">
      <c r="A200" s="2" t="s">
        <v>827</v>
      </c>
      <c r="B200" s="4" t="s">
        <v>828</v>
      </c>
      <c r="C200" s="4" t="s">
        <v>51</v>
      </c>
      <c r="D200" s="4" t="s">
        <v>319</v>
      </c>
      <c r="E200" s="4" t="s">
        <v>194</v>
      </c>
      <c r="F200" s="4" t="s">
        <v>34</v>
      </c>
      <c r="G200" s="63" t="s">
        <v>2558</v>
      </c>
      <c r="H200" s="63" t="s">
        <v>2621</v>
      </c>
      <c r="I200">
        <v>10</v>
      </c>
      <c r="J200">
        <v>13071.14</v>
      </c>
    </row>
    <row r="201" spans="1:10" x14ac:dyDescent="0.3">
      <c r="A201" s="8" t="s">
        <v>543</v>
      </c>
      <c r="B201" s="10" t="s">
        <v>544</v>
      </c>
      <c r="C201" s="10" t="s">
        <v>42</v>
      </c>
      <c r="D201" s="10" t="s">
        <v>346</v>
      </c>
      <c r="E201" s="10" t="s">
        <v>347</v>
      </c>
      <c r="F201" s="10" t="s">
        <v>88</v>
      </c>
      <c r="G201" s="63" t="s">
        <v>2591</v>
      </c>
      <c r="H201" s="63" t="s">
        <v>2623</v>
      </c>
      <c r="I201">
        <v>10</v>
      </c>
      <c r="J201">
        <v>13071.14</v>
      </c>
    </row>
    <row r="202" spans="1:10" x14ac:dyDescent="0.3">
      <c r="I202">
        <v>10</v>
      </c>
      <c r="J202">
        <v>13071.14</v>
      </c>
    </row>
    <row r="203" spans="1:10" x14ac:dyDescent="0.3">
      <c r="I203">
        <v>10</v>
      </c>
      <c r="J203">
        <v>13071.14</v>
      </c>
    </row>
    <row r="204" spans="1:10" x14ac:dyDescent="0.3">
      <c r="I204">
        <v>10</v>
      </c>
      <c r="J204">
        <v>13071.14</v>
      </c>
    </row>
    <row r="205" spans="1:10" x14ac:dyDescent="0.3">
      <c r="I205">
        <v>10</v>
      </c>
      <c r="J205">
        <v>13071.14</v>
      </c>
    </row>
    <row r="206" spans="1:10" x14ac:dyDescent="0.3">
      <c r="I206">
        <v>10</v>
      </c>
      <c r="J206">
        <v>13071.14</v>
      </c>
    </row>
    <row r="207" spans="1:10" x14ac:dyDescent="0.3">
      <c r="I207">
        <v>10</v>
      </c>
      <c r="J207">
        <v>13071.14</v>
      </c>
    </row>
    <row r="208" spans="1:10" x14ac:dyDescent="0.3">
      <c r="I208">
        <v>10</v>
      </c>
      <c r="J208">
        <v>13071.14</v>
      </c>
    </row>
    <row r="209" spans="9:10" x14ac:dyDescent="0.3">
      <c r="I209">
        <v>10</v>
      </c>
      <c r="J209">
        <v>13071.14</v>
      </c>
    </row>
    <row r="210" spans="9:10" x14ac:dyDescent="0.3">
      <c r="I210">
        <v>10</v>
      </c>
      <c r="J210">
        <v>13071.14</v>
      </c>
    </row>
    <row r="211" spans="9:10" x14ac:dyDescent="0.3">
      <c r="I211">
        <v>10</v>
      </c>
      <c r="J211">
        <v>13071.14</v>
      </c>
    </row>
    <row r="212" spans="9:10" x14ac:dyDescent="0.3">
      <c r="I212">
        <v>10</v>
      </c>
      <c r="J212">
        <v>13071.14</v>
      </c>
    </row>
    <row r="213" spans="9:10" x14ac:dyDescent="0.3">
      <c r="I213">
        <v>10</v>
      </c>
      <c r="J213">
        <v>13071.14</v>
      </c>
    </row>
    <row r="214" spans="9:10" x14ac:dyDescent="0.3">
      <c r="I214">
        <v>10</v>
      </c>
      <c r="J214">
        <v>13071.14</v>
      </c>
    </row>
    <row r="215" spans="9:10" x14ac:dyDescent="0.3">
      <c r="I215">
        <v>10</v>
      </c>
      <c r="J215">
        <v>13071.14</v>
      </c>
    </row>
    <row r="216" spans="9:10" x14ac:dyDescent="0.3">
      <c r="I216">
        <v>10</v>
      </c>
      <c r="J216">
        <v>13071.14</v>
      </c>
    </row>
    <row r="217" spans="9:10" x14ac:dyDescent="0.3">
      <c r="I217">
        <v>10</v>
      </c>
      <c r="J217">
        <v>13071.14</v>
      </c>
    </row>
    <row r="218" spans="9:10" x14ac:dyDescent="0.3">
      <c r="I218">
        <v>10</v>
      </c>
      <c r="J218">
        <v>13071.14</v>
      </c>
    </row>
    <row r="219" spans="9:10" x14ac:dyDescent="0.3">
      <c r="I219">
        <v>10</v>
      </c>
      <c r="J219">
        <v>13071.14</v>
      </c>
    </row>
    <row r="220" spans="9:10" x14ac:dyDescent="0.3">
      <c r="I220">
        <v>10</v>
      </c>
      <c r="J220">
        <v>13071.14</v>
      </c>
    </row>
    <row r="221" spans="9:10" x14ac:dyDescent="0.3">
      <c r="I221">
        <v>10</v>
      </c>
      <c r="J221">
        <v>13071.14</v>
      </c>
    </row>
    <row r="222" spans="9:10" x14ac:dyDescent="0.3">
      <c r="I222">
        <v>10</v>
      </c>
      <c r="J222">
        <v>13071.14</v>
      </c>
    </row>
    <row r="223" spans="9:10" x14ac:dyDescent="0.3">
      <c r="I223">
        <v>10</v>
      </c>
      <c r="J223">
        <v>13071.14</v>
      </c>
    </row>
    <row r="224" spans="9:10" x14ac:dyDescent="0.3">
      <c r="I224">
        <v>10</v>
      </c>
      <c r="J224">
        <v>13071.14</v>
      </c>
    </row>
    <row r="225" spans="9:10" x14ac:dyDescent="0.3">
      <c r="I225">
        <v>10</v>
      </c>
      <c r="J225">
        <v>13071.14</v>
      </c>
    </row>
    <row r="226" spans="9:10" x14ac:dyDescent="0.3">
      <c r="I226">
        <v>10</v>
      </c>
      <c r="J226">
        <v>13071.14</v>
      </c>
    </row>
    <row r="227" spans="9:10" x14ac:dyDescent="0.3">
      <c r="I227">
        <v>10</v>
      </c>
      <c r="J227">
        <v>13071.14</v>
      </c>
    </row>
    <row r="228" spans="9:10" x14ac:dyDescent="0.3">
      <c r="I228">
        <v>10</v>
      </c>
      <c r="J228">
        <v>13071.14</v>
      </c>
    </row>
    <row r="229" spans="9:10" x14ac:dyDescent="0.3">
      <c r="I229">
        <v>10</v>
      </c>
      <c r="J229">
        <v>13071.14</v>
      </c>
    </row>
    <row r="230" spans="9:10" x14ac:dyDescent="0.3">
      <c r="I230">
        <v>10</v>
      </c>
      <c r="J230">
        <v>13071.14</v>
      </c>
    </row>
    <row r="231" spans="9:10" x14ac:dyDescent="0.3">
      <c r="I231">
        <v>10</v>
      </c>
      <c r="J231">
        <v>13071.14</v>
      </c>
    </row>
    <row r="232" spans="9:10" x14ac:dyDescent="0.3">
      <c r="I232">
        <v>10</v>
      </c>
      <c r="J232">
        <v>13071.14</v>
      </c>
    </row>
    <row r="233" spans="9:10" x14ac:dyDescent="0.3">
      <c r="I233">
        <v>10</v>
      </c>
      <c r="J233">
        <v>13071.14</v>
      </c>
    </row>
    <row r="234" spans="9:10" x14ac:dyDescent="0.3">
      <c r="I234">
        <v>10</v>
      </c>
      <c r="J234">
        <v>13071.14</v>
      </c>
    </row>
    <row r="235" spans="9:10" x14ac:dyDescent="0.3">
      <c r="I235">
        <v>10</v>
      </c>
      <c r="J235">
        <v>13071.14</v>
      </c>
    </row>
    <row r="236" spans="9:10" x14ac:dyDescent="0.3">
      <c r="I236">
        <v>10</v>
      </c>
      <c r="J236">
        <v>13071.14</v>
      </c>
    </row>
    <row r="237" spans="9:10" x14ac:dyDescent="0.3">
      <c r="I237">
        <v>10</v>
      </c>
      <c r="J237">
        <v>13071.14</v>
      </c>
    </row>
    <row r="238" spans="9:10" x14ac:dyDescent="0.3">
      <c r="I238">
        <v>10</v>
      </c>
      <c r="J238">
        <v>13071.14</v>
      </c>
    </row>
    <row r="239" spans="9:10" x14ac:dyDescent="0.3">
      <c r="I239">
        <v>10</v>
      </c>
      <c r="J239">
        <v>13071.14</v>
      </c>
    </row>
    <row r="240" spans="9:10" x14ac:dyDescent="0.3">
      <c r="I240">
        <v>10</v>
      </c>
      <c r="J240">
        <v>13071.14</v>
      </c>
    </row>
    <row r="241" spans="9:10" x14ac:dyDescent="0.3">
      <c r="I241">
        <v>10</v>
      </c>
      <c r="J241">
        <v>13071.14</v>
      </c>
    </row>
    <row r="242" spans="9:10" x14ac:dyDescent="0.3">
      <c r="I242">
        <v>10</v>
      </c>
      <c r="J242">
        <v>13071.14</v>
      </c>
    </row>
    <row r="243" spans="9:10" x14ac:dyDescent="0.3">
      <c r="I243">
        <v>10</v>
      </c>
      <c r="J243">
        <v>13071.14</v>
      </c>
    </row>
    <row r="244" spans="9:10" x14ac:dyDescent="0.3">
      <c r="I244">
        <v>10</v>
      </c>
      <c r="J244">
        <v>13071.14</v>
      </c>
    </row>
    <row r="245" spans="9:10" x14ac:dyDescent="0.3">
      <c r="I245">
        <v>10</v>
      </c>
      <c r="J245">
        <v>13071.14</v>
      </c>
    </row>
    <row r="246" spans="9:10" x14ac:dyDescent="0.3">
      <c r="I246">
        <v>10</v>
      </c>
      <c r="J246">
        <v>13071.14</v>
      </c>
    </row>
    <row r="247" spans="9:10" x14ac:dyDescent="0.3">
      <c r="I247">
        <v>10</v>
      </c>
      <c r="J247">
        <v>13071.14</v>
      </c>
    </row>
    <row r="248" spans="9:10" x14ac:dyDescent="0.3">
      <c r="I248">
        <v>10</v>
      </c>
      <c r="J248">
        <v>13071.14</v>
      </c>
    </row>
    <row r="249" spans="9:10" x14ac:dyDescent="0.3">
      <c r="I249">
        <v>9</v>
      </c>
      <c r="J249">
        <v>6132.01</v>
      </c>
    </row>
    <row r="250" spans="9:10" x14ac:dyDescent="0.3">
      <c r="I250">
        <v>9</v>
      </c>
      <c r="J250">
        <v>6132.01</v>
      </c>
    </row>
    <row r="251" spans="9:10" x14ac:dyDescent="0.3">
      <c r="I251">
        <v>9</v>
      </c>
      <c r="J251">
        <v>6132.01</v>
      </c>
    </row>
    <row r="252" spans="9:10" x14ac:dyDescent="0.3">
      <c r="I252">
        <v>9</v>
      </c>
      <c r="J252">
        <v>6132.01</v>
      </c>
    </row>
    <row r="253" spans="9:10" x14ac:dyDescent="0.3">
      <c r="I253">
        <v>9</v>
      </c>
      <c r="J253">
        <v>6132.01</v>
      </c>
    </row>
    <row r="254" spans="9:10" x14ac:dyDescent="0.3">
      <c r="I254">
        <v>9</v>
      </c>
      <c r="J254">
        <v>6132.01</v>
      </c>
    </row>
    <row r="255" spans="9:10" x14ac:dyDescent="0.3">
      <c r="I255">
        <v>9</v>
      </c>
      <c r="J255">
        <v>6132.01</v>
      </c>
    </row>
    <row r="256" spans="9:10" x14ac:dyDescent="0.3">
      <c r="I256">
        <v>9</v>
      </c>
      <c r="J256">
        <v>6132.01</v>
      </c>
    </row>
    <row r="257" spans="9:10" x14ac:dyDescent="0.3">
      <c r="I257">
        <v>9</v>
      </c>
      <c r="J257">
        <v>6132.01</v>
      </c>
    </row>
    <row r="258" spans="9:10" x14ac:dyDescent="0.3">
      <c r="I258">
        <v>9</v>
      </c>
      <c r="J258">
        <v>6132.01</v>
      </c>
    </row>
    <row r="259" spans="9:10" x14ac:dyDescent="0.3">
      <c r="I259">
        <v>9</v>
      </c>
      <c r="J259">
        <v>6132.01</v>
      </c>
    </row>
    <row r="260" spans="9:10" x14ac:dyDescent="0.3">
      <c r="I260">
        <v>9</v>
      </c>
      <c r="J260">
        <v>6132.01</v>
      </c>
    </row>
    <row r="261" spans="9:10" x14ac:dyDescent="0.3">
      <c r="I261">
        <v>9</v>
      </c>
      <c r="J261">
        <v>6132.01</v>
      </c>
    </row>
    <row r="262" spans="9:10" x14ac:dyDescent="0.3">
      <c r="I262">
        <v>9</v>
      </c>
      <c r="J262">
        <v>6132.01</v>
      </c>
    </row>
    <row r="263" spans="9:10" x14ac:dyDescent="0.3">
      <c r="I263">
        <v>9</v>
      </c>
      <c r="J263">
        <v>6132.01</v>
      </c>
    </row>
    <row r="264" spans="9:10" x14ac:dyDescent="0.3">
      <c r="I264">
        <v>9</v>
      </c>
      <c r="J264">
        <v>6132.01</v>
      </c>
    </row>
    <row r="265" spans="9:10" x14ac:dyDescent="0.3">
      <c r="I265">
        <v>9</v>
      </c>
      <c r="J265">
        <v>6132.01</v>
      </c>
    </row>
    <row r="266" spans="9:10" x14ac:dyDescent="0.3">
      <c r="I266">
        <v>9</v>
      </c>
      <c r="J266">
        <v>6132.01</v>
      </c>
    </row>
    <row r="267" spans="9:10" x14ac:dyDescent="0.3">
      <c r="I267">
        <v>9</v>
      </c>
      <c r="J267">
        <v>6132.01</v>
      </c>
    </row>
    <row r="268" spans="9:10" x14ac:dyDescent="0.3">
      <c r="I268">
        <v>9</v>
      </c>
      <c r="J268">
        <v>6132.01</v>
      </c>
    </row>
    <row r="269" spans="9:10" x14ac:dyDescent="0.3">
      <c r="I269">
        <v>9</v>
      </c>
      <c r="J269">
        <v>6132.01</v>
      </c>
    </row>
    <row r="270" spans="9:10" x14ac:dyDescent="0.3">
      <c r="I270">
        <v>9</v>
      </c>
      <c r="J270">
        <v>6132.01</v>
      </c>
    </row>
    <row r="271" spans="9:10" x14ac:dyDescent="0.3">
      <c r="I271">
        <v>9</v>
      </c>
      <c r="J271">
        <v>6132.01</v>
      </c>
    </row>
    <row r="272" spans="9:10" x14ac:dyDescent="0.3">
      <c r="I272">
        <v>9</v>
      </c>
      <c r="J272">
        <v>6132.01</v>
      </c>
    </row>
    <row r="273" spans="9:10" x14ac:dyDescent="0.3">
      <c r="I273">
        <v>9</v>
      </c>
      <c r="J273">
        <v>6132.01</v>
      </c>
    </row>
    <row r="274" spans="9:10" x14ac:dyDescent="0.3">
      <c r="I274">
        <v>9</v>
      </c>
      <c r="J274">
        <v>6132.01</v>
      </c>
    </row>
    <row r="275" spans="9:10" x14ac:dyDescent="0.3">
      <c r="I275">
        <v>9</v>
      </c>
      <c r="J275">
        <v>6132.01</v>
      </c>
    </row>
    <row r="276" spans="9:10" x14ac:dyDescent="0.3">
      <c r="I276">
        <v>9</v>
      </c>
      <c r="J276">
        <v>6132.01</v>
      </c>
    </row>
    <row r="277" spans="9:10" x14ac:dyDescent="0.3">
      <c r="I277">
        <v>9</v>
      </c>
      <c r="J277">
        <v>6132.01</v>
      </c>
    </row>
    <row r="278" spans="9:10" x14ac:dyDescent="0.3">
      <c r="I278">
        <v>9</v>
      </c>
      <c r="J278">
        <v>6132.01</v>
      </c>
    </row>
    <row r="279" spans="9:10" x14ac:dyDescent="0.3">
      <c r="I279">
        <v>9</v>
      </c>
      <c r="J279">
        <v>6132.01</v>
      </c>
    </row>
    <row r="280" spans="9:10" x14ac:dyDescent="0.3">
      <c r="I280">
        <v>9</v>
      </c>
      <c r="J280">
        <v>6132.01</v>
      </c>
    </row>
    <row r="281" spans="9:10" x14ac:dyDescent="0.3">
      <c r="I281">
        <v>9</v>
      </c>
      <c r="J281">
        <v>6132.01</v>
      </c>
    </row>
    <row r="282" spans="9:10" x14ac:dyDescent="0.3">
      <c r="I282">
        <v>9</v>
      </c>
      <c r="J282">
        <v>6132.01</v>
      </c>
    </row>
    <row r="283" spans="9:10" x14ac:dyDescent="0.3">
      <c r="I283">
        <v>9</v>
      </c>
      <c r="J283">
        <v>6132.01</v>
      </c>
    </row>
    <row r="284" spans="9:10" x14ac:dyDescent="0.3">
      <c r="I284">
        <v>9</v>
      </c>
      <c r="J284">
        <v>6132.01</v>
      </c>
    </row>
    <row r="285" spans="9:10" x14ac:dyDescent="0.3">
      <c r="I285">
        <v>9</v>
      </c>
      <c r="J285">
        <v>6132.01</v>
      </c>
    </row>
    <row r="286" spans="9:10" x14ac:dyDescent="0.3">
      <c r="I286">
        <v>9</v>
      </c>
      <c r="J286">
        <v>6132.01</v>
      </c>
    </row>
    <row r="287" spans="9:10" x14ac:dyDescent="0.3">
      <c r="I287">
        <v>9</v>
      </c>
      <c r="J287">
        <v>6132.01</v>
      </c>
    </row>
    <row r="288" spans="9:10" x14ac:dyDescent="0.3">
      <c r="I288">
        <v>9</v>
      </c>
      <c r="J288">
        <v>6132.01</v>
      </c>
    </row>
    <row r="289" spans="9:10" x14ac:dyDescent="0.3">
      <c r="I289">
        <v>9</v>
      </c>
      <c r="J289">
        <v>6132.01</v>
      </c>
    </row>
    <row r="290" spans="9:10" x14ac:dyDescent="0.3">
      <c r="I290">
        <v>9</v>
      </c>
      <c r="J290">
        <v>6132.01</v>
      </c>
    </row>
    <row r="291" spans="9:10" x14ac:dyDescent="0.3">
      <c r="I291">
        <v>9</v>
      </c>
      <c r="J291">
        <v>6132.01</v>
      </c>
    </row>
    <row r="292" spans="9:10" x14ac:dyDescent="0.3">
      <c r="I292">
        <v>9</v>
      </c>
      <c r="J292">
        <v>6132.01</v>
      </c>
    </row>
    <row r="293" spans="9:10" x14ac:dyDescent="0.3">
      <c r="I293">
        <v>9</v>
      </c>
      <c r="J293">
        <v>6132.01</v>
      </c>
    </row>
    <row r="294" spans="9:10" x14ac:dyDescent="0.3">
      <c r="I294">
        <v>9</v>
      </c>
      <c r="J294">
        <v>6132.01</v>
      </c>
    </row>
    <row r="295" spans="9:10" x14ac:dyDescent="0.3">
      <c r="I295">
        <v>9</v>
      </c>
      <c r="J295">
        <v>6132.01</v>
      </c>
    </row>
    <row r="296" spans="9:10" x14ac:dyDescent="0.3">
      <c r="I296">
        <v>9</v>
      </c>
      <c r="J296">
        <v>6132.01</v>
      </c>
    </row>
    <row r="297" spans="9:10" x14ac:dyDescent="0.3">
      <c r="I297">
        <v>9</v>
      </c>
      <c r="J297">
        <v>6132.01</v>
      </c>
    </row>
    <row r="298" spans="9:10" x14ac:dyDescent="0.3">
      <c r="I298">
        <v>9</v>
      </c>
      <c r="J298">
        <v>6132.01</v>
      </c>
    </row>
    <row r="299" spans="9:10" x14ac:dyDescent="0.3">
      <c r="I299">
        <v>9</v>
      </c>
      <c r="J299">
        <v>6132.01</v>
      </c>
    </row>
    <row r="300" spans="9:10" x14ac:dyDescent="0.3">
      <c r="I300">
        <v>9</v>
      </c>
      <c r="J300">
        <v>6132.01</v>
      </c>
    </row>
    <row r="301" spans="9:10" x14ac:dyDescent="0.3">
      <c r="I301">
        <v>9</v>
      </c>
      <c r="J301">
        <v>6132.01</v>
      </c>
    </row>
    <row r="302" spans="9:10" x14ac:dyDescent="0.3">
      <c r="I302">
        <v>9</v>
      </c>
      <c r="J302">
        <v>6132.01</v>
      </c>
    </row>
    <row r="303" spans="9:10" x14ac:dyDescent="0.3">
      <c r="I303">
        <v>9</v>
      </c>
      <c r="J303">
        <v>6132.01</v>
      </c>
    </row>
    <row r="304" spans="9:10" x14ac:dyDescent="0.3">
      <c r="I304">
        <v>9</v>
      </c>
      <c r="J304">
        <v>6132.01</v>
      </c>
    </row>
    <row r="305" spans="9:10" x14ac:dyDescent="0.3">
      <c r="I305">
        <v>9</v>
      </c>
      <c r="J305">
        <v>6132.01</v>
      </c>
    </row>
    <row r="306" spans="9:10" x14ac:dyDescent="0.3">
      <c r="I306">
        <v>9</v>
      </c>
      <c r="J306">
        <v>6132.01</v>
      </c>
    </row>
    <row r="307" spans="9:10" x14ac:dyDescent="0.3">
      <c r="I307">
        <v>9</v>
      </c>
      <c r="J307">
        <v>6132.01</v>
      </c>
    </row>
    <row r="308" spans="9:10" x14ac:dyDescent="0.3">
      <c r="I308">
        <v>9</v>
      </c>
      <c r="J308">
        <v>6132.01</v>
      </c>
    </row>
    <row r="309" spans="9:10" x14ac:dyDescent="0.3">
      <c r="I309">
        <v>9</v>
      </c>
      <c r="J309">
        <v>6132.01</v>
      </c>
    </row>
    <row r="310" spans="9:10" x14ac:dyDescent="0.3">
      <c r="I310">
        <v>9</v>
      </c>
      <c r="J310">
        <v>6132.01</v>
      </c>
    </row>
    <row r="311" spans="9:10" x14ac:dyDescent="0.3">
      <c r="I311">
        <v>9</v>
      </c>
      <c r="J311">
        <v>6132.01</v>
      </c>
    </row>
    <row r="312" spans="9:10" x14ac:dyDescent="0.3">
      <c r="I312">
        <v>9</v>
      </c>
      <c r="J312">
        <v>6132.01</v>
      </c>
    </row>
    <row r="313" spans="9:10" x14ac:dyDescent="0.3">
      <c r="I313">
        <v>9</v>
      </c>
      <c r="J313">
        <v>6132.01</v>
      </c>
    </row>
    <row r="314" spans="9:10" x14ac:dyDescent="0.3">
      <c r="I314">
        <v>9</v>
      </c>
      <c r="J314">
        <v>6132.01</v>
      </c>
    </row>
    <row r="315" spans="9:10" x14ac:dyDescent="0.3">
      <c r="I315">
        <v>9</v>
      </c>
      <c r="J315">
        <v>6132.01</v>
      </c>
    </row>
    <row r="316" spans="9:10" x14ac:dyDescent="0.3">
      <c r="I316">
        <v>9</v>
      </c>
      <c r="J316">
        <v>6132.01</v>
      </c>
    </row>
    <row r="317" spans="9:10" x14ac:dyDescent="0.3">
      <c r="I317">
        <v>9</v>
      </c>
      <c r="J317">
        <v>6132.01</v>
      </c>
    </row>
    <row r="318" spans="9:10" x14ac:dyDescent="0.3">
      <c r="I318">
        <v>9</v>
      </c>
      <c r="J318">
        <v>6132.01</v>
      </c>
    </row>
    <row r="319" spans="9:10" x14ac:dyDescent="0.3">
      <c r="I319">
        <v>9</v>
      </c>
      <c r="J319">
        <v>6132.01</v>
      </c>
    </row>
    <row r="320" spans="9:10" x14ac:dyDescent="0.3">
      <c r="I320">
        <v>9</v>
      </c>
      <c r="J320">
        <v>6132.01</v>
      </c>
    </row>
    <row r="321" spans="9:10" x14ac:dyDescent="0.3">
      <c r="I321">
        <v>9</v>
      </c>
      <c r="J321">
        <v>6132.01</v>
      </c>
    </row>
    <row r="322" spans="9:10" x14ac:dyDescent="0.3">
      <c r="I322">
        <v>9</v>
      </c>
      <c r="J322">
        <v>6132.01</v>
      </c>
    </row>
    <row r="323" spans="9:10" x14ac:dyDescent="0.3">
      <c r="I323">
        <v>9</v>
      </c>
      <c r="J323">
        <v>6132.01</v>
      </c>
    </row>
    <row r="324" spans="9:10" x14ac:dyDescent="0.3">
      <c r="I324">
        <v>9</v>
      </c>
      <c r="J324">
        <v>6132.01</v>
      </c>
    </row>
    <row r="325" spans="9:10" x14ac:dyDescent="0.3">
      <c r="I325">
        <v>9</v>
      </c>
      <c r="J325">
        <v>6132.01</v>
      </c>
    </row>
    <row r="326" spans="9:10" x14ac:dyDescent="0.3">
      <c r="I326">
        <v>9</v>
      </c>
      <c r="J326">
        <v>6132.01</v>
      </c>
    </row>
    <row r="327" spans="9:10" x14ac:dyDescent="0.3">
      <c r="I327">
        <v>9</v>
      </c>
      <c r="J327">
        <v>6132.01</v>
      </c>
    </row>
    <row r="328" spans="9:10" x14ac:dyDescent="0.3">
      <c r="I328">
        <v>9</v>
      </c>
      <c r="J328">
        <v>6132.01</v>
      </c>
    </row>
    <row r="329" spans="9:10" x14ac:dyDescent="0.3">
      <c r="I329">
        <v>9</v>
      </c>
      <c r="J329">
        <v>6132.01</v>
      </c>
    </row>
    <row r="330" spans="9:10" x14ac:dyDescent="0.3">
      <c r="I330">
        <v>9</v>
      </c>
      <c r="J330">
        <v>6132.01</v>
      </c>
    </row>
    <row r="331" spans="9:10" x14ac:dyDescent="0.3">
      <c r="I331">
        <v>9</v>
      </c>
      <c r="J331">
        <v>6132.01</v>
      </c>
    </row>
    <row r="332" spans="9:10" x14ac:dyDescent="0.3">
      <c r="I332">
        <v>9</v>
      </c>
      <c r="J332">
        <v>6132.01</v>
      </c>
    </row>
    <row r="333" spans="9:10" x14ac:dyDescent="0.3">
      <c r="I333">
        <v>9</v>
      </c>
      <c r="J333">
        <v>6132.01</v>
      </c>
    </row>
    <row r="334" spans="9:10" x14ac:dyDescent="0.3">
      <c r="I334">
        <v>9</v>
      </c>
      <c r="J334">
        <v>6132.01</v>
      </c>
    </row>
    <row r="335" spans="9:10" x14ac:dyDescent="0.3">
      <c r="I335">
        <v>9</v>
      </c>
      <c r="J335">
        <v>6132.01</v>
      </c>
    </row>
    <row r="336" spans="9:10" x14ac:dyDescent="0.3">
      <c r="I336">
        <v>9</v>
      </c>
      <c r="J336">
        <v>6132.01</v>
      </c>
    </row>
    <row r="337" spans="9:10" x14ac:dyDescent="0.3">
      <c r="I337">
        <v>9</v>
      </c>
      <c r="J337">
        <v>6132.01</v>
      </c>
    </row>
    <row r="338" spans="9:10" x14ac:dyDescent="0.3">
      <c r="I338">
        <v>9</v>
      </c>
      <c r="J338">
        <v>6132.01</v>
      </c>
    </row>
    <row r="339" spans="9:10" x14ac:dyDescent="0.3">
      <c r="I339">
        <v>9</v>
      </c>
      <c r="J339">
        <v>6132.01</v>
      </c>
    </row>
    <row r="340" spans="9:10" x14ac:dyDescent="0.3">
      <c r="I340">
        <v>9</v>
      </c>
      <c r="J340">
        <v>6132.01</v>
      </c>
    </row>
    <row r="341" spans="9:10" x14ac:dyDescent="0.3">
      <c r="I341">
        <v>9</v>
      </c>
      <c r="J341">
        <v>6132.01</v>
      </c>
    </row>
    <row r="342" spans="9:10" x14ac:dyDescent="0.3">
      <c r="I342">
        <v>9</v>
      </c>
      <c r="J342">
        <v>6132.01</v>
      </c>
    </row>
    <row r="343" spans="9:10" x14ac:dyDescent="0.3">
      <c r="I343">
        <v>9</v>
      </c>
      <c r="J343">
        <v>6132.01</v>
      </c>
    </row>
    <row r="344" spans="9:10" x14ac:dyDescent="0.3">
      <c r="I344">
        <v>9</v>
      </c>
      <c r="J344">
        <v>6132.01</v>
      </c>
    </row>
    <row r="345" spans="9:10" x14ac:dyDescent="0.3">
      <c r="I345">
        <v>9</v>
      </c>
      <c r="J345">
        <v>6132.01</v>
      </c>
    </row>
    <row r="346" spans="9:10" x14ac:dyDescent="0.3">
      <c r="I346">
        <v>9</v>
      </c>
      <c r="J346">
        <v>6132.01</v>
      </c>
    </row>
    <row r="347" spans="9:10" x14ac:dyDescent="0.3">
      <c r="I347">
        <v>9</v>
      </c>
      <c r="J347">
        <v>6132.01</v>
      </c>
    </row>
    <row r="348" spans="9:10" x14ac:dyDescent="0.3">
      <c r="I348">
        <v>9</v>
      </c>
      <c r="J348">
        <v>6132.01</v>
      </c>
    </row>
    <row r="349" spans="9:10" x14ac:dyDescent="0.3">
      <c r="I349">
        <v>9</v>
      </c>
      <c r="J349">
        <v>6132.01</v>
      </c>
    </row>
    <row r="350" spans="9:10" x14ac:dyDescent="0.3">
      <c r="I350">
        <v>9</v>
      </c>
      <c r="J350">
        <v>6132.01</v>
      </c>
    </row>
    <row r="351" spans="9:10" x14ac:dyDescent="0.3">
      <c r="I351">
        <v>9</v>
      </c>
      <c r="J351">
        <v>6132.01</v>
      </c>
    </row>
    <row r="352" spans="9:10" x14ac:dyDescent="0.3">
      <c r="I352">
        <v>9</v>
      </c>
      <c r="J352">
        <v>6132.01</v>
      </c>
    </row>
    <row r="353" spans="9:10" x14ac:dyDescent="0.3">
      <c r="I353">
        <v>9</v>
      </c>
      <c r="J353">
        <v>6132.01</v>
      </c>
    </row>
    <row r="354" spans="9:10" x14ac:dyDescent="0.3">
      <c r="I354">
        <v>9</v>
      </c>
      <c r="J354">
        <v>6132.01</v>
      </c>
    </row>
    <row r="355" spans="9:10" x14ac:dyDescent="0.3">
      <c r="I355">
        <v>9</v>
      </c>
      <c r="J355">
        <v>6132.01</v>
      </c>
    </row>
    <row r="356" spans="9:10" x14ac:dyDescent="0.3">
      <c r="I356">
        <v>9</v>
      </c>
      <c r="J356">
        <v>6132.01</v>
      </c>
    </row>
    <row r="357" spans="9:10" x14ac:dyDescent="0.3">
      <c r="I357">
        <v>9</v>
      </c>
      <c r="J357">
        <v>6132.01</v>
      </c>
    </row>
    <row r="358" spans="9:10" x14ac:dyDescent="0.3">
      <c r="I358">
        <v>9</v>
      </c>
      <c r="J358">
        <v>6132.01</v>
      </c>
    </row>
    <row r="359" spans="9:10" x14ac:dyDescent="0.3">
      <c r="I359">
        <v>9</v>
      </c>
      <c r="J359">
        <v>6132.01</v>
      </c>
    </row>
    <row r="360" spans="9:10" x14ac:dyDescent="0.3">
      <c r="I360">
        <v>9</v>
      </c>
      <c r="J360">
        <v>6132.01</v>
      </c>
    </row>
    <row r="361" spans="9:10" x14ac:dyDescent="0.3">
      <c r="I361">
        <v>9</v>
      </c>
      <c r="J361">
        <v>6132.01</v>
      </c>
    </row>
    <row r="362" spans="9:10" x14ac:dyDescent="0.3">
      <c r="I362">
        <v>9</v>
      </c>
      <c r="J362">
        <v>6132.01</v>
      </c>
    </row>
    <row r="363" spans="9:10" x14ac:dyDescent="0.3">
      <c r="I363">
        <v>9</v>
      </c>
      <c r="J363">
        <v>6132.01</v>
      </c>
    </row>
    <row r="364" spans="9:10" x14ac:dyDescent="0.3">
      <c r="I364">
        <v>9</v>
      </c>
      <c r="J364">
        <v>6132.01</v>
      </c>
    </row>
    <row r="365" spans="9:10" x14ac:dyDescent="0.3">
      <c r="I365">
        <v>9</v>
      </c>
      <c r="J365">
        <v>6132.01</v>
      </c>
    </row>
    <row r="366" spans="9:10" x14ac:dyDescent="0.3">
      <c r="I366">
        <v>9</v>
      </c>
      <c r="J366">
        <v>6132.01</v>
      </c>
    </row>
    <row r="367" spans="9:10" x14ac:dyDescent="0.3">
      <c r="I367">
        <v>9</v>
      </c>
      <c r="J367">
        <v>6132.01</v>
      </c>
    </row>
    <row r="368" spans="9:10" x14ac:dyDescent="0.3">
      <c r="I368">
        <v>9</v>
      </c>
      <c r="J368">
        <v>6132.01</v>
      </c>
    </row>
    <row r="369" spans="9:10" x14ac:dyDescent="0.3">
      <c r="I369">
        <v>8</v>
      </c>
      <c r="J369">
        <v>4668.41</v>
      </c>
    </row>
    <row r="370" spans="9:10" x14ac:dyDescent="0.3">
      <c r="I370">
        <v>8</v>
      </c>
      <c r="J370">
        <v>4668.41</v>
      </c>
    </row>
    <row r="371" spans="9:10" x14ac:dyDescent="0.3">
      <c r="I371">
        <v>8</v>
      </c>
      <c r="J371">
        <v>4668.41</v>
      </c>
    </row>
    <row r="372" spans="9:10" x14ac:dyDescent="0.3">
      <c r="I372">
        <v>8</v>
      </c>
      <c r="J372">
        <v>4668.41</v>
      </c>
    </row>
    <row r="373" spans="9:10" x14ac:dyDescent="0.3">
      <c r="I373">
        <v>8</v>
      </c>
      <c r="J373">
        <v>4668.41</v>
      </c>
    </row>
    <row r="374" spans="9:10" x14ac:dyDescent="0.3">
      <c r="I374">
        <v>8</v>
      </c>
      <c r="J374">
        <v>4668.41</v>
      </c>
    </row>
    <row r="375" spans="9:10" x14ac:dyDescent="0.3">
      <c r="I375">
        <v>8</v>
      </c>
      <c r="J375">
        <v>4668.41</v>
      </c>
    </row>
    <row r="376" spans="9:10" x14ac:dyDescent="0.3">
      <c r="I376">
        <v>8</v>
      </c>
      <c r="J376">
        <v>4668.41</v>
      </c>
    </row>
    <row r="377" spans="9:10" x14ac:dyDescent="0.3">
      <c r="I377">
        <v>8</v>
      </c>
      <c r="J377">
        <v>4668.41</v>
      </c>
    </row>
    <row r="378" spans="9:10" x14ac:dyDescent="0.3">
      <c r="I378">
        <v>8</v>
      </c>
      <c r="J378">
        <v>4668.41</v>
      </c>
    </row>
    <row r="379" spans="9:10" x14ac:dyDescent="0.3">
      <c r="I379">
        <v>8</v>
      </c>
      <c r="J379">
        <v>4668.41</v>
      </c>
    </row>
    <row r="380" spans="9:10" x14ac:dyDescent="0.3">
      <c r="I380">
        <v>8</v>
      </c>
      <c r="J380">
        <v>4668.41</v>
      </c>
    </row>
    <row r="381" spans="9:10" x14ac:dyDescent="0.3">
      <c r="I381">
        <v>8</v>
      </c>
      <c r="J381">
        <v>4668.41</v>
      </c>
    </row>
    <row r="382" spans="9:10" x14ac:dyDescent="0.3">
      <c r="I382">
        <v>8</v>
      </c>
      <c r="J382">
        <v>4668.41</v>
      </c>
    </row>
    <row r="383" spans="9:10" x14ac:dyDescent="0.3">
      <c r="I383">
        <v>8</v>
      </c>
      <c r="J383">
        <v>4668.41</v>
      </c>
    </row>
    <row r="384" spans="9:10" x14ac:dyDescent="0.3">
      <c r="I384">
        <v>8</v>
      </c>
      <c r="J384">
        <v>4668.41</v>
      </c>
    </row>
    <row r="385" spans="9:10" x14ac:dyDescent="0.3">
      <c r="I385">
        <v>8</v>
      </c>
      <c r="J385">
        <v>4668.41</v>
      </c>
    </row>
    <row r="386" spans="9:10" x14ac:dyDescent="0.3">
      <c r="I386">
        <v>8</v>
      </c>
      <c r="J386">
        <v>4668.41</v>
      </c>
    </row>
    <row r="387" spans="9:10" x14ac:dyDescent="0.3">
      <c r="I387">
        <v>8</v>
      </c>
      <c r="J387">
        <v>4668.41</v>
      </c>
    </row>
    <row r="388" spans="9:10" x14ac:dyDescent="0.3">
      <c r="I388">
        <v>8</v>
      </c>
      <c r="J388">
        <v>4668.41</v>
      </c>
    </row>
    <row r="389" spans="9:10" x14ac:dyDescent="0.3">
      <c r="I389">
        <v>8</v>
      </c>
      <c r="J389">
        <v>4668.41</v>
      </c>
    </row>
    <row r="390" spans="9:10" x14ac:dyDescent="0.3">
      <c r="I390">
        <v>8</v>
      </c>
      <c r="J390">
        <v>4668.41</v>
      </c>
    </row>
    <row r="391" spans="9:10" x14ac:dyDescent="0.3">
      <c r="I391">
        <v>8</v>
      </c>
      <c r="J391">
        <v>4668.41</v>
      </c>
    </row>
    <row r="392" spans="9:10" x14ac:dyDescent="0.3">
      <c r="I392">
        <v>8</v>
      </c>
      <c r="J392">
        <v>4668.41</v>
      </c>
    </row>
    <row r="393" spans="9:10" x14ac:dyDescent="0.3">
      <c r="I393">
        <v>8</v>
      </c>
      <c r="J393">
        <v>4668.41</v>
      </c>
    </row>
    <row r="394" spans="9:10" x14ac:dyDescent="0.3">
      <c r="I394">
        <v>8</v>
      </c>
      <c r="J394">
        <v>4668.41</v>
      </c>
    </row>
    <row r="395" spans="9:10" x14ac:dyDescent="0.3">
      <c r="I395">
        <v>8</v>
      </c>
      <c r="J395">
        <v>4668.41</v>
      </c>
    </row>
    <row r="396" spans="9:10" x14ac:dyDescent="0.3">
      <c r="I396">
        <v>8</v>
      </c>
      <c r="J396">
        <v>4668.41</v>
      </c>
    </row>
    <row r="397" spans="9:10" x14ac:dyDescent="0.3">
      <c r="I397">
        <v>8</v>
      </c>
      <c r="J397">
        <v>4668.41</v>
      </c>
    </row>
    <row r="398" spans="9:10" x14ac:dyDescent="0.3">
      <c r="I398">
        <v>8</v>
      </c>
      <c r="J398">
        <v>4668.41</v>
      </c>
    </row>
    <row r="399" spans="9:10" x14ac:dyDescent="0.3">
      <c r="I399">
        <v>8</v>
      </c>
      <c r="J399">
        <v>4668.41</v>
      </c>
    </row>
    <row r="400" spans="9:10" x14ac:dyDescent="0.3">
      <c r="I400">
        <v>8</v>
      </c>
      <c r="J400">
        <v>4668.41</v>
      </c>
    </row>
    <row r="401" spans="9:10" x14ac:dyDescent="0.3">
      <c r="I401">
        <v>8</v>
      </c>
      <c r="J401">
        <v>4668.41</v>
      </c>
    </row>
    <row r="402" spans="9:10" x14ac:dyDescent="0.3">
      <c r="I402">
        <v>8</v>
      </c>
      <c r="J402">
        <v>4668.41</v>
      </c>
    </row>
    <row r="403" spans="9:10" x14ac:dyDescent="0.3">
      <c r="I403">
        <v>8</v>
      </c>
      <c r="J403">
        <v>4668.41</v>
      </c>
    </row>
    <row r="404" spans="9:10" x14ac:dyDescent="0.3">
      <c r="I404">
        <v>8</v>
      </c>
      <c r="J404">
        <v>4668.41</v>
      </c>
    </row>
    <row r="405" spans="9:10" x14ac:dyDescent="0.3">
      <c r="I405">
        <v>8</v>
      </c>
      <c r="J405">
        <v>4668.41</v>
      </c>
    </row>
    <row r="406" spans="9:10" x14ac:dyDescent="0.3">
      <c r="I406">
        <v>8</v>
      </c>
      <c r="J406">
        <v>4668.41</v>
      </c>
    </row>
    <row r="407" spans="9:10" x14ac:dyDescent="0.3">
      <c r="I407">
        <v>8</v>
      </c>
      <c r="J407">
        <v>4668.41</v>
      </c>
    </row>
    <row r="408" spans="9:10" x14ac:dyDescent="0.3">
      <c r="I408">
        <v>8</v>
      </c>
      <c r="J408">
        <v>4668.41</v>
      </c>
    </row>
    <row r="409" spans="9:10" x14ac:dyDescent="0.3">
      <c r="I409">
        <v>8</v>
      </c>
      <c r="J409">
        <v>4668.41</v>
      </c>
    </row>
    <row r="410" spans="9:10" x14ac:dyDescent="0.3">
      <c r="I410">
        <v>8</v>
      </c>
      <c r="J410">
        <v>4668.41</v>
      </c>
    </row>
    <row r="411" spans="9:10" x14ac:dyDescent="0.3">
      <c r="I411">
        <v>8</v>
      </c>
      <c r="J411">
        <v>4668.41</v>
      </c>
    </row>
    <row r="412" spans="9:10" x14ac:dyDescent="0.3">
      <c r="I412">
        <v>8</v>
      </c>
      <c r="J412">
        <v>4668.41</v>
      </c>
    </row>
    <row r="413" spans="9:10" x14ac:dyDescent="0.3">
      <c r="I413">
        <v>8</v>
      </c>
      <c r="J413">
        <v>4668.41</v>
      </c>
    </row>
    <row r="414" spans="9:10" x14ac:dyDescent="0.3">
      <c r="I414">
        <v>8</v>
      </c>
      <c r="J414">
        <v>4668.41</v>
      </c>
    </row>
    <row r="415" spans="9:10" x14ac:dyDescent="0.3">
      <c r="I415">
        <v>8</v>
      </c>
      <c r="J415">
        <v>4668.41</v>
      </c>
    </row>
    <row r="416" spans="9:10" x14ac:dyDescent="0.3">
      <c r="I416">
        <v>8</v>
      </c>
      <c r="J416">
        <v>4668.41</v>
      </c>
    </row>
    <row r="417" spans="9:10" x14ac:dyDescent="0.3">
      <c r="I417">
        <v>8</v>
      </c>
      <c r="J417">
        <v>4668.41</v>
      </c>
    </row>
    <row r="418" spans="9:10" x14ac:dyDescent="0.3">
      <c r="I418">
        <v>8</v>
      </c>
      <c r="J418">
        <v>4668.41</v>
      </c>
    </row>
    <row r="419" spans="9:10" x14ac:dyDescent="0.3">
      <c r="I419">
        <v>8</v>
      </c>
      <c r="J419">
        <v>4668.41</v>
      </c>
    </row>
    <row r="420" spans="9:10" x14ac:dyDescent="0.3">
      <c r="I420">
        <v>8</v>
      </c>
      <c r="J420">
        <v>4668.41</v>
      </c>
    </row>
    <row r="421" spans="9:10" x14ac:dyDescent="0.3">
      <c r="I421">
        <v>8</v>
      </c>
      <c r="J421">
        <v>4668.41</v>
      </c>
    </row>
    <row r="422" spans="9:10" x14ac:dyDescent="0.3">
      <c r="I422">
        <v>8</v>
      </c>
      <c r="J422">
        <v>4668.41</v>
      </c>
    </row>
    <row r="423" spans="9:10" x14ac:dyDescent="0.3">
      <c r="I423">
        <v>8</v>
      </c>
      <c r="J423">
        <v>4668.41</v>
      </c>
    </row>
    <row r="424" spans="9:10" x14ac:dyDescent="0.3">
      <c r="I424">
        <v>8</v>
      </c>
      <c r="J424">
        <v>4668.41</v>
      </c>
    </row>
    <row r="425" spans="9:10" x14ac:dyDescent="0.3">
      <c r="I425">
        <v>8</v>
      </c>
      <c r="J425">
        <v>4668.41</v>
      </c>
    </row>
    <row r="426" spans="9:10" x14ac:dyDescent="0.3">
      <c r="I426">
        <v>8</v>
      </c>
      <c r="J426">
        <v>4668.41</v>
      </c>
    </row>
    <row r="427" spans="9:10" x14ac:dyDescent="0.3">
      <c r="I427">
        <v>8</v>
      </c>
      <c r="J427">
        <v>4668.41</v>
      </c>
    </row>
    <row r="428" spans="9:10" x14ac:dyDescent="0.3">
      <c r="I428">
        <v>8</v>
      </c>
      <c r="J428">
        <v>4668.41</v>
      </c>
    </row>
    <row r="429" spans="9:10" x14ac:dyDescent="0.3">
      <c r="I429">
        <v>8</v>
      </c>
      <c r="J429">
        <v>4668.41</v>
      </c>
    </row>
    <row r="430" spans="9:10" x14ac:dyDescent="0.3">
      <c r="I430">
        <v>8</v>
      </c>
      <c r="J430">
        <v>4668.41</v>
      </c>
    </row>
    <row r="431" spans="9:10" x14ac:dyDescent="0.3">
      <c r="I431">
        <v>8</v>
      </c>
      <c r="J431">
        <v>4668.41</v>
      </c>
    </row>
    <row r="432" spans="9:10" x14ac:dyDescent="0.3">
      <c r="I432">
        <v>8</v>
      </c>
      <c r="J432">
        <v>4668.41</v>
      </c>
    </row>
    <row r="433" spans="9:10" x14ac:dyDescent="0.3">
      <c r="I433">
        <v>8</v>
      </c>
      <c r="J433">
        <v>4668.41</v>
      </c>
    </row>
    <row r="434" spans="9:10" x14ac:dyDescent="0.3">
      <c r="I434">
        <v>8</v>
      </c>
      <c r="J434">
        <v>4668.41</v>
      </c>
    </row>
    <row r="435" spans="9:10" x14ac:dyDescent="0.3">
      <c r="I435">
        <v>8</v>
      </c>
      <c r="J435">
        <v>4668.41</v>
      </c>
    </row>
    <row r="436" spans="9:10" x14ac:dyDescent="0.3">
      <c r="I436">
        <v>8</v>
      </c>
      <c r="J436">
        <v>4668.41</v>
      </c>
    </row>
    <row r="437" spans="9:10" x14ac:dyDescent="0.3">
      <c r="I437">
        <v>8</v>
      </c>
      <c r="J437">
        <v>4668.41</v>
      </c>
    </row>
    <row r="438" spans="9:10" x14ac:dyDescent="0.3">
      <c r="I438">
        <v>8</v>
      </c>
      <c r="J438">
        <v>4668.41</v>
      </c>
    </row>
    <row r="439" spans="9:10" x14ac:dyDescent="0.3">
      <c r="I439">
        <v>8</v>
      </c>
      <c r="J439">
        <v>4668.41</v>
      </c>
    </row>
    <row r="440" spans="9:10" x14ac:dyDescent="0.3">
      <c r="I440">
        <v>8</v>
      </c>
      <c r="J440">
        <v>4668.41</v>
      </c>
    </row>
    <row r="441" spans="9:10" x14ac:dyDescent="0.3">
      <c r="I441">
        <v>8</v>
      </c>
      <c r="J441">
        <v>4668.41</v>
      </c>
    </row>
    <row r="442" spans="9:10" x14ac:dyDescent="0.3">
      <c r="I442">
        <v>8</v>
      </c>
      <c r="J442">
        <v>4668.41</v>
      </c>
    </row>
    <row r="443" spans="9:10" x14ac:dyDescent="0.3">
      <c r="I443">
        <v>8</v>
      </c>
      <c r="J443">
        <v>4668.41</v>
      </c>
    </row>
    <row r="444" spans="9:10" x14ac:dyDescent="0.3">
      <c r="I444">
        <v>8</v>
      </c>
      <c r="J444">
        <v>4668.41</v>
      </c>
    </row>
    <row r="445" spans="9:10" x14ac:dyDescent="0.3">
      <c r="I445">
        <v>8</v>
      </c>
      <c r="J445">
        <v>4668.41</v>
      </c>
    </row>
    <row r="446" spans="9:10" x14ac:dyDescent="0.3">
      <c r="I446">
        <v>8</v>
      </c>
      <c r="J446">
        <v>4668.41</v>
      </c>
    </row>
    <row r="447" spans="9:10" x14ac:dyDescent="0.3">
      <c r="I447">
        <v>8</v>
      </c>
      <c r="J447">
        <v>4668.41</v>
      </c>
    </row>
    <row r="448" spans="9:10" x14ac:dyDescent="0.3">
      <c r="I448">
        <v>8</v>
      </c>
      <c r="J448">
        <v>4668.41</v>
      </c>
    </row>
    <row r="449" spans="9:10" x14ac:dyDescent="0.3">
      <c r="I449">
        <v>8</v>
      </c>
      <c r="J449">
        <v>4668.41</v>
      </c>
    </row>
    <row r="450" spans="9:10" x14ac:dyDescent="0.3">
      <c r="I450">
        <v>8</v>
      </c>
      <c r="J450">
        <v>4668.41</v>
      </c>
    </row>
    <row r="451" spans="9:10" x14ac:dyDescent="0.3">
      <c r="I451">
        <v>8</v>
      </c>
      <c r="J451">
        <v>4668.41</v>
      </c>
    </row>
    <row r="452" spans="9:10" x14ac:dyDescent="0.3">
      <c r="I452">
        <v>8</v>
      </c>
      <c r="J452">
        <v>4668.41</v>
      </c>
    </row>
    <row r="453" spans="9:10" x14ac:dyDescent="0.3">
      <c r="I453">
        <v>8</v>
      </c>
      <c r="J453">
        <v>4668.41</v>
      </c>
    </row>
    <row r="454" spans="9:10" x14ac:dyDescent="0.3">
      <c r="I454">
        <v>8</v>
      </c>
      <c r="J454">
        <v>4668.41</v>
      </c>
    </row>
    <row r="455" spans="9:10" x14ac:dyDescent="0.3">
      <c r="I455">
        <v>8</v>
      </c>
      <c r="J455">
        <v>4668.41</v>
      </c>
    </row>
    <row r="456" spans="9:10" x14ac:dyDescent="0.3">
      <c r="I456">
        <v>8</v>
      </c>
      <c r="J456">
        <v>4668.41</v>
      </c>
    </row>
    <row r="457" spans="9:10" x14ac:dyDescent="0.3">
      <c r="I457">
        <v>8</v>
      </c>
      <c r="J457">
        <v>4668.41</v>
      </c>
    </row>
    <row r="458" spans="9:10" x14ac:dyDescent="0.3">
      <c r="I458">
        <v>8</v>
      </c>
      <c r="J458">
        <v>4668.41</v>
      </c>
    </row>
    <row r="459" spans="9:10" x14ac:dyDescent="0.3">
      <c r="I459">
        <v>8</v>
      </c>
      <c r="J459">
        <v>4668.41</v>
      </c>
    </row>
    <row r="460" spans="9:10" x14ac:dyDescent="0.3">
      <c r="I460">
        <v>8</v>
      </c>
      <c r="J460">
        <v>4668.41</v>
      </c>
    </row>
    <row r="461" spans="9:10" x14ac:dyDescent="0.3">
      <c r="I461">
        <v>8</v>
      </c>
      <c r="J461">
        <v>4668.41</v>
      </c>
    </row>
    <row r="462" spans="9:10" x14ac:dyDescent="0.3">
      <c r="I462">
        <v>8</v>
      </c>
      <c r="J462">
        <v>4668.41</v>
      </c>
    </row>
    <row r="463" spans="9:10" x14ac:dyDescent="0.3">
      <c r="I463">
        <v>8</v>
      </c>
      <c r="J463">
        <v>4668.41</v>
      </c>
    </row>
    <row r="464" spans="9:10" x14ac:dyDescent="0.3">
      <c r="I464">
        <v>8</v>
      </c>
      <c r="J464">
        <v>4668.41</v>
      </c>
    </row>
    <row r="465" spans="9:10" x14ac:dyDescent="0.3">
      <c r="I465">
        <v>8</v>
      </c>
      <c r="J465">
        <v>4668.41</v>
      </c>
    </row>
    <row r="466" spans="9:10" x14ac:dyDescent="0.3">
      <c r="I466">
        <v>8</v>
      </c>
      <c r="J466">
        <v>4668.41</v>
      </c>
    </row>
    <row r="467" spans="9:10" x14ac:dyDescent="0.3">
      <c r="I467">
        <v>8</v>
      </c>
      <c r="J467">
        <v>4668.41</v>
      </c>
    </row>
    <row r="468" spans="9:10" x14ac:dyDescent="0.3">
      <c r="I468">
        <v>8</v>
      </c>
      <c r="J468">
        <v>4668.41</v>
      </c>
    </row>
    <row r="469" spans="9:10" x14ac:dyDescent="0.3">
      <c r="I469">
        <v>8</v>
      </c>
      <c r="J469">
        <v>4668.41</v>
      </c>
    </row>
    <row r="470" spans="9:10" x14ac:dyDescent="0.3">
      <c r="I470">
        <v>8</v>
      </c>
      <c r="J470">
        <v>4668.41</v>
      </c>
    </row>
    <row r="471" spans="9:10" x14ac:dyDescent="0.3">
      <c r="I471">
        <v>8</v>
      </c>
      <c r="J471">
        <v>4668.41</v>
      </c>
    </row>
    <row r="472" spans="9:10" x14ac:dyDescent="0.3">
      <c r="I472">
        <v>8</v>
      </c>
      <c r="J472">
        <v>4668.41</v>
      </c>
    </row>
    <row r="473" spans="9:10" x14ac:dyDescent="0.3">
      <c r="I473">
        <v>8</v>
      </c>
      <c r="J473">
        <v>4668.41</v>
      </c>
    </row>
    <row r="474" spans="9:10" x14ac:dyDescent="0.3">
      <c r="I474">
        <v>8</v>
      </c>
      <c r="J474">
        <v>4668.41</v>
      </c>
    </row>
    <row r="475" spans="9:10" x14ac:dyDescent="0.3">
      <c r="I475">
        <v>8</v>
      </c>
      <c r="J475">
        <v>4668.41</v>
      </c>
    </row>
    <row r="476" spans="9:10" x14ac:dyDescent="0.3">
      <c r="I476">
        <v>8</v>
      </c>
      <c r="J476">
        <v>4668.41</v>
      </c>
    </row>
    <row r="477" spans="9:10" x14ac:dyDescent="0.3">
      <c r="I477">
        <v>8</v>
      </c>
      <c r="J477">
        <v>4668.41</v>
      </c>
    </row>
    <row r="478" spans="9:10" x14ac:dyDescent="0.3">
      <c r="I478">
        <v>8</v>
      </c>
      <c r="J478">
        <v>4668.41</v>
      </c>
    </row>
    <row r="479" spans="9:10" x14ac:dyDescent="0.3">
      <c r="I479">
        <v>8</v>
      </c>
      <c r="J479">
        <v>4668.41</v>
      </c>
    </row>
    <row r="480" spans="9:10" x14ac:dyDescent="0.3">
      <c r="I480">
        <v>8</v>
      </c>
      <c r="J480">
        <v>4668.41</v>
      </c>
    </row>
    <row r="481" spans="9:10" x14ac:dyDescent="0.3">
      <c r="I481">
        <v>8</v>
      </c>
      <c r="J481">
        <v>4668.41</v>
      </c>
    </row>
    <row r="482" spans="9:10" x14ac:dyDescent="0.3">
      <c r="I482">
        <v>8</v>
      </c>
      <c r="J482">
        <v>4668.41</v>
      </c>
    </row>
    <row r="483" spans="9:10" x14ac:dyDescent="0.3">
      <c r="I483">
        <v>8</v>
      </c>
      <c r="J483">
        <v>4668.41</v>
      </c>
    </row>
    <row r="484" spans="9:10" x14ac:dyDescent="0.3">
      <c r="I484">
        <v>7</v>
      </c>
      <c r="J484">
        <v>4531.71</v>
      </c>
    </row>
    <row r="485" spans="9:10" x14ac:dyDescent="0.3">
      <c r="I485">
        <v>7</v>
      </c>
      <c r="J485">
        <v>4531.71</v>
      </c>
    </row>
    <row r="486" spans="9:10" x14ac:dyDescent="0.3">
      <c r="I486">
        <v>7</v>
      </c>
      <c r="J486">
        <v>4531.71</v>
      </c>
    </row>
    <row r="487" spans="9:10" x14ac:dyDescent="0.3">
      <c r="I487">
        <v>7</v>
      </c>
      <c r="J487">
        <v>4531.71</v>
      </c>
    </row>
    <row r="488" spans="9:10" x14ac:dyDescent="0.3">
      <c r="I488">
        <v>7</v>
      </c>
      <c r="J488">
        <v>4531.71</v>
      </c>
    </row>
    <row r="489" spans="9:10" x14ac:dyDescent="0.3">
      <c r="I489">
        <v>7</v>
      </c>
      <c r="J489">
        <v>4531.71</v>
      </c>
    </row>
    <row r="490" spans="9:10" x14ac:dyDescent="0.3">
      <c r="I490">
        <v>7</v>
      </c>
      <c r="J490">
        <v>4531.71</v>
      </c>
    </row>
    <row r="491" spans="9:10" x14ac:dyDescent="0.3">
      <c r="I491">
        <v>7</v>
      </c>
      <c r="J491">
        <v>4531.71</v>
      </c>
    </row>
    <row r="492" spans="9:10" x14ac:dyDescent="0.3">
      <c r="I492">
        <v>7</v>
      </c>
      <c r="J492">
        <v>4531.71</v>
      </c>
    </row>
    <row r="493" spans="9:10" x14ac:dyDescent="0.3">
      <c r="I493">
        <v>7</v>
      </c>
      <c r="J493">
        <v>4531.71</v>
      </c>
    </row>
    <row r="494" spans="9:10" x14ac:dyDescent="0.3">
      <c r="I494">
        <v>7</v>
      </c>
      <c r="J494">
        <v>4531.71</v>
      </c>
    </row>
    <row r="495" spans="9:10" x14ac:dyDescent="0.3">
      <c r="I495">
        <v>7</v>
      </c>
      <c r="J495">
        <v>4531.71</v>
      </c>
    </row>
    <row r="496" spans="9:10" x14ac:dyDescent="0.3">
      <c r="I496">
        <v>7</v>
      </c>
      <c r="J496">
        <v>4531.71</v>
      </c>
    </row>
    <row r="497" spans="9:10" x14ac:dyDescent="0.3">
      <c r="I497">
        <v>7</v>
      </c>
      <c r="J497">
        <v>4531.71</v>
      </c>
    </row>
    <row r="498" spans="9:10" x14ac:dyDescent="0.3">
      <c r="I498">
        <v>7</v>
      </c>
      <c r="J498">
        <v>4531.71</v>
      </c>
    </row>
    <row r="499" spans="9:10" x14ac:dyDescent="0.3">
      <c r="I499">
        <v>7</v>
      </c>
      <c r="J499">
        <v>4531.71</v>
      </c>
    </row>
    <row r="500" spans="9:10" x14ac:dyDescent="0.3">
      <c r="I500">
        <v>7</v>
      </c>
      <c r="J500">
        <v>4531.71</v>
      </c>
    </row>
    <row r="501" spans="9:10" x14ac:dyDescent="0.3">
      <c r="I501">
        <v>7</v>
      </c>
      <c r="J501">
        <v>4531.71</v>
      </c>
    </row>
    <row r="502" spans="9:10" x14ac:dyDescent="0.3">
      <c r="I502">
        <v>7</v>
      </c>
      <c r="J502">
        <v>4531.71</v>
      </c>
    </row>
    <row r="503" spans="9:10" x14ac:dyDescent="0.3">
      <c r="I503">
        <v>7</v>
      </c>
      <c r="J503">
        <v>4531.71</v>
      </c>
    </row>
    <row r="504" spans="9:10" x14ac:dyDescent="0.3">
      <c r="I504">
        <v>7</v>
      </c>
      <c r="J504">
        <v>4531.71</v>
      </c>
    </row>
    <row r="505" spans="9:10" x14ac:dyDescent="0.3">
      <c r="I505">
        <v>7</v>
      </c>
      <c r="J505">
        <v>4531.71</v>
      </c>
    </row>
    <row r="506" spans="9:10" x14ac:dyDescent="0.3">
      <c r="I506">
        <v>7</v>
      </c>
      <c r="J506">
        <v>4531.71</v>
      </c>
    </row>
    <row r="507" spans="9:10" x14ac:dyDescent="0.3">
      <c r="I507">
        <v>7</v>
      </c>
      <c r="J507">
        <v>4531.71</v>
      </c>
    </row>
    <row r="508" spans="9:10" x14ac:dyDescent="0.3">
      <c r="I508">
        <v>7</v>
      </c>
      <c r="J508">
        <v>4531.71</v>
      </c>
    </row>
    <row r="509" spans="9:10" x14ac:dyDescent="0.3">
      <c r="I509">
        <v>7</v>
      </c>
      <c r="J509">
        <v>4531.71</v>
      </c>
    </row>
    <row r="510" spans="9:10" x14ac:dyDescent="0.3">
      <c r="I510">
        <v>7</v>
      </c>
      <c r="J510">
        <v>4531.71</v>
      </c>
    </row>
    <row r="511" spans="9:10" x14ac:dyDescent="0.3">
      <c r="I511">
        <v>7</v>
      </c>
      <c r="J511">
        <v>4531.71</v>
      </c>
    </row>
    <row r="512" spans="9:10" x14ac:dyDescent="0.3">
      <c r="I512">
        <v>7</v>
      </c>
      <c r="J512">
        <v>4531.71</v>
      </c>
    </row>
    <row r="513" spans="9:10" x14ac:dyDescent="0.3">
      <c r="I513">
        <v>7</v>
      </c>
      <c r="J513">
        <v>4531.71</v>
      </c>
    </row>
    <row r="514" spans="9:10" x14ac:dyDescent="0.3">
      <c r="I514">
        <v>7</v>
      </c>
      <c r="J514">
        <v>4531.71</v>
      </c>
    </row>
    <row r="515" spans="9:10" x14ac:dyDescent="0.3">
      <c r="I515">
        <v>7</v>
      </c>
      <c r="J515">
        <v>4531.71</v>
      </c>
    </row>
    <row r="516" spans="9:10" x14ac:dyDescent="0.3">
      <c r="I516">
        <v>7</v>
      </c>
      <c r="J516">
        <v>4531.71</v>
      </c>
    </row>
    <row r="517" spans="9:10" x14ac:dyDescent="0.3">
      <c r="I517">
        <v>7</v>
      </c>
      <c r="J517">
        <v>4531.71</v>
      </c>
    </row>
    <row r="518" spans="9:10" x14ac:dyDescent="0.3">
      <c r="I518">
        <v>7</v>
      </c>
      <c r="J518">
        <v>4531.71</v>
      </c>
    </row>
    <row r="519" spans="9:10" x14ac:dyDescent="0.3">
      <c r="I519">
        <v>7</v>
      </c>
      <c r="J519">
        <v>4531.71</v>
      </c>
    </row>
    <row r="520" spans="9:10" x14ac:dyDescent="0.3">
      <c r="I520">
        <v>7</v>
      </c>
      <c r="J520">
        <v>4531.71</v>
      </c>
    </row>
    <row r="521" spans="9:10" x14ac:dyDescent="0.3">
      <c r="I521">
        <v>7</v>
      </c>
      <c r="J521">
        <v>4531.71</v>
      </c>
    </row>
    <row r="522" spans="9:10" x14ac:dyDescent="0.3">
      <c r="I522">
        <v>7</v>
      </c>
      <c r="J522">
        <v>4531.71</v>
      </c>
    </row>
    <row r="523" spans="9:10" x14ac:dyDescent="0.3">
      <c r="I523">
        <v>7</v>
      </c>
      <c r="J523">
        <v>4531.71</v>
      </c>
    </row>
    <row r="524" spans="9:10" x14ac:dyDescent="0.3">
      <c r="I524">
        <v>7</v>
      </c>
      <c r="J524">
        <v>4531.71</v>
      </c>
    </row>
    <row r="525" spans="9:10" x14ac:dyDescent="0.3">
      <c r="I525">
        <v>7</v>
      </c>
      <c r="J525">
        <v>4531.71</v>
      </c>
    </row>
    <row r="526" spans="9:10" x14ac:dyDescent="0.3">
      <c r="I526">
        <v>7</v>
      </c>
      <c r="J526">
        <v>4531.71</v>
      </c>
    </row>
    <row r="527" spans="9:10" x14ac:dyDescent="0.3">
      <c r="I527">
        <v>7</v>
      </c>
      <c r="J527">
        <v>4531.71</v>
      </c>
    </row>
    <row r="528" spans="9:10" x14ac:dyDescent="0.3">
      <c r="I528">
        <v>7</v>
      </c>
      <c r="J528">
        <v>4531.71</v>
      </c>
    </row>
    <row r="529" spans="9:10" x14ac:dyDescent="0.3">
      <c r="I529">
        <v>7</v>
      </c>
      <c r="J529">
        <v>4531.71</v>
      </c>
    </row>
    <row r="530" spans="9:10" x14ac:dyDescent="0.3">
      <c r="I530">
        <v>7</v>
      </c>
      <c r="J530">
        <v>4531.71</v>
      </c>
    </row>
    <row r="531" spans="9:10" x14ac:dyDescent="0.3">
      <c r="I531">
        <v>7</v>
      </c>
      <c r="J531">
        <v>4531.71</v>
      </c>
    </row>
    <row r="532" spans="9:10" x14ac:dyDescent="0.3">
      <c r="I532">
        <v>7</v>
      </c>
      <c r="J532">
        <v>4531.71</v>
      </c>
    </row>
    <row r="533" spans="9:10" x14ac:dyDescent="0.3">
      <c r="I533">
        <v>7</v>
      </c>
      <c r="J533">
        <v>4531.71</v>
      </c>
    </row>
    <row r="534" spans="9:10" x14ac:dyDescent="0.3">
      <c r="I534">
        <v>7</v>
      </c>
      <c r="J534">
        <v>4531.71</v>
      </c>
    </row>
    <row r="535" spans="9:10" x14ac:dyDescent="0.3">
      <c r="I535">
        <v>7</v>
      </c>
      <c r="J535">
        <v>4531.71</v>
      </c>
    </row>
    <row r="536" spans="9:10" x14ac:dyDescent="0.3">
      <c r="I536">
        <v>7</v>
      </c>
      <c r="J536">
        <v>4531.71</v>
      </c>
    </row>
    <row r="537" spans="9:10" x14ac:dyDescent="0.3">
      <c r="I537">
        <v>7</v>
      </c>
      <c r="J537">
        <v>4531.71</v>
      </c>
    </row>
    <row r="538" spans="9:10" x14ac:dyDescent="0.3">
      <c r="I538">
        <v>7</v>
      </c>
      <c r="J538">
        <v>4531.71</v>
      </c>
    </row>
    <row r="539" spans="9:10" x14ac:dyDescent="0.3">
      <c r="I539">
        <v>7</v>
      </c>
      <c r="J539">
        <v>4531.71</v>
      </c>
    </row>
    <row r="540" spans="9:10" x14ac:dyDescent="0.3">
      <c r="I540">
        <v>7</v>
      </c>
      <c r="J540">
        <v>4531.71</v>
      </c>
    </row>
    <row r="541" spans="9:10" x14ac:dyDescent="0.3">
      <c r="I541">
        <v>7</v>
      </c>
      <c r="J541">
        <v>4531.71</v>
      </c>
    </row>
    <row r="542" spans="9:10" x14ac:dyDescent="0.3">
      <c r="I542">
        <v>7</v>
      </c>
      <c r="J542">
        <v>4531.71</v>
      </c>
    </row>
    <row r="543" spans="9:10" x14ac:dyDescent="0.3">
      <c r="I543">
        <v>7</v>
      </c>
      <c r="J543">
        <v>4531.71</v>
      </c>
    </row>
    <row r="544" spans="9:10" x14ac:dyDescent="0.3">
      <c r="I544">
        <v>7</v>
      </c>
      <c r="J544">
        <v>4531.71</v>
      </c>
    </row>
    <row r="545" spans="9:10" x14ac:dyDescent="0.3">
      <c r="I545">
        <v>7</v>
      </c>
      <c r="J545">
        <v>4531.71</v>
      </c>
    </row>
    <row r="546" spans="9:10" x14ac:dyDescent="0.3">
      <c r="I546">
        <v>7</v>
      </c>
      <c r="J546">
        <v>4531.71</v>
      </c>
    </row>
    <row r="547" spans="9:10" x14ac:dyDescent="0.3">
      <c r="I547">
        <v>7</v>
      </c>
      <c r="J547">
        <v>4531.71</v>
      </c>
    </row>
    <row r="548" spans="9:10" x14ac:dyDescent="0.3">
      <c r="I548">
        <v>7</v>
      </c>
      <c r="J548">
        <v>4531.71</v>
      </c>
    </row>
    <row r="549" spans="9:10" x14ac:dyDescent="0.3">
      <c r="I549">
        <v>7</v>
      </c>
      <c r="J549">
        <v>4531.71</v>
      </c>
    </row>
    <row r="550" spans="9:10" x14ac:dyDescent="0.3">
      <c r="I550">
        <v>7</v>
      </c>
      <c r="J550">
        <v>4531.71</v>
      </c>
    </row>
    <row r="551" spans="9:10" x14ac:dyDescent="0.3">
      <c r="I551">
        <v>7</v>
      </c>
      <c r="J551">
        <v>4531.71</v>
      </c>
    </row>
    <row r="552" spans="9:10" x14ac:dyDescent="0.3">
      <c r="I552">
        <v>7</v>
      </c>
      <c r="J552">
        <v>4531.71</v>
      </c>
    </row>
    <row r="553" spans="9:10" x14ac:dyDescent="0.3">
      <c r="I553">
        <v>7</v>
      </c>
      <c r="J553">
        <v>4531.71</v>
      </c>
    </row>
    <row r="554" spans="9:10" x14ac:dyDescent="0.3">
      <c r="I554">
        <v>7</v>
      </c>
      <c r="J554">
        <v>4531.71</v>
      </c>
    </row>
    <row r="555" spans="9:10" x14ac:dyDescent="0.3">
      <c r="I555">
        <v>7</v>
      </c>
      <c r="J555">
        <v>4531.71</v>
      </c>
    </row>
    <row r="556" spans="9:10" x14ac:dyDescent="0.3">
      <c r="I556">
        <v>7</v>
      </c>
      <c r="J556">
        <v>4531.71</v>
      </c>
    </row>
    <row r="557" spans="9:10" x14ac:dyDescent="0.3">
      <c r="I557">
        <v>7</v>
      </c>
      <c r="J557">
        <v>4531.71</v>
      </c>
    </row>
    <row r="558" spans="9:10" x14ac:dyDescent="0.3">
      <c r="I558">
        <v>7</v>
      </c>
      <c r="J558">
        <v>4531.71</v>
      </c>
    </row>
    <row r="559" spans="9:10" x14ac:dyDescent="0.3">
      <c r="I559">
        <v>7</v>
      </c>
      <c r="J559">
        <v>4531.71</v>
      </c>
    </row>
    <row r="560" spans="9:10" x14ac:dyDescent="0.3">
      <c r="I560">
        <v>7</v>
      </c>
      <c r="J560">
        <v>4531.71</v>
      </c>
    </row>
    <row r="561" spans="9:10" x14ac:dyDescent="0.3">
      <c r="I561">
        <v>7</v>
      </c>
      <c r="J561">
        <v>4531.71</v>
      </c>
    </row>
    <row r="562" spans="9:10" x14ac:dyDescent="0.3">
      <c r="I562">
        <v>7</v>
      </c>
      <c r="J562">
        <v>4531.71</v>
      </c>
    </row>
    <row r="563" spans="9:10" x14ac:dyDescent="0.3">
      <c r="I563">
        <v>7</v>
      </c>
      <c r="J563">
        <v>4531.71</v>
      </c>
    </row>
    <row r="564" spans="9:10" x14ac:dyDescent="0.3">
      <c r="I564">
        <v>7</v>
      </c>
      <c r="J564">
        <v>4531.71</v>
      </c>
    </row>
    <row r="565" spans="9:10" x14ac:dyDescent="0.3">
      <c r="I565">
        <v>7</v>
      </c>
      <c r="J565">
        <v>4531.71</v>
      </c>
    </row>
    <row r="566" spans="9:10" x14ac:dyDescent="0.3">
      <c r="I566">
        <v>7</v>
      </c>
      <c r="J566">
        <v>4531.71</v>
      </c>
    </row>
    <row r="567" spans="9:10" x14ac:dyDescent="0.3">
      <c r="I567">
        <v>7</v>
      </c>
      <c r="J567">
        <v>4531.71</v>
      </c>
    </row>
    <row r="568" spans="9:10" x14ac:dyDescent="0.3">
      <c r="I568">
        <v>7</v>
      </c>
      <c r="J568">
        <v>4531.71</v>
      </c>
    </row>
    <row r="569" spans="9:10" x14ac:dyDescent="0.3">
      <c r="I569">
        <v>7</v>
      </c>
      <c r="J569">
        <v>4531.71</v>
      </c>
    </row>
    <row r="570" spans="9:10" x14ac:dyDescent="0.3">
      <c r="I570">
        <v>7</v>
      </c>
      <c r="J570">
        <v>4531.71</v>
      </c>
    </row>
    <row r="571" spans="9:10" x14ac:dyDescent="0.3">
      <c r="I571">
        <v>7</v>
      </c>
      <c r="J571">
        <v>4531.71</v>
      </c>
    </row>
    <row r="572" spans="9:10" x14ac:dyDescent="0.3">
      <c r="I572">
        <v>7</v>
      </c>
      <c r="J572">
        <v>4531.71</v>
      </c>
    </row>
    <row r="573" spans="9:10" x14ac:dyDescent="0.3">
      <c r="I573">
        <v>7</v>
      </c>
      <c r="J573">
        <v>4531.71</v>
      </c>
    </row>
    <row r="574" spans="9:10" x14ac:dyDescent="0.3">
      <c r="I574">
        <v>7</v>
      </c>
      <c r="J574">
        <v>4531.71</v>
      </c>
    </row>
    <row r="575" spans="9:10" x14ac:dyDescent="0.3">
      <c r="I575">
        <v>7</v>
      </c>
      <c r="J575">
        <v>4531.71</v>
      </c>
    </row>
    <row r="576" spans="9:10" x14ac:dyDescent="0.3">
      <c r="I576">
        <v>7</v>
      </c>
      <c r="J576">
        <v>4531.71</v>
      </c>
    </row>
    <row r="577" spans="9:10" x14ac:dyDescent="0.3">
      <c r="I577">
        <v>7</v>
      </c>
      <c r="J577">
        <v>4531.71</v>
      </c>
    </row>
    <row r="578" spans="9:10" x14ac:dyDescent="0.3">
      <c r="I578">
        <v>7</v>
      </c>
      <c r="J578">
        <v>4531.71</v>
      </c>
    </row>
    <row r="579" spans="9:10" x14ac:dyDescent="0.3">
      <c r="I579">
        <v>7</v>
      </c>
      <c r="J579">
        <v>4531.71</v>
      </c>
    </row>
    <row r="580" spans="9:10" x14ac:dyDescent="0.3">
      <c r="I580">
        <v>7</v>
      </c>
      <c r="J580">
        <v>4531.71</v>
      </c>
    </row>
    <row r="581" spans="9:10" x14ac:dyDescent="0.3">
      <c r="I581">
        <v>7</v>
      </c>
      <c r="J581">
        <v>4531.71</v>
      </c>
    </row>
    <row r="582" spans="9:10" x14ac:dyDescent="0.3">
      <c r="I582">
        <v>7</v>
      </c>
      <c r="J582">
        <v>4531.71</v>
      </c>
    </row>
    <row r="583" spans="9:10" x14ac:dyDescent="0.3">
      <c r="I583">
        <v>7</v>
      </c>
      <c r="J583">
        <v>4531.71</v>
      </c>
    </row>
    <row r="584" spans="9:10" x14ac:dyDescent="0.3">
      <c r="I584">
        <v>7</v>
      </c>
      <c r="J584">
        <v>4531.71</v>
      </c>
    </row>
    <row r="585" spans="9:10" x14ac:dyDescent="0.3">
      <c r="I585">
        <v>7</v>
      </c>
      <c r="J585">
        <v>4531.71</v>
      </c>
    </row>
    <row r="586" spans="9:10" x14ac:dyDescent="0.3">
      <c r="I586">
        <v>7</v>
      </c>
      <c r="J586">
        <v>4531.71</v>
      </c>
    </row>
    <row r="587" spans="9:10" x14ac:dyDescent="0.3">
      <c r="I587">
        <v>7</v>
      </c>
      <c r="J587">
        <v>4531.71</v>
      </c>
    </row>
    <row r="588" spans="9:10" x14ac:dyDescent="0.3">
      <c r="I588">
        <v>7</v>
      </c>
      <c r="J588">
        <v>4531.71</v>
      </c>
    </row>
    <row r="589" spans="9:10" x14ac:dyDescent="0.3">
      <c r="I589">
        <v>7</v>
      </c>
      <c r="J589">
        <v>4531.71</v>
      </c>
    </row>
    <row r="590" spans="9:10" x14ac:dyDescent="0.3">
      <c r="I590">
        <v>7</v>
      </c>
      <c r="J590">
        <v>4531.71</v>
      </c>
    </row>
    <row r="591" spans="9:10" x14ac:dyDescent="0.3">
      <c r="I591">
        <v>7</v>
      </c>
      <c r="J591">
        <v>4531.71</v>
      </c>
    </row>
    <row r="592" spans="9:10" x14ac:dyDescent="0.3">
      <c r="I592">
        <v>7</v>
      </c>
      <c r="J592">
        <v>4531.71</v>
      </c>
    </row>
    <row r="593" spans="9:10" x14ac:dyDescent="0.3">
      <c r="I593">
        <v>7</v>
      </c>
      <c r="J593">
        <v>4531.71</v>
      </c>
    </row>
    <row r="594" spans="9:10" x14ac:dyDescent="0.3">
      <c r="I594">
        <v>7</v>
      </c>
      <c r="J594">
        <v>4531.71</v>
      </c>
    </row>
    <row r="595" spans="9:10" x14ac:dyDescent="0.3">
      <c r="I595">
        <v>7</v>
      </c>
      <c r="J595">
        <v>4531.71</v>
      </c>
    </row>
    <row r="596" spans="9:10" x14ac:dyDescent="0.3">
      <c r="I596">
        <v>7</v>
      </c>
      <c r="J596">
        <v>4531.71</v>
      </c>
    </row>
    <row r="597" spans="9:10" x14ac:dyDescent="0.3">
      <c r="I597">
        <v>7</v>
      </c>
      <c r="J597">
        <v>4531.71</v>
      </c>
    </row>
    <row r="598" spans="9:10" x14ac:dyDescent="0.3">
      <c r="I598">
        <v>7</v>
      </c>
      <c r="J598">
        <v>4531.71</v>
      </c>
    </row>
    <row r="599" spans="9:10" x14ac:dyDescent="0.3">
      <c r="I599">
        <v>7</v>
      </c>
      <c r="J599">
        <v>4531.71</v>
      </c>
    </row>
    <row r="600" spans="9:10" x14ac:dyDescent="0.3">
      <c r="I600">
        <v>7</v>
      </c>
      <c r="J600">
        <v>4531.71</v>
      </c>
    </row>
    <row r="601" spans="9:10" x14ac:dyDescent="0.3">
      <c r="I601">
        <v>7</v>
      </c>
      <c r="J601">
        <v>4531.71</v>
      </c>
    </row>
    <row r="602" spans="9:10" x14ac:dyDescent="0.3">
      <c r="I602">
        <v>7</v>
      </c>
      <c r="J602">
        <v>4531.71</v>
      </c>
    </row>
    <row r="603" spans="9:10" x14ac:dyDescent="0.3">
      <c r="I603">
        <v>7</v>
      </c>
      <c r="J603">
        <v>4531.71</v>
      </c>
    </row>
    <row r="604" spans="9:10" x14ac:dyDescent="0.3">
      <c r="I604">
        <v>7</v>
      </c>
      <c r="J604">
        <v>4531.71</v>
      </c>
    </row>
    <row r="605" spans="9:10" x14ac:dyDescent="0.3">
      <c r="I605">
        <v>7</v>
      </c>
      <c r="J605">
        <v>4531.71</v>
      </c>
    </row>
    <row r="606" spans="9:10" x14ac:dyDescent="0.3">
      <c r="I606">
        <v>7</v>
      </c>
      <c r="J606">
        <v>4531.71</v>
      </c>
    </row>
    <row r="607" spans="9:10" x14ac:dyDescent="0.3">
      <c r="I607">
        <v>7</v>
      </c>
      <c r="J607">
        <v>4531.71</v>
      </c>
    </row>
    <row r="608" spans="9:10" x14ac:dyDescent="0.3">
      <c r="I608">
        <v>7</v>
      </c>
      <c r="J608">
        <v>4531.71</v>
      </c>
    </row>
    <row r="609" spans="9:10" x14ac:dyDescent="0.3">
      <c r="I609">
        <v>7</v>
      </c>
      <c r="J609">
        <v>4531.71</v>
      </c>
    </row>
    <row r="610" spans="9:10" x14ac:dyDescent="0.3">
      <c r="I610">
        <v>7</v>
      </c>
      <c r="J610">
        <v>4531.71</v>
      </c>
    </row>
    <row r="611" spans="9:10" x14ac:dyDescent="0.3">
      <c r="I611">
        <v>7</v>
      </c>
      <c r="J611">
        <v>4531.71</v>
      </c>
    </row>
    <row r="612" spans="9:10" x14ac:dyDescent="0.3">
      <c r="I612">
        <v>7</v>
      </c>
      <c r="J612">
        <v>4531.71</v>
      </c>
    </row>
    <row r="613" spans="9:10" x14ac:dyDescent="0.3">
      <c r="I613">
        <v>7</v>
      </c>
      <c r="J613">
        <v>4531.71</v>
      </c>
    </row>
    <row r="614" spans="9:10" x14ac:dyDescent="0.3">
      <c r="I614">
        <v>7</v>
      </c>
      <c r="J614">
        <v>4531.71</v>
      </c>
    </row>
    <row r="615" spans="9:10" x14ac:dyDescent="0.3">
      <c r="I615">
        <v>7</v>
      </c>
      <c r="J615">
        <v>4531.71</v>
      </c>
    </row>
    <row r="616" spans="9:10" x14ac:dyDescent="0.3">
      <c r="I616">
        <v>7</v>
      </c>
      <c r="J616">
        <v>4531.71</v>
      </c>
    </row>
    <row r="617" spans="9:10" x14ac:dyDescent="0.3">
      <c r="I617">
        <v>7</v>
      </c>
      <c r="J617">
        <v>4531.71</v>
      </c>
    </row>
    <row r="618" spans="9:10" x14ac:dyDescent="0.3">
      <c r="I618">
        <v>7</v>
      </c>
      <c r="J618">
        <v>4531.71</v>
      </c>
    </row>
    <row r="619" spans="9:10" x14ac:dyDescent="0.3">
      <c r="I619">
        <v>7</v>
      </c>
      <c r="J619">
        <v>4531.71</v>
      </c>
    </row>
    <row r="620" spans="9:10" x14ac:dyDescent="0.3">
      <c r="I620">
        <v>7</v>
      </c>
      <c r="J620">
        <v>4531.71</v>
      </c>
    </row>
    <row r="621" spans="9:10" x14ac:dyDescent="0.3">
      <c r="I621">
        <v>7</v>
      </c>
      <c r="J621">
        <v>4531.71</v>
      </c>
    </row>
    <row r="622" spans="9:10" x14ac:dyDescent="0.3">
      <c r="I622">
        <v>7</v>
      </c>
      <c r="J622">
        <v>4531.71</v>
      </c>
    </row>
    <row r="623" spans="9:10" x14ac:dyDescent="0.3">
      <c r="I623">
        <v>7</v>
      </c>
      <c r="J623">
        <v>4531.71</v>
      </c>
    </row>
    <row r="624" spans="9:10" x14ac:dyDescent="0.3">
      <c r="I624">
        <v>7</v>
      </c>
      <c r="J624">
        <v>4531.71</v>
      </c>
    </row>
    <row r="625" spans="9:10" x14ac:dyDescent="0.3">
      <c r="I625">
        <v>7</v>
      </c>
      <c r="J625">
        <v>4531.71</v>
      </c>
    </row>
    <row r="626" spans="9:10" x14ac:dyDescent="0.3">
      <c r="I626">
        <v>7</v>
      </c>
      <c r="J626">
        <v>4531.71</v>
      </c>
    </row>
    <row r="627" spans="9:10" x14ac:dyDescent="0.3">
      <c r="I627">
        <v>7</v>
      </c>
      <c r="J627">
        <v>4531.71</v>
      </c>
    </row>
    <row r="628" spans="9:10" x14ac:dyDescent="0.3">
      <c r="I628">
        <v>7</v>
      </c>
      <c r="J628">
        <v>4531.71</v>
      </c>
    </row>
    <row r="629" spans="9:10" x14ac:dyDescent="0.3">
      <c r="I629">
        <v>7</v>
      </c>
      <c r="J629">
        <v>4531.71</v>
      </c>
    </row>
    <row r="630" spans="9:10" x14ac:dyDescent="0.3">
      <c r="I630">
        <v>7</v>
      </c>
      <c r="J630">
        <v>4531.71</v>
      </c>
    </row>
    <row r="631" spans="9:10" x14ac:dyDescent="0.3">
      <c r="I631">
        <v>7</v>
      </c>
      <c r="J631">
        <v>4531.71</v>
      </c>
    </row>
    <row r="632" spans="9:10" x14ac:dyDescent="0.3">
      <c r="I632">
        <v>7</v>
      </c>
      <c r="J632">
        <v>4531.71</v>
      </c>
    </row>
    <row r="633" spans="9:10" x14ac:dyDescent="0.3">
      <c r="I633">
        <v>7</v>
      </c>
      <c r="J633">
        <v>4531.71</v>
      </c>
    </row>
    <row r="634" spans="9:10" x14ac:dyDescent="0.3">
      <c r="I634">
        <v>7</v>
      </c>
      <c r="J634">
        <v>4531.71</v>
      </c>
    </row>
    <row r="635" spans="9:10" x14ac:dyDescent="0.3">
      <c r="I635">
        <v>7</v>
      </c>
      <c r="J635">
        <v>4531.71</v>
      </c>
    </row>
    <row r="636" spans="9:10" x14ac:dyDescent="0.3">
      <c r="I636">
        <v>7</v>
      </c>
      <c r="J636">
        <v>4531.71</v>
      </c>
    </row>
    <row r="637" spans="9:10" x14ac:dyDescent="0.3">
      <c r="I637">
        <v>7</v>
      </c>
      <c r="J637">
        <v>4531.71</v>
      </c>
    </row>
    <row r="638" spans="9:10" x14ac:dyDescent="0.3">
      <c r="I638">
        <v>7</v>
      </c>
      <c r="J638">
        <v>4531.71</v>
      </c>
    </row>
    <row r="639" spans="9:10" x14ac:dyDescent="0.3">
      <c r="I639">
        <v>7</v>
      </c>
      <c r="J639">
        <v>4531.71</v>
      </c>
    </row>
    <row r="640" spans="9:10" x14ac:dyDescent="0.3">
      <c r="I640">
        <v>7</v>
      </c>
      <c r="J640">
        <v>4531.71</v>
      </c>
    </row>
    <row r="641" spans="9:10" x14ac:dyDescent="0.3">
      <c r="I641">
        <v>7</v>
      </c>
      <c r="J641">
        <v>4531.71</v>
      </c>
    </row>
    <row r="642" spans="9:10" x14ac:dyDescent="0.3">
      <c r="I642">
        <v>7</v>
      </c>
      <c r="J642">
        <v>4531.71</v>
      </c>
    </row>
    <row r="643" spans="9:10" x14ac:dyDescent="0.3">
      <c r="I643">
        <v>7</v>
      </c>
      <c r="J643">
        <v>4531.71</v>
      </c>
    </row>
    <row r="644" spans="9:10" x14ac:dyDescent="0.3">
      <c r="I644">
        <v>7</v>
      </c>
      <c r="J644">
        <v>4531.71</v>
      </c>
    </row>
    <row r="645" spans="9:10" x14ac:dyDescent="0.3">
      <c r="I645">
        <v>7</v>
      </c>
      <c r="J645">
        <v>4531.71</v>
      </c>
    </row>
    <row r="646" spans="9:10" x14ac:dyDescent="0.3">
      <c r="I646">
        <v>7</v>
      </c>
      <c r="J646">
        <v>4531.71</v>
      </c>
    </row>
    <row r="647" spans="9:10" x14ac:dyDescent="0.3">
      <c r="I647">
        <v>7</v>
      </c>
      <c r="J647">
        <v>4531.71</v>
      </c>
    </row>
    <row r="648" spans="9:10" x14ac:dyDescent="0.3">
      <c r="I648">
        <v>7</v>
      </c>
      <c r="J648">
        <v>4531.71</v>
      </c>
    </row>
    <row r="649" spans="9:10" x14ac:dyDescent="0.3">
      <c r="I649">
        <v>7</v>
      </c>
      <c r="J649">
        <v>4531.71</v>
      </c>
    </row>
    <row r="650" spans="9:10" x14ac:dyDescent="0.3">
      <c r="I650">
        <v>7</v>
      </c>
      <c r="J650">
        <v>4531.71</v>
      </c>
    </row>
    <row r="651" spans="9:10" x14ac:dyDescent="0.3">
      <c r="I651">
        <v>7</v>
      </c>
      <c r="J651">
        <v>4531.71</v>
      </c>
    </row>
    <row r="652" spans="9:10" x14ac:dyDescent="0.3">
      <c r="I652">
        <v>7</v>
      </c>
      <c r="J652">
        <v>4531.71</v>
      </c>
    </row>
    <row r="653" spans="9:10" x14ac:dyDescent="0.3">
      <c r="I653">
        <v>7</v>
      </c>
      <c r="J653">
        <v>4531.71</v>
      </c>
    </row>
    <row r="654" spans="9:10" x14ac:dyDescent="0.3">
      <c r="I654">
        <v>7</v>
      </c>
      <c r="J654">
        <v>4531.71</v>
      </c>
    </row>
    <row r="655" spans="9:10" x14ac:dyDescent="0.3">
      <c r="I655">
        <v>7</v>
      </c>
      <c r="J655">
        <v>4531.71</v>
      </c>
    </row>
    <row r="656" spans="9:10" x14ac:dyDescent="0.3">
      <c r="I656">
        <v>7</v>
      </c>
      <c r="J656">
        <v>4531.71</v>
      </c>
    </row>
    <row r="657" spans="9:10" x14ac:dyDescent="0.3">
      <c r="I657">
        <v>7</v>
      </c>
      <c r="J657">
        <v>4531.71</v>
      </c>
    </row>
    <row r="658" spans="9:10" x14ac:dyDescent="0.3">
      <c r="I658">
        <v>7</v>
      </c>
      <c r="J658">
        <v>4531.71</v>
      </c>
    </row>
    <row r="659" spans="9:10" x14ac:dyDescent="0.3">
      <c r="I659">
        <v>7</v>
      </c>
      <c r="J659">
        <v>4531.71</v>
      </c>
    </row>
    <row r="660" spans="9:10" x14ac:dyDescent="0.3">
      <c r="I660">
        <v>7</v>
      </c>
      <c r="J660">
        <v>4531.71</v>
      </c>
    </row>
    <row r="661" spans="9:10" x14ac:dyDescent="0.3">
      <c r="I661">
        <v>7</v>
      </c>
      <c r="J661">
        <v>4531.71</v>
      </c>
    </row>
    <row r="662" spans="9:10" x14ac:dyDescent="0.3">
      <c r="I662">
        <v>7</v>
      </c>
      <c r="J662">
        <v>4531.71</v>
      </c>
    </row>
    <row r="663" spans="9:10" x14ac:dyDescent="0.3">
      <c r="I663">
        <v>7</v>
      </c>
      <c r="J663">
        <v>4531.71</v>
      </c>
    </row>
    <row r="664" spans="9:10" x14ac:dyDescent="0.3">
      <c r="I664">
        <v>7</v>
      </c>
      <c r="J664">
        <v>4531.71</v>
      </c>
    </row>
    <row r="665" spans="9:10" x14ac:dyDescent="0.3">
      <c r="I665">
        <v>7</v>
      </c>
      <c r="J665">
        <v>4531.71</v>
      </c>
    </row>
    <row r="666" spans="9:10" x14ac:dyDescent="0.3">
      <c r="I666">
        <v>7</v>
      </c>
      <c r="J666">
        <v>4531.71</v>
      </c>
    </row>
    <row r="667" spans="9:10" x14ac:dyDescent="0.3">
      <c r="I667">
        <v>7</v>
      </c>
      <c r="J667">
        <v>4531.71</v>
      </c>
    </row>
    <row r="668" spans="9:10" x14ac:dyDescent="0.3">
      <c r="I668">
        <v>7</v>
      </c>
      <c r="J668">
        <v>4531.71</v>
      </c>
    </row>
    <row r="669" spans="9:10" x14ac:dyDescent="0.3">
      <c r="I669">
        <v>7</v>
      </c>
      <c r="J669">
        <v>4531.71</v>
      </c>
    </row>
    <row r="670" spans="9:10" x14ac:dyDescent="0.3">
      <c r="I670">
        <v>7</v>
      </c>
      <c r="J670">
        <v>4531.71</v>
      </c>
    </row>
    <row r="671" spans="9:10" x14ac:dyDescent="0.3">
      <c r="I671">
        <v>7</v>
      </c>
      <c r="J671">
        <v>4531.71</v>
      </c>
    </row>
    <row r="672" spans="9:10" x14ac:dyDescent="0.3">
      <c r="I672">
        <v>7</v>
      </c>
      <c r="J672">
        <v>4531.71</v>
      </c>
    </row>
    <row r="673" spans="9:10" x14ac:dyDescent="0.3">
      <c r="I673">
        <v>7</v>
      </c>
      <c r="J673">
        <v>4531.71</v>
      </c>
    </row>
    <row r="674" spans="9:10" x14ac:dyDescent="0.3">
      <c r="I674">
        <v>7</v>
      </c>
      <c r="J674">
        <v>4531.71</v>
      </c>
    </row>
    <row r="675" spans="9:10" x14ac:dyDescent="0.3">
      <c r="I675">
        <v>7</v>
      </c>
      <c r="J675">
        <v>4531.71</v>
      </c>
    </row>
    <row r="676" spans="9:10" x14ac:dyDescent="0.3">
      <c r="I676">
        <v>7</v>
      </c>
      <c r="J676">
        <v>4531.71</v>
      </c>
    </row>
    <row r="677" spans="9:10" x14ac:dyDescent="0.3">
      <c r="I677">
        <v>7</v>
      </c>
      <c r="J677">
        <v>4531.71</v>
      </c>
    </row>
    <row r="678" spans="9:10" x14ac:dyDescent="0.3">
      <c r="I678">
        <v>6</v>
      </c>
      <c r="J678">
        <v>2686.9500000000003</v>
      </c>
    </row>
    <row r="679" spans="9:10" x14ac:dyDescent="0.3">
      <c r="I679">
        <v>6</v>
      </c>
      <c r="J679">
        <v>2686.9500000000003</v>
      </c>
    </row>
    <row r="680" spans="9:10" x14ac:dyDescent="0.3">
      <c r="I680">
        <v>6</v>
      </c>
      <c r="J680">
        <v>2686.9500000000003</v>
      </c>
    </row>
    <row r="681" spans="9:10" x14ac:dyDescent="0.3">
      <c r="I681">
        <v>6</v>
      </c>
      <c r="J681">
        <v>2686.9500000000003</v>
      </c>
    </row>
    <row r="682" spans="9:10" x14ac:dyDescent="0.3">
      <c r="I682">
        <v>6</v>
      </c>
      <c r="J682">
        <v>2686.9500000000003</v>
      </c>
    </row>
    <row r="683" spans="9:10" x14ac:dyDescent="0.3">
      <c r="I683">
        <v>6</v>
      </c>
      <c r="J683">
        <v>2686.9500000000003</v>
      </c>
    </row>
    <row r="684" spans="9:10" x14ac:dyDescent="0.3">
      <c r="I684">
        <v>6</v>
      </c>
      <c r="J684">
        <v>2686.9500000000003</v>
      </c>
    </row>
    <row r="685" spans="9:10" x14ac:dyDescent="0.3">
      <c r="I685">
        <v>6</v>
      </c>
      <c r="J685">
        <v>2686.9500000000003</v>
      </c>
    </row>
    <row r="686" spans="9:10" x14ac:dyDescent="0.3">
      <c r="I686">
        <v>6</v>
      </c>
      <c r="J686">
        <v>2686.9500000000003</v>
      </c>
    </row>
    <row r="687" spans="9:10" x14ac:dyDescent="0.3">
      <c r="I687">
        <v>6</v>
      </c>
      <c r="J687">
        <v>2686.9500000000003</v>
      </c>
    </row>
    <row r="688" spans="9:10" x14ac:dyDescent="0.3">
      <c r="I688">
        <v>6</v>
      </c>
      <c r="J688">
        <v>2686.9500000000003</v>
      </c>
    </row>
    <row r="689" spans="9:10" x14ac:dyDescent="0.3">
      <c r="I689">
        <v>6</v>
      </c>
      <c r="J689">
        <v>2686.9500000000003</v>
      </c>
    </row>
    <row r="690" spans="9:10" x14ac:dyDescent="0.3">
      <c r="I690">
        <v>6</v>
      </c>
      <c r="J690">
        <v>2686.9500000000003</v>
      </c>
    </row>
    <row r="691" spans="9:10" x14ac:dyDescent="0.3">
      <c r="I691">
        <v>6</v>
      </c>
      <c r="J691">
        <v>2686.9500000000003</v>
      </c>
    </row>
    <row r="692" spans="9:10" x14ac:dyDescent="0.3">
      <c r="I692">
        <v>6</v>
      </c>
      <c r="J692">
        <v>2686.9500000000003</v>
      </c>
    </row>
    <row r="693" spans="9:10" x14ac:dyDescent="0.3">
      <c r="I693">
        <v>6</v>
      </c>
      <c r="J693">
        <v>2686.9500000000003</v>
      </c>
    </row>
    <row r="694" spans="9:10" x14ac:dyDescent="0.3">
      <c r="I694">
        <v>6</v>
      </c>
      <c r="J694">
        <v>2686.9500000000003</v>
      </c>
    </row>
    <row r="695" spans="9:10" x14ac:dyDescent="0.3">
      <c r="I695">
        <v>6</v>
      </c>
      <c r="J695">
        <v>2686.9500000000003</v>
      </c>
    </row>
    <row r="696" spans="9:10" x14ac:dyDescent="0.3">
      <c r="I696">
        <v>6</v>
      </c>
      <c r="J696">
        <v>2686.9500000000003</v>
      </c>
    </row>
    <row r="697" spans="9:10" x14ac:dyDescent="0.3">
      <c r="I697">
        <v>6</v>
      </c>
      <c r="J697">
        <v>2686.9500000000003</v>
      </c>
    </row>
    <row r="698" spans="9:10" x14ac:dyDescent="0.3">
      <c r="I698">
        <v>6</v>
      </c>
      <c r="J698">
        <v>2686.9500000000003</v>
      </c>
    </row>
    <row r="699" spans="9:10" x14ac:dyDescent="0.3">
      <c r="I699">
        <v>6</v>
      </c>
      <c r="J699">
        <v>2686.9500000000003</v>
      </c>
    </row>
    <row r="700" spans="9:10" x14ac:dyDescent="0.3">
      <c r="I700">
        <v>6</v>
      </c>
      <c r="J700">
        <v>2686.9500000000003</v>
      </c>
    </row>
    <row r="701" spans="9:10" x14ac:dyDescent="0.3">
      <c r="I701">
        <v>6</v>
      </c>
      <c r="J701">
        <v>2686.9500000000003</v>
      </c>
    </row>
    <row r="702" spans="9:10" x14ac:dyDescent="0.3">
      <c r="I702">
        <v>6</v>
      </c>
      <c r="J702">
        <v>2686.9500000000003</v>
      </c>
    </row>
    <row r="703" spans="9:10" x14ac:dyDescent="0.3">
      <c r="I703">
        <v>6</v>
      </c>
      <c r="J703">
        <v>2686.9500000000003</v>
      </c>
    </row>
    <row r="704" spans="9:10" x14ac:dyDescent="0.3">
      <c r="I704">
        <v>6</v>
      </c>
      <c r="J704">
        <v>2686.9500000000003</v>
      </c>
    </row>
    <row r="705" spans="9:10" x14ac:dyDescent="0.3">
      <c r="I705">
        <v>6</v>
      </c>
      <c r="J705">
        <v>2686.9500000000003</v>
      </c>
    </row>
    <row r="706" spans="9:10" x14ac:dyDescent="0.3">
      <c r="I706">
        <v>6</v>
      </c>
      <c r="J706">
        <v>2686.9500000000003</v>
      </c>
    </row>
    <row r="707" spans="9:10" x14ac:dyDescent="0.3">
      <c r="I707">
        <v>6</v>
      </c>
      <c r="J707">
        <v>2686.9500000000003</v>
      </c>
    </row>
    <row r="708" spans="9:10" x14ac:dyDescent="0.3">
      <c r="I708">
        <v>6</v>
      </c>
      <c r="J708">
        <v>2686.9500000000003</v>
      </c>
    </row>
    <row r="709" spans="9:10" x14ac:dyDescent="0.3">
      <c r="I709">
        <v>6</v>
      </c>
      <c r="J709">
        <v>2686.9500000000003</v>
      </c>
    </row>
    <row r="710" spans="9:10" x14ac:dyDescent="0.3">
      <c r="I710">
        <v>6</v>
      </c>
      <c r="J710">
        <v>2686.9500000000003</v>
      </c>
    </row>
    <row r="711" spans="9:10" x14ac:dyDescent="0.3">
      <c r="I711">
        <v>6</v>
      </c>
      <c r="J711">
        <v>2686.9500000000003</v>
      </c>
    </row>
    <row r="712" spans="9:10" x14ac:dyDescent="0.3">
      <c r="I712">
        <v>6</v>
      </c>
      <c r="J712">
        <v>2686.9500000000003</v>
      </c>
    </row>
    <row r="713" spans="9:10" x14ac:dyDescent="0.3">
      <c r="I713">
        <v>6</v>
      </c>
      <c r="J713">
        <v>2686.9500000000003</v>
      </c>
    </row>
    <row r="714" spans="9:10" x14ac:dyDescent="0.3">
      <c r="I714">
        <v>6</v>
      </c>
      <c r="J714">
        <v>2686.9500000000003</v>
      </c>
    </row>
    <row r="715" spans="9:10" x14ac:dyDescent="0.3">
      <c r="I715">
        <v>6</v>
      </c>
      <c r="J715">
        <v>2686.9500000000003</v>
      </c>
    </row>
    <row r="716" spans="9:10" x14ac:dyDescent="0.3">
      <c r="I716">
        <v>6</v>
      </c>
      <c r="J716">
        <v>2686.9500000000003</v>
      </c>
    </row>
    <row r="717" spans="9:10" x14ac:dyDescent="0.3">
      <c r="I717">
        <v>6</v>
      </c>
      <c r="J717">
        <v>2686.9500000000003</v>
      </c>
    </row>
    <row r="718" spans="9:10" x14ac:dyDescent="0.3">
      <c r="I718">
        <v>6</v>
      </c>
      <c r="J718">
        <v>2686.9500000000003</v>
      </c>
    </row>
    <row r="719" spans="9:10" x14ac:dyDescent="0.3">
      <c r="I719">
        <v>6</v>
      </c>
      <c r="J719">
        <v>2686.9500000000003</v>
      </c>
    </row>
    <row r="720" spans="9:10" x14ac:dyDescent="0.3">
      <c r="I720">
        <v>6</v>
      </c>
      <c r="J720">
        <v>2686.9500000000003</v>
      </c>
    </row>
    <row r="721" spans="9:10" x14ac:dyDescent="0.3">
      <c r="I721">
        <v>6</v>
      </c>
      <c r="J721">
        <v>2686.9500000000003</v>
      </c>
    </row>
    <row r="722" spans="9:10" x14ac:dyDescent="0.3">
      <c r="I722">
        <v>6</v>
      </c>
      <c r="J722">
        <v>2686.9500000000003</v>
      </c>
    </row>
    <row r="723" spans="9:10" x14ac:dyDescent="0.3">
      <c r="I723">
        <v>6</v>
      </c>
      <c r="J723">
        <v>2686.9500000000003</v>
      </c>
    </row>
    <row r="724" spans="9:10" x14ac:dyDescent="0.3">
      <c r="I724">
        <v>6</v>
      </c>
      <c r="J724">
        <v>2686.9500000000003</v>
      </c>
    </row>
    <row r="725" spans="9:10" x14ac:dyDescent="0.3">
      <c r="I725">
        <v>6</v>
      </c>
      <c r="J725">
        <v>2686.9500000000003</v>
      </c>
    </row>
    <row r="726" spans="9:10" x14ac:dyDescent="0.3">
      <c r="I726">
        <v>5</v>
      </c>
      <c r="J726">
        <v>2576.0200000000004</v>
      </c>
    </row>
    <row r="727" spans="9:10" x14ac:dyDescent="0.3">
      <c r="I727">
        <v>5</v>
      </c>
      <c r="J727">
        <v>2576.0200000000004</v>
      </c>
    </row>
    <row r="728" spans="9:10" x14ac:dyDescent="0.3">
      <c r="I728">
        <v>5</v>
      </c>
      <c r="J728">
        <v>2576.0200000000004</v>
      </c>
    </row>
    <row r="729" spans="9:10" x14ac:dyDescent="0.3">
      <c r="I729">
        <v>5</v>
      </c>
      <c r="J729">
        <v>2576.0200000000004</v>
      </c>
    </row>
    <row r="730" spans="9:10" x14ac:dyDescent="0.3">
      <c r="I730">
        <v>5</v>
      </c>
      <c r="J730">
        <v>2576.0200000000004</v>
      </c>
    </row>
    <row r="731" spans="9:10" x14ac:dyDescent="0.3">
      <c r="I731">
        <v>5</v>
      </c>
      <c r="J731">
        <v>2576.0200000000004</v>
      </c>
    </row>
    <row r="732" spans="9:10" x14ac:dyDescent="0.3">
      <c r="I732">
        <v>5</v>
      </c>
      <c r="J732">
        <v>2576.0200000000004</v>
      </c>
    </row>
    <row r="733" spans="9:10" x14ac:dyDescent="0.3">
      <c r="I733">
        <v>5</v>
      </c>
      <c r="J733">
        <v>2576.0200000000004</v>
      </c>
    </row>
    <row r="734" spans="9:10" x14ac:dyDescent="0.3">
      <c r="I734">
        <v>5</v>
      </c>
      <c r="J734">
        <v>2576.0200000000004</v>
      </c>
    </row>
    <row r="735" spans="9:10" x14ac:dyDescent="0.3">
      <c r="I735">
        <v>5</v>
      </c>
      <c r="J735">
        <v>2576.0200000000004</v>
      </c>
    </row>
    <row r="736" spans="9:10" x14ac:dyDescent="0.3">
      <c r="I736">
        <v>5</v>
      </c>
      <c r="J736">
        <v>2576.0200000000004</v>
      </c>
    </row>
    <row r="737" spans="9:10" x14ac:dyDescent="0.3">
      <c r="I737">
        <v>5</v>
      </c>
      <c r="J737">
        <v>2576.0200000000004</v>
      </c>
    </row>
    <row r="738" spans="9:10" x14ac:dyDescent="0.3">
      <c r="I738">
        <v>5</v>
      </c>
      <c r="J738">
        <v>2576.0200000000004</v>
      </c>
    </row>
    <row r="739" spans="9:10" x14ac:dyDescent="0.3">
      <c r="I739">
        <v>5</v>
      </c>
      <c r="J739">
        <v>2576.0200000000004</v>
      </c>
    </row>
    <row r="740" spans="9:10" x14ac:dyDescent="0.3">
      <c r="I740">
        <v>5</v>
      </c>
      <c r="J740">
        <v>2576.0200000000004</v>
      </c>
    </row>
    <row r="741" spans="9:10" x14ac:dyDescent="0.3">
      <c r="I741">
        <v>5</v>
      </c>
      <c r="J741">
        <v>2576.0200000000004</v>
      </c>
    </row>
    <row r="742" spans="9:10" x14ac:dyDescent="0.3">
      <c r="I742">
        <v>5</v>
      </c>
      <c r="J742">
        <v>2576.0200000000004</v>
      </c>
    </row>
    <row r="743" spans="9:10" x14ac:dyDescent="0.3">
      <c r="I743">
        <v>5</v>
      </c>
      <c r="J743">
        <v>2576.0200000000004</v>
      </c>
    </row>
    <row r="744" spans="9:10" x14ac:dyDescent="0.3">
      <c r="I744">
        <v>5</v>
      </c>
      <c r="J744">
        <v>2576.0200000000004</v>
      </c>
    </row>
    <row r="745" spans="9:10" x14ac:dyDescent="0.3">
      <c r="I745">
        <v>5</v>
      </c>
      <c r="J745">
        <v>2576.0200000000004</v>
      </c>
    </row>
    <row r="746" spans="9:10" x14ac:dyDescent="0.3">
      <c r="I746">
        <v>5</v>
      </c>
      <c r="J746">
        <v>2576.0200000000004</v>
      </c>
    </row>
    <row r="747" spans="9:10" x14ac:dyDescent="0.3">
      <c r="I747">
        <v>5</v>
      </c>
      <c r="J747">
        <v>2576.0200000000004</v>
      </c>
    </row>
    <row r="748" spans="9:10" x14ac:dyDescent="0.3">
      <c r="I748">
        <v>5</v>
      </c>
      <c r="J748">
        <v>2576.0200000000004</v>
      </c>
    </row>
    <row r="749" spans="9:10" x14ac:dyDescent="0.3">
      <c r="I749">
        <v>4</v>
      </c>
      <c r="J749">
        <v>2449.5200000000004</v>
      </c>
    </row>
    <row r="750" spans="9:10" x14ac:dyDescent="0.3">
      <c r="I750">
        <v>4</v>
      </c>
      <c r="J750">
        <v>2449.5200000000004</v>
      </c>
    </row>
    <row r="751" spans="9:10" x14ac:dyDescent="0.3">
      <c r="I751">
        <v>4</v>
      </c>
      <c r="J751">
        <v>2449.5200000000004</v>
      </c>
    </row>
    <row r="752" spans="9:10" x14ac:dyDescent="0.3">
      <c r="I752">
        <v>4</v>
      </c>
      <c r="J752">
        <v>2449.5200000000004</v>
      </c>
    </row>
    <row r="753" spans="9:10" x14ac:dyDescent="0.3">
      <c r="I753">
        <v>4</v>
      </c>
      <c r="J753">
        <v>2449.5200000000004</v>
      </c>
    </row>
    <row r="754" spans="9:10" x14ac:dyDescent="0.3">
      <c r="I754">
        <v>4</v>
      </c>
      <c r="J754">
        <v>2449.5200000000004</v>
      </c>
    </row>
    <row r="755" spans="9:10" x14ac:dyDescent="0.3">
      <c r="I755">
        <v>4</v>
      </c>
      <c r="J755">
        <v>2449.5200000000004</v>
      </c>
    </row>
    <row r="756" spans="9:10" x14ac:dyDescent="0.3">
      <c r="I756">
        <v>4</v>
      </c>
      <c r="J756">
        <v>2449.5200000000004</v>
      </c>
    </row>
    <row r="757" spans="9:10" x14ac:dyDescent="0.3">
      <c r="I757">
        <v>4</v>
      </c>
      <c r="J757">
        <v>2449.5200000000004</v>
      </c>
    </row>
    <row r="758" spans="9:10" x14ac:dyDescent="0.3">
      <c r="I758">
        <v>4</v>
      </c>
      <c r="J758">
        <v>2449.5200000000004</v>
      </c>
    </row>
    <row r="759" spans="9:10" x14ac:dyDescent="0.3">
      <c r="I759">
        <v>4</v>
      </c>
      <c r="J759">
        <v>2449.5200000000004</v>
      </c>
    </row>
    <row r="760" spans="9:10" x14ac:dyDescent="0.3">
      <c r="I760">
        <v>4</v>
      </c>
      <c r="J760">
        <v>2449.5200000000004</v>
      </c>
    </row>
    <row r="761" spans="9:10" x14ac:dyDescent="0.3">
      <c r="I761">
        <v>4</v>
      </c>
      <c r="J761">
        <v>2449.5200000000004</v>
      </c>
    </row>
    <row r="762" spans="9:10" x14ac:dyDescent="0.3">
      <c r="I762">
        <v>4</v>
      </c>
      <c r="J762">
        <v>2449.5200000000004</v>
      </c>
    </row>
    <row r="763" spans="9:10" x14ac:dyDescent="0.3">
      <c r="I763">
        <v>4</v>
      </c>
      <c r="J763">
        <v>2449.5200000000004</v>
      </c>
    </row>
    <row r="764" spans="9:10" x14ac:dyDescent="0.3">
      <c r="I764">
        <v>3</v>
      </c>
      <c r="J764">
        <v>1089.73</v>
      </c>
    </row>
    <row r="765" spans="9:10" x14ac:dyDescent="0.3">
      <c r="I765">
        <v>3</v>
      </c>
      <c r="J765">
        <v>1089.73</v>
      </c>
    </row>
    <row r="766" spans="9:10" x14ac:dyDescent="0.3">
      <c r="I766">
        <v>3</v>
      </c>
      <c r="J766">
        <v>1089.73</v>
      </c>
    </row>
    <row r="767" spans="9:10" x14ac:dyDescent="0.3">
      <c r="I767">
        <v>3</v>
      </c>
      <c r="J767">
        <v>1089.73</v>
      </c>
    </row>
    <row r="768" spans="9:10" x14ac:dyDescent="0.3">
      <c r="I768">
        <v>3</v>
      </c>
      <c r="J768">
        <v>1089.73</v>
      </c>
    </row>
    <row r="769" spans="9:10" x14ac:dyDescent="0.3">
      <c r="I769">
        <v>3</v>
      </c>
      <c r="J769">
        <v>1089.73</v>
      </c>
    </row>
    <row r="770" spans="9:10" x14ac:dyDescent="0.3">
      <c r="I770">
        <v>3</v>
      </c>
      <c r="J770">
        <v>1089.73</v>
      </c>
    </row>
    <row r="771" spans="9:10" x14ac:dyDescent="0.3">
      <c r="I771">
        <v>3</v>
      </c>
      <c r="J771">
        <v>1089.73</v>
      </c>
    </row>
    <row r="772" spans="9:10" x14ac:dyDescent="0.3">
      <c r="I772">
        <v>3</v>
      </c>
      <c r="J772">
        <v>1089.73</v>
      </c>
    </row>
    <row r="773" spans="9:10" x14ac:dyDescent="0.3">
      <c r="I773">
        <v>3</v>
      </c>
      <c r="J773">
        <v>1089.73</v>
      </c>
    </row>
    <row r="774" spans="9:10" x14ac:dyDescent="0.3">
      <c r="I774">
        <v>3</v>
      </c>
      <c r="J774">
        <v>1089.73</v>
      </c>
    </row>
    <row r="775" spans="9:10" x14ac:dyDescent="0.3">
      <c r="I775">
        <v>3</v>
      </c>
      <c r="J775">
        <v>1089.73</v>
      </c>
    </row>
    <row r="776" spans="9:10" x14ac:dyDescent="0.3">
      <c r="I776">
        <v>3</v>
      </c>
      <c r="J776">
        <v>1089.73</v>
      </c>
    </row>
    <row r="777" spans="9:10" x14ac:dyDescent="0.3">
      <c r="I777">
        <v>2</v>
      </c>
      <c r="J777">
        <v>348.51</v>
      </c>
    </row>
    <row r="778" spans="9:10" x14ac:dyDescent="0.3">
      <c r="I778">
        <v>2</v>
      </c>
      <c r="J778">
        <v>348.51</v>
      </c>
    </row>
    <row r="779" spans="9:10" x14ac:dyDescent="0.3">
      <c r="I779">
        <v>2</v>
      </c>
      <c r="J779">
        <v>348.51</v>
      </c>
    </row>
    <row r="780" spans="9:10" x14ac:dyDescent="0.3">
      <c r="I780">
        <v>2</v>
      </c>
      <c r="J780">
        <v>348.51</v>
      </c>
    </row>
    <row r="781" spans="9:10" x14ac:dyDescent="0.3">
      <c r="I781">
        <v>2</v>
      </c>
      <c r="J781">
        <v>348.51</v>
      </c>
    </row>
    <row r="782" spans="9:10" x14ac:dyDescent="0.3">
      <c r="I782">
        <v>2</v>
      </c>
      <c r="J782">
        <v>348.51</v>
      </c>
    </row>
    <row r="783" spans="9:10" x14ac:dyDescent="0.3">
      <c r="I783">
        <v>2</v>
      </c>
      <c r="J783">
        <v>348.51</v>
      </c>
    </row>
    <row r="784" spans="9:10" x14ac:dyDescent="0.3">
      <c r="I784">
        <v>2</v>
      </c>
      <c r="J784">
        <v>348.51</v>
      </c>
    </row>
    <row r="785" spans="9:10" x14ac:dyDescent="0.3">
      <c r="I785">
        <v>2</v>
      </c>
      <c r="J785">
        <v>348.51</v>
      </c>
    </row>
    <row r="786" spans="9:10" x14ac:dyDescent="0.3">
      <c r="I786">
        <v>2</v>
      </c>
      <c r="J786">
        <v>348.51</v>
      </c>
    </row>
    <row r="787" spans="9:10" x14ac:dyDescent="0.3">
      <c r="I787">
        <v>2</v>
      </c>
      <c r="J787">
        <v>348.51</v>
      </c>
    </row>
    <row r="788" spans="9:10" x14ac:dyDescent="0.3">
      <c r="I788">
        <v>2</v>
      </c>
      <c r="J788">
        <v>348.51</v>
      </c>
    </row>
    <row r="789" spans="9:10" x14ac:dyDescent="0.3">
      <c r="I789">
        <v>2</v>
      </c>
      <c r="J789">
        <v>348.51</v>
      </c>
    </row>
    <row r="790" spans="9:10" x14ac:dyDescent="0.3">
      <c r="I790">
        <v>2</v>
      </c>
      <c r="J790">
        <v>348.51</v>
      </c>
    </row>
    <row r="791" spans="9:10" x14ac:dyDescent="0.3">
      <c r="I791">
        <v>1</v>
      </c>
      <c r="J791">
        <v>274.75</v>
      </c>
    </row>
    <row r="792" spans="9:10" x14ac:dyDescent="0.3">
      <c r="I792">
        <v>1</v>
      </c>
      <c r="J792">
        <v>274.75</v>
      </c>
    </row>
    <row r="793" spans="9:10" x14ac:dyDescent="0.3">
      <c r="I793">
        <v>1</v>
      </c>
      <c r="J793">
        <v>274.75</v>
      </c>
    </row>
    <row r="794" spans="9:10" x14ac:dyDescent="0.3">
      <c r="I794">
        <v>1</v>
      </c>
      <c r="J794">
        <v>274.75</v>
      </c>
    </row>
    <row r="795" spans="9:10" x14ac:dyDescent="0.3">
      <c r="I795">
        <v>1</v>
      </c>
      <c r="J795">
        <v>274.75</v>
      </c>
    </row>
    <row r="796" spans="9:10" x14ac:dyDescent="0.3">
      <c r="I796">
        <v>1</v>
      </c>
      <c r="J796">
        <v>274.75</v>
      </c>
    </row>
    <row r="797" spans="9:10" x14ac:dyDescent="0.3">
      <c r="I797">
        <v>1</v>
      </c>
      <c r="J797">
        <v>274.75</v>
      </c>
    </row>
    <row r="798" spans="9:10" x14ac:dyDescent="0.3">
      <c r="I798">
        <v>1</v>
      </c>
      <c r="J798">
        <v>274.75</v>
      </c>
    </row>
    <row r="799" spans="9:10" x14ac:dyDescent="0.3">
      <c r="I799">
        <v>1</v>
      </c>
      <c r="J799">
        <v>274.75</v>
      </c>
    </row>
    <row r="800" spans="9:10" x14ac:dyDescent="0.3">
      <c r="I800">
        <v>1</v>
      </c>
      <c r="J800">
        <v>274.75</v>
      </c>
    </row>
    <row r="801" spans="9:10" x14ac:dyDescent="0.3">
      <c r="I801">
        <v>1</v>
      </c>
      <c r="J801">
        <v>274.75</v>
      </c>
    </row>
    <row r="802" spans="9:10" x14ac:dyDescent="0.3">
      <c r="I802">
        <v>1</v>
      </c>
      <c r="J802">
        <v>274.75</v>
      </c>
    </row>
    <row r="803" spans="9:10" x14ac:dyDescent="0.3">
      <c r="I803">
        <v>1</v>
      </c>
      <c r="J803">
        <v>274.75</v>
      </c>
    </row>
    <row r="804" spans="9:10" x14ac:dyDescent="0.3">
      <c r="I804">
        <v>1</v>
      </c>
      <c r="J804">
        <v>274.75</v>
      </c>
    </row>
    <row r="805" spans="9:10" x14ac:dyDescent="0.3">
      <c r="I805">
        <v>1</v>
      </c>
      <c r="J805">
        <v>274.75</v>
      </c>
    </row>
    <row r="806" spans="9:10" x14ac:dyDescent="0.3">
      <c r="I806">
        <v>1</v>
      </c>
      <c r="J806">
        <v>274.75</v>
      </c>
    </row>
    <row r="807" spans="9:10" x14ac:dyDescent="0.3">
      <c r="I807">
        <v>1</v>
      </c>
      <c r="J807">
        <v>274.75</v>
      </c>
    </row>
    <row r="808" spans="9:10" x14ac:dyDescent="0.3">
      <c r="I808">
        <v>1</v>
      </c>
      <c r="J808">
        <v>274.75</v>
      </c>
    </row>
    <row r="809" spans="9:10" x14ac:dyDescent="0.3">
      <c r="I809">
        <v>1</v>
      </c>
      <c r="J809">
        <v>274.75</v>
      </c>
    </row>
    <row r="810" spans="9:10" x14ac:dyDescent="0.3">
      <c r="I810">
        <v>1</v>
      </c>
      <c r="J810">
        <v>274.75</v>
      </c>
    </row>
    <row r="811" spans="9:10" x14ac:dyDescent="0.3">
      <c r="I811">
        <v>1</v>
      </c>
      <c r="J811">
        <v>274.75</v>
      </c>
    </row>
    <row r="812" spans="9:10" x14ac:dyDescent="0.3">
      <c r="I812">
        <v>1</v>
      </c>
      <c r="J812">
        <v>274.75</v>
      </c>
    </row>
    <row r="813" spans="9:10" x14ac:dyDescent="0.3">
      <c r="I813">
        <v>1</v>
      </c>
      <c r="J813">
        <v>274.75</v>
      </c>
    </row>
    <row r="814" spans="9:10" x14ac:dyDescent="0.3">
      <c r="I814">
        <v>1</v>
      </c>
      <c r="J814">
        <v>274.75</v>
      </c>
    </row>
    <row r="815" spans="9:10" x14ac:dyDescent="0.3">
      <c r="I815">
        <v>1</v>
      </c>
      <c r="J815">
        <v>274.75</v>
      </c>
    </row>
    <row r="816" spans="9:10" x14ac:dyDescent="0.3">
      <c r="I816">
        <v>1</v>
      </c>
      <c r="J816">
        <v>274.75</v>
      </c>
    </row>
    <row r="817" spans="9:10" x14ac:dyDescent="0.3">
      <c r="I817">
        <v>1</v>
      </c>
      <c r="J817">
        <v>274.75</v>
      </c>
    </row>
    <row r="818" spans="9:10" x14ac:dyDescent="0.3">
      <c r="I818">
        <v>1</v>
      </c>
      <c r="J818">
        <v>274.75</v>
      </c>
    </row>
    <row r="819" spans="9:10" x14ac:dyDescent="0.3">
      <c r="I819">
        <v>1</v>
      </c>
      <c r="J819">
        <v>274.75</v>
      </c>
    </row>
    <row r="820" spans="9:10" x14ac:dyDescent="0.3">
      <c r="I820">
        <v>1</v>
      </c>
      <c r="J820">
        <v>274.75</v>
      </c>
    </row>
    <row r="821" spans="9:10" x14ac:dyDescent="0.3">
      <c r="I821">
        <v>1</v>
      </c>
      <c r="J821">
        <v>274.75</v>
      </c>
    </row>
    <row r="822" spans="9:10" x14ac:dyDescent="0.3">
      <c r="I822">
        <v>1</v>
      </c>
      <c r="J822">
        <v>274.75</v>
      </c>
    </row>
    <row r="823" spans="9:10" x14ac:dyDescent="0.3">
      <c r="I823">
        <v>1</v>
      </c>
      <c r="J823">
        <v>274.75</v>
      </c>
    </row>
    <row r="824" spans="9:10" x14ac:dyDescent="0.3">
      <c r="I824">
        <v>1</v>
      </c>
      <c r="J824">
        <v>274.75</v>
      </c>
    </row>
    <row r="825" spans="9:10" x14ac:dyDescent="0.3">
      <c r="I825">
        <v>1</v>
      </c>
      <c r="J825">
        <v>274.75</v>
      </c>
    </row>
    <row r="826" spans="9:10" x14ac:dyDescent="0.3">
      <c r="I826">
        <v>1</v>
      </c>
      <c r="J826">
        <v>274.75</v>
      </c>
    </row>
    <row r="827" spans="9:10" x14ac:dyDescent="0.3">
      <c r="I827">
        <v>1</v>
      </c>
      <c r="J827">
        <v>274.75</v>
      </c>
    </row>
    <row r="828" spans="9:10" x14ac:dyDescent="0.3">
      <c r="I828">
        <v>1</v>
      </c>
      <c r="J828">
        <v>274.75</v>
      </c>
    </row>
    <row r="829" spans="9:10" x14ac:dyDescent="0.3">
      <c r="I829">
        <v>1</v>
      </c>
      <c r="J829">
        <v>274.75</v>
      </c>
    </row>
    <row r="830" spans="9:10" x14ac:dyDescent="0.3">
      <c r="I830">
        <v>1</v>
      </c>
      <c r="J830">
        <v>274.75</v>
      </c>
    </row>
    <row r="831" spans="9:10" x14ac:dyDescent="0.3">
      <c r="I831">
        <v>1</v>
      </c>
      <c r="J831">
        <v>274.75</v>
      </c>
    </row>
    <row r="832" spans="9:10" x14ac:dyDescent="0.3">
      <c r="I832">
        <v>1</v>
      </c>
      <c r="J832">
        <v>274.75</v>
      </c>
    </row>
    <row r="833" spans="9:10" x14ac:dyDescent="0.3">
      <c r="I833">
        <v>1</v>
      </c>
      <c r="J833">
        <v>274.75</v>
      </c>
    </row>
    <row r="834" spans="9:10" x14ac:dyDescent="0.3">
      <c r="I834">
        <v>1</v>
      </c>
      <c r="J834">
        <v>274.75</v>
      </c>
    </row>
    <row r="835" spans="9:10" x14ac:dyDescent="0.3">
      <c r="I835">
        <v>1</v>
      </c>
      <c r="J835">
        <v>274.75</v>
      </c>
    </row>
    <row r="836" spans="9:10" x14ac:dyDescent="0.3">
      <c r="I836">
        <v>1</v>
      </c>
      <c r="J836">
        <v>274.75</v>
      </c>
    </row>
    <row r="837" spans="9:10" x14ac:dyDescent="0.3">
      <c r="I837">
        <v>1</v>
      </c>
      <c r="J837">
        <v>274.75</v>
      </c>
    </row>
    <row r="838" spans="9:10" x14ac:dyDescent="0.3">
      <c r="I838">
        <v>1</v>
      </c>
      <c r="J838">
        <v>274.75</v>
      </c>
    </row>
    <row r="839" spans="9:10" x14ac:dyDescent="0.3">
      <c r="I839">
        <v>1</v>
      </c>
      <c r="J839">
        <v>274.75</v>
      </c>
    </row>
    <row r="840" spans="9:10" x14ac:dyDescent="0.3">
      <c r="I840">
        <v>1</v>
      </c>
      <c r="J840">
        <v>274.75</v>
      </c>
    </row>
    <row r="841" spans="9:10" x14ac:dyDescent="0.3">
      <c r="I841">
        <v>1</v>
      </c>
      <c r="J841">
        <v>274.75</v>
      </c>
    </row>
    <row r="842" spans="9:10" x14ac:dyDescent="0.3">
      <c r="I842">
        <v>1</v>
      </c>
      <c r="J842">
        <v>274.75</v>
      </c>
    </row>
    <row r="843" spans="9:10" x14ac:dyDescent="0.3">
      <c r="I843">
        <v>1</v>
      </c>
      <c r="J843">
        <v>274.75</v>
      </c>
    </row>
    <row r="844" spans="9:10" x14ac:dyDescent="0.3">
      <c r="I844">
        <v>1</v>
      </c>
      <c r="J844">
        <v>274.75</v>
      </c>
    </row>
    <row r="845" spans="9:10" x14ac:dyDescent="0.3">
      <c r="I845">
        <v>1</v>
      </c>
      <c r="J845">
        <v>274.75</v>
      </c>
    </row>
    <row r="846" spans="9:10" x14ac:dyDescent="0.3">
      <c r="I846">
        <v>1</v>
      </c>
      <c r="J846">
        <v>274.75</v>
      </c>
    </row>
    <row r="847" spans="9:10" x14ac:dyDescent="0.3">
      <c r="I847">
        <v>1</v>
      </c>
      <c r="J847">
        <v>274.75</v>
      </c>
    </row>
    <row r="848" spans="9:10" x14ac:dyDescent="0.3">
      <c r="I848">
        <v>1</v>
      </c>
      <c r="J848">
        <v>274.75</v>
      </c>
    </row>
    <row r="849" spans="9:10" x14ac:dyDescent="0.3">
      <c r="I849">
        <v>1</v>
      </c>
      <c r="J849">
        <v>274.75</v>
      </c>
    </row>
    <row r="850" spans="9:10" x14ac:dyDescent="0.3">
      <c r="I850">
        <v>1</v>
      </c>
      <c r="J850">
        <v>274.75</v>
      </c>
    </row>
    <row r="851" spans="9:10" x14ac:dyDescent="0.3">
      <c r="I851">
        <v>1</v>
      </c>
      <c r="J851">
        <v>274.75</v>
      </c>
    </row>
    <row r="852" spans="9:10" x14ac:dyDescent="0.3">
      <c r="I852">
        <v>1</v>
      </c>
      <c r="J852">
        <v>274.75</v>
      </c>
    </row>
    <row r="853" spans="9:10" x14ac:dyDescent="0.3">
      <c r="I853">
        <v>1</v>
      </c>
      <c r="J853">
        <v>274.75</v>
      </c>
    </row>
    <row r="854" spans="9:10" x14ac:dyDescent="0.3">
      <c r="I854">
        <v>1</v>
      </c>
      <c r="J854">
        <v>274.75</v>
      </c>
    </row>
    <row r="855" spans="9:10" x14ac:dyDescent="0.3">
      <c r="I855">
        <v>1</v>
      </c>
      <c r="J855">
        <v>274.75</v>
      </c>
    </row>
    <row r="856" spans="9:10" x14ac:dyDescent="0.3">
      <c r="I856">
        <v>1</v>
      </c>
      <c r="J856">
        <v>274.75</v>
      </c>
    </row>
    <row r="857" spans="9:10" x14ac:dyDescent="0.3">
      <c r="I857">
        <v>1</v>
      </c>
      <c r="J857">
        <v>274.75</v>
      </c>
    </row>
    <row r="858" spans="9:10" x14ac:dyDescent="0.3">
      <c r="I858">
        <v>1</v>
      </c>
      <c r="J858">
        <v>274.75</v>
      </c>
    </row>
    <row r="859" spans="9:10" x14ac:dyDescent="0.3">
      <c r="I859">
        <v>1</v>
      </c>
      <c r="J859">
        <v>274.75</v>
      </c>
    </row>
    <row r="860" spans="9:10" x14ac:dyDescent="0.3">
      <c r="I860">
        <v>1</v>
      </c>
      <c r="J860">
        <v>274.75</v>
      </c>
    </row>
    <row r="861" spans="9:10" x14ac:dyDescent="0.3">
      <c r="I861">
        <v>1</v>
      </c>
      <c r="J861">
        <v>274.75</v>
      </c>
    </row>
    <row r="862" spans="9:10" x14ac:dyDescent="0.3">
      <c r="I862">
        <v>1</v>
      </c>
      <c r="J862">
        <v>274.75</v>
      </c>
    </row>
    <row r="863" spans="9:10" x14ac:dyDescent="0.3">
      <c r="I863">
        <v>1</v>
      </c>
      <c r="J863">
        <v>274.75</v>
      </c>
    </row>
    <row r="864" spans="9:10" x14ac:dyDescent="0.3">
      <c r="I864">
        <v>1</v>
      </c>
      <c r="J864">
        <v>274.75</v>
      </c>
    </row>
    <row r="865" spans="9:10" x14ac:dyDescent="0.3">
      <c r="I865">
        <v>1</v>
      </c>
      <c r="J865">
        <v>274.75</v>
      </c>
    </row>
    <row r="866" spans="9:10" x14ac:dyDescent="0.3">
      <c r="I866">
        <v>1</v>
      </c>
      <c r="J866">
        <v>274.75</v>
      </c>
    </row>
    <row r="867" spans="9:10" x14ac:dyDescent="0.3">
      <c r="I867">
        <v>1</v>
      </c>
      <c r="J867">
        <v>274.75</v>
      </c>
    </row>
    <row r="868" spans="9:10" x14ac:dyDescent="0.3">
      <c r="I868">
        <v>1</v>
      </c>
      <c r="J868">
        <v>274.75</v>
      </c>
    </row>
    <row r="869" spans="9:10" x14ac:dyDescent="0.3">
      <c r="I869">
        <v>1</v>
      </c>
      <c r="J869">
        <v>274.75</v>
      </c>
    </row>
    <row r="870" spans="9:10" x14ac:dyDescent="0.3">
      <c r="I870">
        <v>1</v>
      </c>
      <c r="J870">
        <v>274.75</v>
      </c>
    </row>
    <row r="871" spans="9:10" x14ac:dyDescent="0.3">
      <c r="I871">
        <v>1</v>
      </c>
      <c r="J871">
        <v>274.75</v>
      </c>
    </row>
    <row r="872" spans="9:10" x14ac:dyDescent="0.3">
      <c r="I872">
        <v>1</v>
      </c>
      <c r="J872">
        <v>274.75</v>
      </c>
    </row>
    <row r="873" spans="9:10" x14ac:dyDescent="0.3">
      <c r="I873">
        <v>1</v>
      </c>
      <c r="J873">
        <v>274.75</v>
      </c>
    </row>
    <row r="874" spans="9:10" x14ac:dyDescent="0.3">
      <c r="I874">
        <v>1</v>
      </c>
      <c r="J874">
        <v>274.75</v>
      </c>
    </row>
    <row r="875" spans="9:10" x14ac:dyDescent="0.3">
      <c r="I875">
        <v>1</v>
      </c>
      <c r="J875">
        <v>274.75</v>
      </c>
    </row>
    <row r="876" spans="9:10" x14ac:dyDescent="0.3">
      <c r="I876">
        <v>1</v>
      </c>
      <c r="J876">
        <v>274.75</v>
      </c>
    </row>
    <row r="877" spans="9:10" x14ac:dyDescent="0.3">
      <c r="I877">
        <v>1</v>
      </c>
      <c r="J877">
        <v>274.75</v>
      </c>
    </row>
    <row r="878" spans="9:10" x14ac:dyDescent="0.3">
      <c r="I878">
        <v>1</v>
      </c>
      <c r="J878">
        <v>274.75</v>
      </c>
    </row>
    <row r="879" spans="9:10" x14ac:dyDescent="0.3">
      <c r="I879">
        <v>1</v>
      </c>
      <c r="J879">
        <v>274.75</v>
      </c>
    </row>
    <row r="880" spans="9:10" x14ac:dyDescent="0.3">
      <c r="I880">
        <v>1</v>
      </c>
      <c r="J880">
        <v>274.75</v>
      </c>
    </row>
    <row r="881" spans="9:10" x14ac:dyDescent="0.3">
      <c r="I881">
        <v>1</v>
      </c>
      <c r="J881">
        <v>274.75</v>
      </c>
    </row>
    <row r="882" spans="9:10" x14ac:dyDescent="0.3">
      <c r="I882">
        <v>1</v>
      </c>
      <c r="J882">
        <v>274.75</v>
      </c>
    </row>
    <row r="883" spans="9:10" x14ac:dyDescent="0.3">
      <c r="I883">
        <v>1</v>
      </c>
      <c r="J883">
        <v>274.75</v>
      </c>
    </row>
    <row r="884" spans="9:10" x14ac:dyDescent="0.3">
      <c r="I884">
        <v>1</v>
      </c>
      <c r="J884">
        <v>274.75</v>
      </c>
    </row>
    <row r="885" spans="9:10" x14ac:dyDescent="0.3">
      <c r="I885">
        <v>1</v>
      </c>
      <c r="J885">
        <v>274.75</v>
      </c>
    </row>
    <row r="886" spans="9:10" x14ac:dyDescent="0.3">
      <c r="I886">
        <v>1</v>
      </c>
      <c r="J886">
        <v>274.75</v>
      </c>
    </row>
    <row r="887" spans="9:10" x14ac:dyDescent="0.3">
      <c r="I887">
        <v>1</v>
      </c>
      <c r="J887">
        <v>274.75</v>
      </c>
    </row>
    <row r="888" spans="9:10" x14ac:dyDescent="0.3">
      <c r="I888">
        <v>1</v>
      </c>
      <c r="J888">
        <v>274.75</v>
      </c>
    </row>
    <row r="889" spans="9:10" x14ac:dyDescent="0.3">
      <c r="I889">
        <v>1</v>
      </c>
      <c r="J889">
        <v>274.75</v>
      </c>
    </row>
    <row r="890" spans="9:10" x14ac:dyDescent="0.3">
      <c r="I890">
        <v>1</v>
      </c>
      <c r="J890">
        <v>274.75</v>
      </c>
    </row>
    <row r="891" spans="9:10" x14ac:dyDescent="0.3">
      <c r="I891">
        <v>1</v>
      </c>
      <c r="J891">
        <v>274.75</v>
      </c>
    </row>
    <row r="892" spans="9:10" x14ac:dyDescent="0.3">
      <c r="I892">
        <v>1</v>
      </c>
      <c r="J892">
        <v>274.75</v>
      </c>
    </row>
    <row r="893" spans="9:10" x14ac:dyDescent="0.3">
      <c r="I893">
        <v>1</v>
      </c>
      <c r="J893">
        <v>274.75</v>
      </c>
    </row>
    <row r="894" spans="9:10" x14ac:dyDescent="0.3">
      <c r="I894">
        <v>1</v>
      </c>
      <c r="J894">
        <v>274.75</v>
      </c>
    </row>
    <row r="895" spans="9:10" x14ac:dyDescent="0.3">
      <c r="I895">
        <v>1</v>
      </c>
      <c r="J895">
        <v>274.75</v>
      </c>
    </row>
    <row r="896" spans="9:10" x14ac:dyDescent="0.3">
      <c r="I896">
        <v>1</v>
      </c>
      <c r="J896">
        <v>274.75</v>
      </c>
    </row>
    <row r="897" spans="9:10" x14ac:dyDescent="0.3">
      <c r="I897">
        <v>1</v>
      </c>
      <c r="J897">
        <v>274.75</v>
      </c>
    </row>
    <row r="898" spans="9:10" x14ac:dyDescent="0.3">
      <c r="I898">
        <v>1</v>
      </c>
      <c r="J898">
        <v>274.75</v>
      </c>
    </row>
    <row r="899" spans="9:10" x14ac:dyDescent="0.3">
      <c r="I899">
        <v>1</v>
      </c>
      <c r="J899">
        <v>274.75</v>
      </c>
    </row>
    <row r="900" spans="9:10" x14ac:dyDescent="0.3">
      <c r="I900">
        <v>1</v>
      </c>
      <c r="J900">
        <v>274.75</v>
      </c>
    </row>
    <row r="901" spans="9:10" x14ac:dyDescent="0.3">
      <c r="I901">
        <v>1</v>
      </c>
      <c r="J901">
        <v>274.75</v>
      </c>
    </row>
    <row r="902" spans="9:10" x14ac:dyDescent="0.3">
      <c r="I902">
        <v>1</v>
      </c>
      <c r="J902">
        <v>274.75</v>
      </c>
    </row>
    <row r="903" spans="9:10" x14ac:dyDescent="0.3">
      <c r="I903">
        <v>1</v>
      </c>
      <c r="J903">
        <v>274.75</v>
      </c>
    </row>
    <row r="904" spans="9:10" x14ac:dyDescent="0.3">
      <c r="I904">
        <v>1</v>
      </c>
      <c r="J904">
        <v>274.75</v>
      </c>
    </row>
    <row r="905" spans="9:10" x14ac:dyDescent="0.3">
      <c r="I905">
        <v>1</v>
      </c>
      <c r="J905">
        <v>274.75</v>
      </c>
    </row>
    <row r="906" spans="9:10" x14ac:dyDescent="0.3">
      <c r="I906">
        <v>1</v>
      </c>
      <c r="J906">
        <v>274.75</v>
      </c>
    </row>
    <row r="907" spans="9:10" x14ac:dyDescent="0.3">
      <c r="I907">
        <v>1</v>
      </c>
      <c r="J907">
        <v>274.75</v>
      </c>
    </row>
    <row r="908" spans="9:10" x14ac:dyDescent="0.3">
      <c r="I908">
        <v>1</v>
      </c>
      <c r="J908">
        <v>274.75</v>
      </c>
    </row>
    <row r="909" spans="9:10" x14ac:dyDescent="0.3">
      <c r="I909">
        <v>1</v>
      </c>
      <c r="J909">
        <v>274.75</v>
      </c>
    </row>
    <row r="910" spans="9:10" x14ac:dyDescent="0.3">
      <c r="I910">
        <v>1</v>
      </c>
      <c r="J910">
        <v>274.75</v>
      </c>
    </row>
    <row r="911" spans="9:10" x14ac:dyDescent="0.3">
      <c r="I911">
        <v>1</v>
      </c>
      <c r="J911">
        <v>274.75</v>
      </c>
    </row>
    <row r="912" spans="9:10" x14ac:dyDescent="0.3">
      <c r="I912">
        <v>1</v>
      </c>
      <c r="J912">
        <v>274.75</v>
      </c>
    </row>
    <row r="913" spans="9:10" x14ac:dyDescent="0.3">
      <c r="I913">
        <v>1</v>
      </c>
      <c r="J913">
        <v>274.75</v>
      </c>
    </row>
    <row r="914" spans="9:10" x14ac:dyDescent="0.3">
      <c r="I914">
        <v>1</v>
      </c>
      <c r="J914">
        <v>274.75</v>
      </c>
    </row>
    <row r="915" spans="9:10" x14ac:dyDescent="0.3">
      <c r="I915">
        <v>1</v>
      </c>
      <c r="J915">
        <v>274.75</v>
      </c>
    </row>
    <row r="916" spans="9:10" x14ac:dyDescent="0.3">
      <c r="I916">
        <v>1</v>
      </c>
      <c r="J916">
        <v>274.75</v>
      </c>
    </row>
    <row r="917" spans="9:10" x14ac:dyDescent="0.3">
      <c r="I917">
        <v>1</v>
      </c>
      <c r="J917">
        <v>274.75</v>
      </c>
    </row>
    <row r="918" spans="9:10" x14ac:dyDescent="0.3">
      <c r="I918">
        <v>1</v>
      </c>
      <c r="J918">
        <v>274.75</v>
      </c>
    </row>
    <row r="919" spans="9:10" x14ac:dyDescent="0.3">
      <c r="I919">
        <v>1</v>
      </c>
      <c r="J919">
        <v>274.75</v>
      </c>
    </row>
    <row r="920" spans="9:10" x14ac:dyDescent="0.3">
      <c r="I920">
        <v>1</v>
      </c>
      <c r="J920">
        <v>274.75</v>
      </c>
    </row>
    <row r="921" spans="9:10" x14ac:dyDescent="0.3">
      <c r="I921">
        <v>1</v>
      </c>
      <c r="J921">
        <v>274.75</v>
      </c>
    </row>
    <row r="922" spans="9:10" x14ac:dyDescent="0.3">
      <c r="I922">
        <v>1</v>
      </c>
      <c r="J922">
        <v>274.75</v>
      </c>
    </row>
    <row r="923" spans="9:10" x14ac:dyDescent="0.3">
      <c r="I923">
        <v>1</v>
      </c>
      <c r="J923">
        <v>274.75</v>
      </c>
    </row>
    <row r="924" spans="9:10" x14ac:dyDescent="0.3">
      <c r="I924">
        <v>1</v>
      </c>
      <c r="J924">
        <v>274.75</v>
      </c>
    </row>
    <row r="925" spans="9:10" x14ac:dyDescent="0.3">
      <c r="I925">
        <v>1</v>
      </c>
      <c r="J925">
        <v>274.75</v>
      </c>
    </row>
    <row r="926" spans="9:10" x14ac:dyDescent="0.3">
      <c r="I926">
        <v>1</v>
      </c>
      <c r="J926">
        <v>274.75</v>
      </c>
    </row>
    <row r="927" spans="9:10" x14ac:dyDescent="0.3">
      <c r="I927">
        <v>1</v>
      </c>
      <c r="J927">
        <v>274.75</v>
      </c>
    </row>
    <row r="928" spans="9:10" x14ac:dyDescent="0.3">
      <c r="I928">
        <v>1</v>
      </c>
      <c r="J928">
        <v>274.75</v>
      </c>
    </row>
    <row r="929" spans="9:10" x14ac:dyDescent="0.3">
      <c r="I929">
        <v>1</v>
      </c>
      <c r="J929">
        <v>274.75</v>
      </c>
    </row>
    <row r="930" spans="9:10" x14ac:dyDescent="0.3">
      <c r="I930">
        <v>1</v>
      </c>
      <c r="J930">
        <v>274.75</v>
      </c>
    </row>
    <row r="931" spans="9:10" x14ac:dyDescent="0.3">
      <c r="I931">
        <v>1</v>
      </c>
      <c r="J931">
        <v>274.75</v>
      </c>
    </row>
    <row r="932" spans="9:10" x14ac:dyDescent="0.3">
      <c r="I932">
        <v>1</v>
      </c>
      <c r="J932">
        <v>274.75</v>
      </c>
    </row>
    <row r="933" spans="9:10" x14ac:dyDescent="0.3">
      <c r="I933">
        <v>1</v>
      </c>
      <c r="J933">
        <v>274.75</v>
      </c>
    </row>
    <row r="934" spans="9:10" x14ac:dyDescent="0.3">
      <c r="I934">
        <v>1</v>
      </c>
      <c r="J934">
        <v>274.75</v>
      </c>
    </row>
    <row r="935" spans="9:10" x14ac:dyDescent="0.3">
      <c r="I935">
        <v>1</v>
      </c>
      <c r="J935">
        <v>274.75</v>
      </c>
    </row>
    <row r="936" spans="9:10" x14ac:dyDescent="0.3">
      <c r="I936">
        <v>1</v>
      </c>
      <c r="J936">
        <v>274.75</v>
      </c>
    </row>
    <row r="937" spans="9:10" x14ac:dyDescent="0.3">
      <c r="I937">
        <v>1</v>
      </c>
      <c r="J937">
        <v>274.75</v>
      </c>
    </row>
    <row r="938" spans="9:10" x14ac:dyDescent="0.3">
      <c r="I938">
        <v>1</v>
      </c>
      <c r="J938">
        <v>274.75</v>
      </c>
    </row>
    <row r="939" spans="9:10" x14ac:dyDescent="0.3">
      <c r="I939">
        <v>1</v>
      </c>
      <c r="J939">
        <v>274.75</v>
      </c>
    </row>
    <row r="940" spans="9:10" x14ac:dyDescent="0.3">
      <c r="I940">
        <v>1</v>
      </c>
      <c r="J940">
        <v>274.75</v>
      </c>
    </row>
    <row r="941" spans="9:10" x14ac:dyDescent="0.3">
      <c r="I941">
        <v>1</v>
      </c>
      <c r="J941">
        <v>274.75</v>
      </c>
    </row>
    <row r="942" spans="9:10" x14ac:dyDescent="0.3">
      <c r="I942">
        <v>1</v>
      </c>
      <c r="J942">
        <v>274.75</v>
      </c>
    </row>
    <row r="943" spans="9:10" x14ac:dyDescent="0.3">
      <c r="I943">
        <v>1</v>
      </c>
      <c r="J943">
        <v>274.75</v>
      </c>
    </row>
    <row r="944" spans="9:10" x14ac:dyDescent="0.3">
      <c r="I944">
        <v>1</v>
      </c>
      <c r="J944">
        <v>274.75</v>
      </c>
    </row>
    <row r="945" spans="9:10" x14ac:dyDescent="0.3">
      <c r="I945">
        <v>1</v>
      </c>
      <c r="J945">
        <v>274.75</v>
      </c>
    </row>
    <row r="946" spans="9:10" x14ac:dyDescent="0.3">
      <c r="I946">
        <v>1</v>
      </c>
      <c r="J946">
        <v>274.75</v>
      </c>
    </row>
    <row r="947" spans="9:10" x14ac:dyDescent="0.3">
      <c r="I947">
        <v>1</v>
      </c>
      <c r="J947">
        <v>274.75</v>
      </c>
    </row>
    <row r="948" spans="9:10" x14ac:dyDescent="0.3">
      <c r="I948">
        <v>1</v>
      </c>
      <c r="J948">
        <v>274.75</v>
      </c>
    </row>
    <row r="949" spans="9:10" x14ac:dyDescent="0.3">
      <c r="I949">
        <v>1</v>
      </c>
      <c r="J949">
        <v>274.75</v>
      </c>
    </row>
    <row r="950" spans="9:10" x14ac:dyDescent="0.3">
      <c r="I950">
        <v>1</v>
      </c>
      <c r="J950">
        <v>274.75</v>
      </c>
    </row>
    <row r="951" spans="9:10" x14ac:dyDescent="0.3">
      <c r="I951">
        <v>1</v>
      </c>
      <c r="J951">
        <v>274.75</v>
      </c>
    </row>
    <row r="952" spans="9:10" x14ac:dyDescent="0.3">
      <c r="I952">
        <v>1</v>
      </c>
      <c r="J952">
        <v>274.75</v>
      </c>
    </row>
    <row r="953" spans="9:10" x14ac:dyDescent="0.3">
      <c r="I953">
        <v>1</v>
      </c>
      <c r="J953">
        <v>274.75</v>
      </c>
    </row>
    <row r="954" spans="9:10" x14ac:dyDescent="0.3">
      <c r="I954">
        <v>1</v>
      </c>
      <c r="J954">
        <v>274.75</v>
      </c>
    </row>
    <row r="955" spans="9:10" x14ac:dyDescent="0.3">
      <c r="I955">
        <v>1</v>
      </c>
      <c r="J955">
        <v>274.75</v>
      </c>
    </row>
    <row r="956" spans="9:10" x14ac:dyDescent="0.3">
      <c r="I956">
        <v>1</v>
      </c>
      <c r="J956">
        <v>274.75</v>
      </c>
    </row>
    <row r="957" spans="9:10" x14ac:dyDescent="0.3">
      <c r="I957">
        <v>1</v>
      </c>
      <c r="J957">
        <v>274.75</v>
      </c>
    </row>
    <row r="958" spans="9:10" x14ac:dyDescent="0.3">
      <c r="I958">
        <v>1</v>
      </c>
      <c r="J958">
        <v>274.75</v>
      </c>
    </row>
    <row r="959" spans="9:10" x14ac:dyDescent="0.3">
      <c r="I959">
        <v>1</v>
      </c>
      <c r="J959">
        <v>274.75</v>
      </c>
    </row>
    <row r="960" spans="9:10" x14ac:dyDescent="0.3">
      <c r="I960">
        <v>1</v>
      </c>
      <c r="J960">
        <v>274.75</v>
      </c>
    </row>
    <row r="961" spans="9:10" x14ac:dyDescent="0.3">
      <c r="I961">
        <v>1</v>
      </c>
      <c r="J961">
        <v>274.75</v>
      </c>
    </row>
    <row r="962" spans="9:10" x14ac:dyDescent="0.3">
      <c r="I962">
        <v>1</v>
      </c>
      <c r="J962">
        <v>274.75</v>
      </c>
    </row>
    <row r="963" spans="9:10" x14ac:dyDescent="0.3">
      <c r="I963">
        <v>1</v>
      </c>
      <c r="J963">
        <v>274.75</v>
      </c>
    </row>
    <row r="964" spans="9:10" x14ac:dyDescent="0.3">
      <c r="I964">
        <v>1</v>
      </c>
      <c r="J964">
        <v>274.75</v>
      </c>
    </row>
    <row r="965" spans="9:10" x14ac:dyDescent="0.3">
      <c r="I965">
        <v>1</v>
      </c>
      <c r="J965">
        <v>274.75</v>
      </c>
    </row>
    <row r="966" spans="9:10" x14ac:dyDescent="0.3">
      <c r="I966">
        <v>1</v>
      </c>
      <c r="J966">
        <v>274.75</v>
      </c>
    </row>
    <row r="967" spans="9:10" x14ac:dyDescent="0.3">
      <c r="I967">
        <v>1</v>
      </c>
      <c r="J967">
        <v>274.75</v>
      </c>
    </row>
    <row r="968" spans="9:10" x14ac:dyDescent="0.3">
      <c r="I968">
        <v>1</v>
      </c>
      <c r="J968">
        <v>274.75</v>
      </c>
    </row>
    <row r="969" spans="9:10" x14ac:dyDescent="0.3">
      <c r="I969">
        <v>1</v>
      </c>
      <c r="J969">
        <v>274.75</v>
      </c>
    </row>
    <row r="970" spans="9:10" x14ac:dyDescent="0.3">
      <c r="I970">
        <v>1</v>
      </c>
      <c r="J970">
        <v>274.75</v>
      </c>
    </row>
    <row r="971" spans="9:10" x14ac:dyDescent="0.3">
      <c r="I971">
        <v>1</v>
      </c>
      <c r="J971">
        <v>274.75</v>
      </c>
    </row>
    <row r="972" spans="9:10" x14ac:dyDescent="0.3">
      <c r="I972">
        <v>1</v>
      </c>
      <c r="J972">
        <v>274.75</v>
      </c>
    </row>
    <row r="973" spans="9:10" x14ac:dyDescent="0.3">
      <c r="I973">
        <v>1</v>
      </c>
      <c r="J973">
        <v>274.75</v>
      </c>
    </row>
    <row r="974" spans="9:10" x14ac:dyDescent="0.3">
      <c r="I974">
        <v>1</v>
      </c>
      <c r="J974">
        <v>274.75</v>
      </c>
    </row>
    <row r="975" spans="9:10" x14ac:dyDescent="0.3">
      <c r="I975">
        <v>0</v>
      </c>
      <c r="J975">
        <v>0</v>
      </c>
    </row>
    <row r="976" spans="9:10" x14ac:dyDescent="0.3">
      <c r="I976">
        <v>0</v>
      </c>
      <c r="J976">
        <v>0</v>
      </c>
    </row>
    <row r="977" spans="9:10" x14ac:dyDescent="0.3">
      <c r="I977">
        <v>0</v>
      </c>
      <c r="J977">
        <v>0</v>
      </c>
    </row>
    <row r="978" spans="9:10" x14ac:dyDescent="0.3">
      <c r="I978">
        <v>0</v>
      </c>
      <c r="J978">
        <v>0</v>
      </c>
    </row>
    <row r="979" spans="9:10" x14ac:dyDescent="0.3">
      <c r="I979">
        <v>0</v>
      </c>
      <c r="J979">
        <v>0</v>
      </c>
    </row>
    <row r="980" spans="9:10" x14ac:dyDescent="0.3">
      <c r="I980">
        <v>0</v>
      </c>
      <c r="J980">
        <v>0</v>
      </c>
    </row>
    <row r="981" spans="9:10" x14ac:dyDescent="0.3">
      <c r="I981">
        <v>0</v>
      </c>
      <c r="J981">
        <v>0</v>
      </c>
    </row>
    <row r="982" spans="9:10" x14ac:dyDescent="0.3">
      <c r="I982">
        <v>0</v>
      </c>
      <c r="J982">
        <v>0</v>
      </c>
    </row>
    <row r="983" spans="9:10" x14ac:dyDescent="0.3">
      <c r="I983">
        <v>0</v>
      </c>
      <c r="J983">
        <v>0</v>
      </c>
    </row>
    <row r="984" spans="9:10" x14ac:dyDescent="0.3">
      <c r="I984">
        <v>0</v>
      </c>
      <c r="J984">
        <v>0</v>
      </c>
    </row>
    <row r="985" spans="9:10" x14ac:dyDescent="0.3">
      <c r="I985">
        <v>0</v>
      </c>
      <c r="J985">
        <v>0</v>
      </c>
    </row>
    <row r="986" spans="9:10" x14ac:dyDescent="0.3">
      <c r="I986">
        <v>0</v>
      </c>
      <c r="J986">
        <v>0</v>
      </c>
    </row>
    <row r="987" spans="9:10" x14ac:dyDescent="0.3">
      <c r="I987">
        <v>0</v>
      </c>
      <c r="J987">
        <v>0</v>
      </c>
    </row>
    <row r="988" spans="9:10" x14ac:dyDescent="0.3">
      <c r="I988">
        <v>0</v>
      </c>
      <c r="J988">
        <v>0</v>
      </c>
    </row>
    <row r="989" spans="9:10" x14ac:dyDescent="0.3">
      <c r="I989">
        <v>0</v>
      </c>
      <c r="J989">
        <v>0</v>
      </c>
    </row>
    <row r="990" spans="9:10" x14ac:dyDescent="0.3">
      <c r="I990">
        <v>0</v>
      </c>
      <c r="J990">
        <v>0</v>
      </c>
    </row>
    <row r="991" spans="9:10" x14ac:dyDescent="0.3">
      <c r="I991">
        <v>0</v>
      </c>
      <c r="J991">
        <v>0</v>
      </c>
    </row>
    <row r="992" spans="9:10" x14ac:dyDescent="0.3">
      <c r="I992">
        <v>0</v>
      </c>
      <c r="J992">
        <v>0</v>
      </c>
    </row>
    <row r="993" spans="9:10" x14ac:dyDescent="0.3">
      <c r="I993">
        <v>0</v>
      </c>
      <c r="J993">
        <v>0</v>
      </c>
    </row>
    <row r="994" spans="9:10" x14ac:dyDescent="0.3">
      <c r="I994">
        <v>0</v>
      </c>
      <c r="J994">
        <v>0</v>
      </c>
    </row>
    <row r="995" spans="9:10" x14ac:dyDescent="0.3">
      <c r="I995">
        <v>0</v>
      </c>
      <c r="J995">
        <v>0</v>
      </c>
    </row>
    <row r="996" spans="9:10" x14ac:dyDescent="0.3">
      <c r="I996">
        <v>0</v>
      </c>
      <c r="J996">
        <v>0</v>
      </c>
    </row>
    <row r="997" spans="9:10" x14ac:dyDescent="0.3">
      <c r="I997">
        <v>0</v>
      </c>
      <c r="J997">
        <v>0</v>
      </c>
    </row>
    <row r="998" spans="9:10" x14ac:dyDescent="0.3">
      <c r="I998">
        <v>0</v>
      </c>
      <c r="J998">
        <v>0</v>
      </c>
    </row>
    <row r="999" spans="9:10" x14ac:dyDescent="0.3">
      <c r="I999">
        <v>0</v>
      </c>
      <c r="J999">
        <v>0</v>
      </c>
    </row>
    <row r="1000" spans="9:10" x14ac:dyDescent="0.3">
      <c r="I1000">
        <v>0</v>
      </c>
      <c r="J1000">
        <v>0</v>
      </c>
    </row>
    <row r="1001" spans="9:10" x14ac:dyDescent="0.3">
      <c r="I1001">
        <v>0</v>
      </c>
      <c r="J1001">
        <v>0</v>
      </c>
    </row>
    <row r="1002" spans="9:10" x14ac:dyDescent="0.3">
      <c r="I1002">
        <v>0</v>
      </c>
      <c r="J1002">
        <v>0</v>
      </c>
    </row>
    <row r="1003" spans="9:10" x14ac:dyDescent="0.3">
      <c r="I1003">
        <v>0</v>
      </c>
      <c r="J1003">
        <v>0</v>
      </c>
    </row>
    <row r="1004" spans="9:10" x14ac:dyDescent="0.3">
      <c r="I1004">
        <v>0</v>
      </c>
      <c r="J1004">
        <v>0</v>
      </c>
    </row>
    <row r="1005" spans="9:10" x14ac:dyDescent="0.3">
      <c r="I1005">
        <v>0</v>
      </c>
      <c r="J1005">
        <v>0</v>
      </c>
    </row>
    <row r="1006" spans="9:10" x14ac:dyDescent="0.3">
      <c r="I1006">
        <v>0</v>
      </c>
      <c r="J1006">
        <v>0</v>
      </c>
    </row>
  </sheetData>
  <autoFilter ref="A1:F1" xr:uid="{00000000-0009-0000-0000-000001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7C10"/>
  </sheetPr>
  <dimension ref="A1:D18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55" customWidth="1"/>
    <col min="4" max="4" width="28" customWidth="1"/>
  </cols>
  <sheetData>
    <row r="1" spans="1:4" ht="22.05" customHeight="1" x14ac:dyDescent="0.3">
      <c r="A1" s="1" t="s">
        <v>2476</v>
      </c>
      <c r="B1" s="1" t="s">
        <v>2477</v>
      </c>
      <c r="C1" s="1" t="s">
        <v>2478</v>
      </c>
      <c r="D1" s="1" t="s">
        <v>2479</v>
      </c>
    </row>
    <row r="2" spans="1:4" x14ac:dyDescent="0.3">
      <c r="A2" s="4" t="s">
        <v>0</v>
      </c>
      <c r="B2" s="4" t="s">
        <v>2480</v>
      </c>
      <c r="C2" s="4" t="s">
        <v>2481</v>
      </c>
      <c r="D2" s="4" t="s">
        <v>1141</v>
      </c>
    </row>
    <row r="3" spans="1:4" x14ac:dyDescent="0.3">
      <c r="A3" s="10" t="s">
        <v>1</v>
      </c>
      <c r="B3" s="10" t="s">
        <v>2482</v>
      </c>
      <c r="C3" s="10" t="s">
        <v>2483</v>
      </c>
      <c r="D3" s="10" t="s">
        <v>2484</v>
      </c>
    </row>
    <row r="4" spans="1:4" x14ac:dyDescent="0.3">
      <c r="A4" s="4" t="s">
        <v>2</v>
      </c>
      <c r="B4" s="4" t="s">
        <v>2482</v>
      </c>
      <c r="C4" s="4" t="s">
        <v>2485</v>
      </c>
      <c r="D4" s="4" t="s">
        <v>2486</v>
      </c>
    </row>
    <row r="5" spans="1:4" x14ac:dyDescent="0.3">
      <c r="A5" s="10" t="s">
        <v>3</v>
      </c>
      <c r="B5" s="10" t="s">
        <v>2480</v>
      </c>
      <c r="C5" s="10" t="s">
        <v>2487</v>
      </c>
      <c r="D5" s="10" t="s">
        <v>29</v>
      </c>
    </row>
    <row r="6" spans="1:4" x14ac:dyDescent="0.3">
      <c r="A6" s="4" t="s">
        <v>4</v>
      </c>
      <c r="B6" s="4" t="s">
        <v>2480</v>
      </c>
      <c r="C6" s="4" t="s">
        <v>2488</v>
      </c>
      <c r="D6" s="4" t="s">
        <v>463</v>
      </c>
    </row>
    <row r="7" spans="1:4" x14ac:dyDescent="0.3">
      <c r="A7" s="10" t="s">
        <v>5</v>
      </c>
      <c r="B7" s="10" t="s">
        <v>2480</v>
      </c>
      <c r="C7" s="10" t="s">
        <v>2489</v>
      </c>
      <c r="D7" s="10" t="s">
        <v>2490</v>
      </c>
    </row>
    <row r="8" spans="1:4" x14ac:dyDescent="0.3">
      <c r="A8" s="4" t="s">
        <v>6</v>
      </c>
      <c r="B8" s="4" t="s">
        <v>2480</v>
      </c>
      <c r="C8" s="4" t="s">
        <v>2491</v>
      </c>
      <c r="D8" s="4" t="s">
        <v>51</v>
      </c>
    </row>
    <row r="9" spans="1:4" x14ac:dyDescent="0.3">
      <c r="A9" s="10" t="s">
        <v>7</v>
      </c>
      <c r="B9" s="10" t="s">
        <v>2480</v>
      </c>
      <c r="C9" s="10" t="s">
        <v>2492</v>
      </c>
      <c r="D9" s="10" t="s">
        <v>397</v>
      </c>
    </row>
    <row r="10" spans="1:4" x14ac:dyDescent="0.3">
      <c r="A10" s="4" t="s">
        <v>8</v>
      </c>
      <c r="B10" s="4" t="s">
        <v>2480</v>
      </c>
      <c r="C10" s="4" t="s">
        <v>2493</v>
      </c>
      <c r="D10" s="4" t="s">
        <v>33</v>
      </c>
    </row>
    <row r="11" spans="1:4" x14ac:dyDescent="0.3">
      <c r="A11" s="10" t="s">
        <v>9</v>
      </c>
      <c r="B11" s="10" t="s">
        <v>2480</v>
      </c>
      <c r="C11" s="10" t="s">
        <v>2494</v>
      </c>
      <c r="D11" s="10" t="s">
        <v>34</v>
      </c>
    </row>
    <row r="12" spans="1:4" x14ac:dyDescent="0.3">
      <c r="A12" s="4" t="s">
        <v>10</v>
      </c>
      <c r="B12" s="4" t="s">
        <v>2480</v>
      </c>
      <c r="C12" s="4" t="s">
        <v>2495</v>
      </c>
      <c r="D12" s="4" t="s">
        <v>25</v>
      </c>
    </row>
    <row r="13" spans="1:4" x14ac:dyDescent="0.3">
      <c r="A13" s="10" t="s">
        <v>11</v>
      </c>
      <c r="B13" s="10" t="s">
        <v>2480</v>
      </c>
      <c r="C13" s="10" t="s">
        <v>2496</v>
      </c>
      <c r="D13" s="10" t="s">
        <v>74</v>
      </c>
    </row>
    <row r="14" spans="1:4" x14ac:dyDescent="0.3">
      <c r="A14" s="4" t="s">
        <v>12</v>
      </c>
      <c r="B14" s="4" t="s">
        <v>2480</v>
      </c>
      <c r="C14" s="4" t="s">
        <v>2497</v>
      </c>
      <c r="D14" s="4" t="s">
        <v>2498</v>
      </c>
    </row>
    <row r="15" spans="1:4" x14ac:dyDescent="0.3">
      <c r="A15" s="10" t="s">
        <v>13</v>
      </c>
      <c r="B15" s="10" t="s">
        <v>2499</v>
      </c>
      <c r="C15" s="10" t="s">
        <v>2500</v>
      </c>
      <c r="D15" s="10" t="s">
        <v>2501</v>
      </c>
    </row>
    <row r="16" spans="1:4" x14ac:dyDescent="0.3">
      <c r="A16" s="4" t="s">
        <v>14</v>
      </c>
      <c r="B16" s="4" t="s">
        <v>2502</v>
      </c>
      <c r="C16" s="4" t="s">
        <v>2503</v>
      </c>
      <c r="D16" s="4" t="s">
        <v>2504</v>
      </c>
    </row>
    <row r="17" spans="1:4" x14ac:dyDescent="0.3">
      <c r="A17" s="10" t="s">
        <v>15</v>
      </c>
      <c r="B17" s="10" t="s">
        <v>2505</v>
      </c>
      <c r="C17" s="10" t="s">
        <v>2506</v>
      </c>
      <c r="D17" s="10" t="s">
        <v>2507</v>
      </c>
    </row>
    <row r="18" spans="1:4" x14ac:dyDescent="0.3">
      <c r="A18" s="4" t="s">
        <v>16</v>
      </c>
      <c r="B18" s="4" t="s">
        <v>2499</v>
      </c>
      <c r="C18" s="4" t="s">
        <v>2508</v>
      </c>
      <c r="D18" s="4" t="s">
        <v>2509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3E13"/>
  </sheetPr>
  <dimension ref="A1:C9"/>
  <sheetViews>
    <sheetView tabSelected="1" workbookViewId="0"/>
  </sheetViews>
  <sheetFormatPr defaultRowHeight="14.4" x14ac:dyDescent="0.3"/>
  <cols>
    <col min="1" max="1" width="30" customWidth="1"/>
    <col min="2" max="2" width="12" customWidth="1"/>
    <col min="3" max="3" width="50" customWidth="1"/>
  </cols>
  <sheetData>
    <row r="1" spans="1:3" ht="22.05" customHeight="1" x14ac:dyDescent="0.3">
      <c r="A1" s="1" t="s">
        <v>2510</v>
      </c>
      <c r="B1" s="1" t="s">
        <v>2511</v>
      </c>
      <c r="C1" s="1" t="s">
        <v>2512</v>
      </c>
    </row>
    <row r="2" spans="1:3" x14ac:dyDescent="0.3">
      <c r="A2" s="14" t="s">
        <v>2513</v>
      </c>
      <c r="B2" s="15" t="s">
        <v>2514</v>
      </c>
      <c r="C2" s="14" t="s">
        <v>2515</v>
      </c>
    </row>
    <row r="3" spans="1:3" x14ac:dyDescent="0.3">
      <c r="A3" s="10" t="s">
        <v>2516</v>
      </c>
      <c r="B3" s="8" t="s">
        <v>2514</v>
      </c>
      <c r="C3" s="10" t="s">
        <v>2517</v>
      </c>
    </row>
    <row r="4" spans="1:3" x14ac:dyDescent="0.3">
      <c r="A4" s="14" t="s">
        <v>2518</v>
      </c>
      <c r="B4" s="15" t="s">
        <v>2514</v>
      </c>
      <c r="C4" s="14" t="s">
        <v>2519</v>
      </c>
    </row>
    <row r="5" spans="1:3" x14ac:dyDescent="0.3">
      <c r="A5" s="10" t="s">
        <v>2520</v>
      </c>
      <c r="B5" s="8" t="s">
        <v>2514</v>
      </c>
      <c r="C5" s="10" t="s">
        <v>2521</v>
      </c>
    </row>
    <row r="6" spans="1:3" x14ac:dyDescent="0.3">
      <c r="A6" s="14" t="s">
        <v>2522</v>
      </c>
      <c r="B6" s="15" t="s">
        <v>2514</v>
      </c>
      <c r="C6" s="14" t="s">
        <v>2523</v>
      </c>
    </row>
    <row r="7" spans="1:3" x14ac:dyDescent="0.3">
      <c r="A7" s="10" t="s">
        <v>2524</v>
      </c>
      <c r="B7" s="8" t="s">
        <v>2514</v>
      </c>
      <c r="C7" s="10" t="s">
        <v>2525</v>
      </c>
    </row>
    <row r="8" spans="1:3" x14ac:dyDescent="0.3">
      <c r="A8" s="14" t="s">
        <v>2526</v>
      </c>
      <c r="B8" s="15" t="s">
        <v>2514</v>
      </c>
      <c r="C8" s="14" t="s">
        <v>2527</v>
      </c>
    </row>
    <row r="9" spans="1:3" x14ac:dyDescent="0.3">
      <c r="A9" s="10" t="s">
        <v>2528</v>
      </c>
      <c r="B9" s="8" t="s">
        <v>2514</v>
      </c>
      <c r="C9" s="10" t="s">
        <v>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data tab</vt:lpstr>
      <vt:lpstr>pivot 1</vt:lpstr>
      <vt:lpstr>pivot 2</vt:lpstr>
      <vt:lpstr>pivot 3</vt:lpstr>
      <vt:lpstr>pivot 4</vt:lpstr>
      <vt:lpstr>customtable pivot</vt:lpstr>
      <vt:lpstr>Customer_Table</vt:lpstr>
      <vt:lpstr>Data_Dictionary</vt:lpstr>
      <vt:lpstr>Dirty_Data_Log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chowdhury</cp:lastModifiedBy>
  <dcterms:created xsi:type="dcterms:W3CDTF">2026-04-28T08:19:38Z</dcterms:created>
  <dcterms:modified xsi:type="dcterms:W3CDTF">2026-05-05T09:08:56Z</dcterms:modified>
</cp:coreProperties>
</file>